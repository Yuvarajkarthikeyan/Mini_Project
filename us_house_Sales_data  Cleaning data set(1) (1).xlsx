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yu\Desktop\Clean Data assignment for upload file\"/>
    </mc:Choice>
  </mc:AlternateContent>
  <xr:revisionPtr revIDLastSave="0" documentId="8_{12E3FD43-81AF-4C03-B203-2938CCDC924C}" xr6:coauthVersionLast="47" xr6:coauthVersionMax="47" xr10:uidLastSave="{00000000-0000-0000-0000-000000000000}"/>
  <bookViews>
    <workbookView xWindow="-110" yWindow="-110" windowWidth="25820" windowHeight="15500" xr2:uid="{CF3F5012-638B-4F2E-81C1-9016F4F38247}"/>
  </bookViews>
  <sheets>
    <sheet name="us_house_Sales_data (1)" sheetId="1" r:id="rId1"/>
  </sheets>
  <definedNames>
    <definedName name="_xlnm._FilterDatabase" localSheetId="0" hidden="1">'us_house_Sales_data (1)'!$Q$1:$T$2998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6" i="1" l="1"/>
  <c r="T136" i="1"/>
  <c r="T137" i="1"/>
  <c r="T160" i="1"/>
  <c r="T180" i="1"/>
  <c r="T196" i="1"/>
  <c r="T202" i="1"/>
  <c r="T203" i="1"/>
  <c r="T226" i="1"/>
  <c r="T227" i="1"/>
  <c r="T240" i="1"/>
  <c r="T268" i="1"/>
  <c r="T269" i="1"/>
  <c r="T291" i="1"/>
  <c r="T334" i="1"/>
  <c r="T356" i="1"/>
  <c r="T379" i="1"/>
  <c r="T400" i="1"/>
  <c r="T401" i="1"/>
  <c r="T402" i="1"/>
  <c r="T403" i="1"/>
  <c r="T404" i="1"/>
  <c r="T405" i="1"/>
  <c r="T406" i="1"/>
  <c r="T422" i="1"/>
  <c r="T515" i="1"/>
  <c r="T526" i="1"/>
  <c r="T537" i="1"/>
  <c r="T554" i="1"/>
  <c r="T555" i="1"/>
  <c r="T556" i="1"/>
  <c r="T559" i="1"/>
  <c r="T560" i="1"/>
  <c r="T576" i="1"/>
  <c r="T577" i="1"/>
  <c r="T658" i="1"/>
  <c r="T686" i="1"/>
  <c r="T687" i="1"/>
  <c r="T688" i="1"/>
  <c r="T691" i="1"/>
  <c r="T692" i="1"/>
  <c r="T730" i="1"/>
  <c r="T731" i="1"/>
  <c r="T732" i="1"/>
  <c r="T733" i="1"/>
  <c r="T734" i="1"/>
  <c r="T735" i="1"/>
  <c r="T736" i="1"/>
  <c r="T746" i="1"/>
  <c r="T780" i="1"/>
  <c r="T796" i="1"/>
  <c r="T812" i="1"/>
  <c r="T823" i="1"/>
  <c r="T841" i="1"/>
  <c r="T845" i="1"/>
  <c r="T846" i="1"/>
  <c r="T849" i="1"/>
  <c r="T850" i="1"/>
  <c r="T851" i="1"/>
  <c r="T852" i="1"/>
  <c r="T862" i="1"/>
  <c r="T929" i="1"/>
  <c r="T930" i="1"/>
  <c r="T931" i="1"/>
  <c r="T932" i="1"/>
  <c r="T933" i="1"/>
  <c r="T934" i="1"/>
  <c r="T951" i="1"/>
  <c r="T952" i="1"/>
  <c r="T977" i="1"/>
  <c r="T1044" i="1"/>
  <c r="T1060" i="1"/>
  <c r="T1061" i="1"/>
  <c r="T1079" i="1"/>
  <c r="T1083" i="1"/>
  <c r="T1084" i="1"/>
  <c r="T1107" i="1"/>
  <c r="T1108" i="1"/>
  <c r="T1192" i="1"/>
  <c r="T1193" i="1"/>
  <c r="T1194" i="1"/>
  <c r="T1198" i="1"/>
  <c r="T1215" i="1"/>
  <c r="T1216" i="1"/>
  <c r="T1219" i="1"/>
  <c r="T1236" i="1"/>
  <c r="T1237" i="1"/>
  <c r="T1238" i="1"/>
  <c r="T1239" i="1"/>
  <c r="T1258" i="1"/>
  <c r="T1259" i="1"/>
  <c r="T1282" i="1"/>
  <c r="T1346" i="1"/>
  <c r="T1368" i="1"/>
  <c r="T1369" i="1"/>
  <c r="T1370" i="1"/>
  <c r="T1373" i="1"/>
  <c r="T1390" i="1"/>
  <c r="T1391" i="1"/>
  <c r="T1392" i="1"/>
  <c r="T1393" i="1"/>
  <c r="T1394" i="1"/>
  <c r="T1395" i="1"/>
  <c r="T1396" i="1"/>
  <c r="T1422" i="1"/>
  <c r="T1423" i="1"/>
  <c r="T1435" i="1"/>
  <c r="T1436" i="1"/>
  <c r="T1478" i="1"/>
  <c r="T1506" i="1"/>
  <c r="T1522" i="1"/>
  <c r="T1544" i="1"/>
  <c r="T1568" i="1"/>
  <c r="T1569" i="1"/>
  <c r="T1570" i="1"/>
  <c r="T1610" i="1"/>
  <c r="T1634" i="1"/>
  <c r="T1635" i="1"/>
  <c r="T1636" i="1"/>
  <c r="T1637" i="1"/>
  <c r="T1650" i="1"/>
  <c r="T1651" i="1"/>
  <c r="T1677" i="1"/>
  <c r="T1723" i="1"/>
  <c r="T1724" i="1"/>
  <c r="T1742" i="1"/>
  <c r="T1743" i="1"/>
  <c r="T1744" i="1"/>
  <c r="T1747" i="1"/>
  <c r="T1765" i="1"/>
  <c r="T1766" i="1"/>
  <c r="T1767" i="1"/>
  <c r="T1768" i="1"/>
  <c r="T1769" i="1"/>
  <c r="T1770" i="1"/>
  <c r="T1786" i="1"/>
  <c r="T1787" i="1"/>
  <c r="T1852" i="1"/>
  <c r="T1853" i="1"/>
  <c r="T1896" i="1"/>
  <c r="T1897" i="1"/>
  <c r="T1898" i="1"/>
  <c r="T1901" i="1"/>
  <c r="T1902" i="1"/>
  <c r="T1918" i="1"/>
  <c r="T1919" i="1"/>
  <c r="T1920" i="1"/>
  <c r="T1921" i="1"/>
  <c r="T1984" i="1"/>
  <c r="T1985" i="1"/>
  <c r="T1986" i="1"/>
  <c r="T1990" i="1"/>
  <c r="T2011" i="1"/>
  <c r="T2028" i="1"/>
  <c r="T2029" i="1"/>
  <c r="T2033" i="1"/>
  <c r="T2034" i="1"/>
  <c r="T2072" i="1"/>
  <c r="T2073" i="1"/>
  <c r="T2074" i="1"/>
  <c r="T2094" i="1"/>
  <c r="T2095" i="1"/>
  <c r="T2139" i="1"/>
  <c r="T2140" i="1"/>
  <c r="T2141" i="1"/>
  <c r="T2142" i="1"/>
  <c r="T2143" i="1"/>
  <c r="T2228" i="1"/>
  <c r="T2231" i="1"/>
  <c r="T2248" i="1"/>
  <c r="T2249" i="1"/>
  <c r="T2250" i="1"/>
  <c r="T2254" i="1"/>
  <c r="T2256" i="1"/>
  <c r="T2257" i="1"/>
  <c r="T2264" i="1"/>
  <c r="T2265" i="1"/>
  <c r="T2267" i="1"/>
  <c r="T2270" i="1"/>
  <c r="T2271" i="1"/>
  <c r="T2314" i="1"/>
  <c r="T2336" i="1"/>
  <c r="T2337" i="1"/>
  <c r="T2338" i="1"/>
  <c r="T2341" i="1"/>
  <c r="T2342" i="1"/>
  <c r="T2366" i="1"/>
  <c r="T2379" i="1"/>
  <c r="T2380" i="1"/>
  <c r="T2404" i="1"/>
  <c r="T2446" i="1"/>
  <c r="T2447" i="1"/>
  <c r="T2468" i="1"/>
  <c r="T2469" i="1"/>
  <c r="T2490" i="1"/>
  <c r="T2491" i="1"/>
  <c r="T2492" i="1"/>
  <c r="T2493" i="1"/>
  <c r="T2494" i="1"/>
  <c r="T2495" i="1"/>
  <c r="T2496" i="1"/>
  <c r="T2499" i="1"/>
  <c r="T2540" i="1"/>
  <c r="T2541" i="1"/>
  <c r="T2578" i="1"/>
  <c r="T2579" i="1"/>
  <c r="T2580" i="1"/>
  <c r="T2602" i="1"/>
  <c r="T2603" i="1"/>
  <c r="T2604" i="1"/>
  <c r="T2623" i="1"/>
  <c r="T2624" i="1"/>
  <c r="T2625" i="1"/>
  <c r="T2626" i="1"/>
  <c r="T2627" i="1"/>
  <c r="T2628" i="1"/>
  <c r="T2629" i="1"/>
  <c r="T2693" i="1"/>
  <c r="T2729" i="1"/>
  <c r="T2731" i="1"/>
  <c r="T2732" i="1"/>
  <c r="T2733" i="1"/>
  <c r="T2753" i="1"/>
  <c r="T2754" i="1"/>
  <c r="T2755" i="1"/>
  <c r="T2801" i="1"/>
  <c r="T2802" i="1"/>
  <c r="T2803" i="1"/>
  <c r="T2804" i="1"/>
  <c r="T2807" i="1"/>
  <c r="T2808" i="1"/>
  <c r="T2809" i="1"/>
  <c r="T2864" i="1"/>
  <c r="T2865" i="1"/>
  <c r="T2869" i="1"/>
  <c r="T2902" i="1"/>
  <c r="T2903" i="1"/>
  <c r="T2905" i="1"/>
  <c r="T2906" i="1"/>
  <c r="T2907" i="1"/>
  <c r="T2908" i="1"/>
  <c r="T2909" i="1"/>
  <c r="T2927" i="1"/>
  <c r="T2930" i="1"/>
  <c r="T2953" i="1"/>
  <c r="T2954" i="1"/>
  <c r="T2976" i="1"/>
  <c r="T2997" i="1"/>
  <c r="T2998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2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3" i="1"/>
  <c r="R4" i="1"/>
  <c r="R5" i="1"/>
  <c r="R6" i="1"/>
  <c r="R7" i="1"/>
  <c r="R8" i="1"/>
  <c r="R2" i="1"/>
  <c r="H493" i="1"/>
  <c r="H494" i="1"/>
  <c r="H1198" i="1"/>
  <c r="H1484" i="1"/>
  <c r="H2121" i="1"/>
  <c r="H2122" i="1"/>
  <c r="H2166" i="1"/>
  <c r="H2167" i="1"/>
  <c r="H2254" i="1"/>
  <c r="H2257" i="1"/>
  <c r="H2258" i="1"/>
  <c r="H232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H31" i="1" s="1"/>
  <c r="G32" i="1"/>
  <c r="H32" i="1" s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H52" i="1" s="1"/>
  <c r="G53" i="1"/>
  <c r="H53" i="1" s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H76" i="1" s="1"/>
  <c r="G77" i="1"/>
  <c r="G78" i="1"/>
  <c r="G79" i="1"/>
  <c r="G80" i="1"/>
  <c r="G81" i="1"/>
  <c r="G82" i="1"/>
  <c r="G83" i="1"/>
  <c r="G84" i="1"/>
  <c r="G85" i="1"/>
  <c r="G86" i="1"/>
  <c r="G87" i="1"/>
  <c r="G88" i="1"/>
  <c r="H88" i="1" s="1"/>
  <c r="G89" i="1"/>
  <c r="H89" i="1" s="1"/>
  <c r="G90" i="1"/>
  <c r="H90" i="1" s="1"/>
  <c r="G91" i="1"/>
  <c r="G92" i="1"/>
  <c r="H92" i="1" s="1"/>
  <c r="G93" i="1"/>
  <c r="H93" i="1" s="1"/>
  <c r="G94" i="1"/>
  <c r="H94" i="1" s="1"/>
  <c r="G95" i="1"/>
  <c r="G96" i="1"/>
  <c r="G97" i="1"/>
  <c r="G98" i="1"/>
  <c r="H98" i="1" s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H116" i="1" s="1"/>
  <c r="G117" i="1"/>
  <c r="H117" i="1" s="1"/>
  <c r="G118" i="1"/>
  <c r="H118" i="1" s="1"/>
  <c r="G119" i="1"/>
  <c r="G120" i="1"/>
  <c r="G121" i="1"/>
  <c r="H121" i="1" s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H134" i="1" s="1"/>
  <c r="G135" i="1"/>
  <c r="G136" i="1"/>
  <c r="H136" i="1" s="1"/>
  <c r="G137" i="1"/>
  <c r="H137" i="1" s="1"/>
  <c r="G138" i="1"/>
  <c r="G139" i="1"/>
  <c r="G140" i="1"/>
  <c r="G141" i="1"/>
  <c r="G142" i="1"/>
  <c r="G143" i="1"/>
  <c r="G144" i="1"/>
  <c r="H144" i="1" s="1"/>
  <c r="G145" i="1"/>
  <c r="T145" i="1" s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H160" i="1" s="1"/>
  <c r="G161" i="1"/>
  <c r="H161" i="1" s="1"/>
  <c r="G162" i="1"/>
  <c r="H162" i="1" s="1"/>
  <c r="G163" i="1"/>
  <c r="H163" i="1" s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H178" i="1" s="1"/>
  <c r="G179" i="1"/>
  <c r="G180" i="1"/>
  <c r="H180" i="1" s="1"/>
  <c r="G181" i="1"/>
  <c r="H181" i="1" s="1"/>
  <c r="G182" i="1"/>
  <c r="G183" i="1"/>
  <c r="G184" i="1"/>
  <c r="T184" i="1" s="1"/>
  <c r="G185" i="1"/>
  <c r="G186" i="1"/>
  <c r="G187" i="1"/>
  <c r="G188" i="1"/>
  <c r="G189" i="1"/>
  <c r="G190" i="1"/>
  <c r="G191" i="1"/>
  <c r="G192" i="1"/>
  <c r="H192" i="1" s="1"/>
  <c r="G193" i="1"/>
  <c r="G194" i="1"/>
  <c r="G195" i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G202" i="1"/>
  <c r="H202" i="1" s="1"/>
  <c r="G203" i="1"/>
  <c r="H203" i="1" s="1"/>
  <c r="G204" i="1"/>
  <c r="G205" i="1"/>
  <c r="H205" i="1" s="1"/>
  <c r="G206" i="1"/>
  <c r="H206" i="1" s="1"/>
  <c r="G207" i="1"/>
  <c r="H207" i="1" s="1"/>
  <c r="G208" i="1"/>
  <c r="H208" i="1" s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H226" i="1" s="1"/>
  <c r="G227" i="1"/>
  <c r="H227" i="1" s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H240" i="1" s="1"/>
  <c r="G241" i="1"/>
  <c r="H241" i="1" s="1"/>
  <c r="G242" i="1"/>
  <c r="G243" i="1"/>
  <c r="G244" i="1"/>
  <c r="G245" i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H266" i="1" s="1"/>
  <c r="G267" i="1"/>
  <c r="G268" i="1"/>
  <c r="H268" i="1" s="1"/>
  <c r="G269" i="1"/>
  <c r="H269" i="1" s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H288" i="1" s="1"/>
  <c r="G289" i="1"/>
  <c r="G290" i="1"/>
  <c r="G291" i="1"/>
  <c r="H291" i="1" s="1"/>
  <c r="G292" i="1"/>
  <c r="H292" i="1" s="1"/>
  <c r="G293" i="1"/>
  <c r="H293" i="1" s="1"/>
  <c r="G294" i="1"/>
  <c r="T294" i="1" s="1"/>
  <c r="G295" i="1"/>
  <c r="H295" i="1" s="1"/>
  <c r="G296" i="1"/>
  <c r="G297" i="1"/>
  <c r="H297" i="1" s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H334" i="1" s="1"/>
  <c r="G335" i="1"/>
  <c r="G336" i="1"/>
  <c r="G337" i="1"/>
  <c r="G338" i="1"/>
  <c r="H338" i="1" s="1"/>
  <c r="G339" i="1"/>
  <c r="H339" i="1" s="1"/>
  <c r="G340" i="1"/>
  <c r="G341" i="1"/>
  <c r="H341" i="1" s="1"/>
  <c r="G342" i="1"/>
  <c r="G343" i="1"/>
  <c r="G344" i="1"/>
  <c r="G345" i="1"/>
  <c r="G346" i="1"/>
  <c r="G347" i="1"/>
  <c r="G348" i="1"/>
  <c r="H348" i="1" s="1"/>
  <c r="G349" i="1"/>
  <c r="G350" i="1"/>
  <c r="G351" i="1"/>
  <c r="H351" i="1" s="1"/>
  <c r="G352" i="1"/>
  <c r="G353" i="1"/>
  <c r="G354" i="1"/>
  <c r="G355" i="1"/>
  <c r="G356" i="1"/>
  <c r="H356" i="1" s="1"/>
  <c r="G357" i="1"/>
  <c r="G358" i="1"/>
  <c r="H358" i="1" s="1"/>
  <c r="G359" i="1"/>
  <c r="G360" i="1"/>
  <c r="G361" i="1"/>
  <c r="H361" i="1" s="1"/>
  <c r="G362" i="1"/>
  <c r="G363" i="1"/>
  <c r="G364" i="1"/>
  <c r="G365" i="1"/>
  <c r="G366" i="1"/>
  <c r="G367" i="1"/>
  <c r="H367" i="1" s="1"/>
  <c r="G368" i="1"/>
  <c r="H368" i="1" s="1"/>
  <c r="G369" i="1"/>
  <c r="G370" i="1"/>
  <c r="G371" i="1"/>
  <c r="G372" i="1"/>
  <c r="G373" i="1"/>
  <c r="G374" i="1"/>
  <c r="G375" i="1"/>
  <c r="G376" i="1"/>
  <c r="G377" i="1"/>
  <c r="G378" i="1"/>
  <c r="G379" i="1"/>
  <c r="H379" i="1" s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H393" i="1" s="1"/>
  <c r="G394" i="1"/>
  <c r="H394" i="1" s="1"/>
  <c r="G395" i="1"/>
  <c r="G396" i="1"/>
  <c r="G397" i="1"/>
  <c r="G398" i="1"/>
  <c r="H398" i="1" s="1"/>
  <c r="G399" i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G428" i="1"/>
  <c r="G429" i="1"/>
  <c r="G430" i="1"/>
  <c r="G431" i="1"/>
  <c r="G432" i="1"/>
  <c r="G433" i="1"/>
  <c r="G434" i="1"/>
  <c r="H434" i="1" s="1"/>
  <c r="G435" i="1"/>
  <c r="G436" i="1"/>
  <c r="G437" i="1"/>
  <c r="G438" i="1"/>
  <c r="G439" i="1"/>
  <c r="G440" i="1"/>
  <c r="G441" i="1"/>
  <c r="G442" i="1"/>
  <c r="G443" i="1"/>
  <c r="G444" i="1"/>
  <c r="G445" i="1"/>
  <c r="G446" i="1"/>
  <c r="H446" i="1" s="1"/>
  <c r="G447" i="1"/>
  <c r="G448" i="1"/>
  <c r="G449" i="1"/>
  <c r="H449" i="1" s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H467" i="1" s="1"/>
  <c r="G468" i="1"/>
  <c r="H468" i="1" s="1"/>
  <c r="G469" i="1"/>
  <c r="G470" i="1"/>
  <c r="G471" i="1"/>
  <c r="H471" i="1" s="1"/>
  <c r="G472" i="1"/>
  <c r="H472" i="1" s="1"/>
  <c r="G473" i="1"/>
  <c r="H473" i="1" s="1"/>
  <c r="G474" i="1"/>
  <c r="H474" i="1" s="1"/>
  <c r="G475" i="1"/>
  <c r="G476" i="1"/>
  <c r="G477" i="1"/>
  <c r="G478" i="1"/>
  <c r="G479" i="1"/>
  <c r="G480" i="1"/>
  <c r="G481" i="1"/>
  <c r="G482" i="1"/>
  <c r="H482" i="1" s="1"/>
  <c r="G483" i="1"/>
  <c r="H483" i="1" s="1"/>
  <c r="G484" i="1"/>
  <c r="H484" i="1" s="1"/>
  <c r="G485" i="1"/>
  <c r="G486" i="1"/>
  <c r="G487" i="1"/>
  <c r="G488" i="1"/>
  <c r="G489" i="1"/>
  <c r="G490" i="1"/>
  <c r="G491" i="1"/>
  <c r="G492" i="1"/>
  <c r="G493" i="1"/>
  <c r="T493" i="1" s="1"/>
  <c r="G494" i="1"/>
  <c r="T494" i="1" s="1"/>
  <c r="G495" i="1"/>
  <c r="H495" i="1" s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H515" i="1" s="1"/>
  <c r="G516" i="1"/>
  <c r="G517" i="1"/>
  <c r="H517" i="1" s="1"/>
  <c r="G518" i="1"/>
  <c r="G519" i="1"/>
  <c r="G520" i="1"/>
  <c r="T520" i="1" s="1"/>
  <c r="G521" i="1"/>
  <c r="G522" i="1"/>
  <c r="G523" i="1"/>
  <c r="G524" i="1"/>
  <c r="G525" i="1"/>
  <c r="G526" i="1"/>
  <c r="H526" i="1" s="1"/>
  <c r="G527" i="1"/>
  <c r="G528" i="1"/>
  <c r="G529" i="1"/>
  <c r="G530" i="1"/>
  <c r="G531" i="1"/>
  <c r="G532" i="1"/>
  <c r="H532" i="1" s="1"/>
  <c r="G533" i="1"/>
  <c r="H533" i="1" s="1"/>
  <c r="G534" i="1"/>
  <c r="G535" i="1"/>
  <c r="G536" i="1"/>
  <c r="G537" i="1"/>
  <c r="H537" i="1" s="1"/>
  <c r="G538" i="1"/>
  <c r="H538" i="1" s="1"/>
  <c r="G539" i="1"/>
  <c r="G540" i="1"/>
  <c r="G541" i="1"/>
  <c r="G542" i="1"/>
  <c r="G543" i="1"/>
  <c r="G544" i="1"/>
  <c r="G545" i="1"/>
  <c r="G546" i="1"/>
  <c r="G547" i="1"/>
  <c r="G548" i="1"/>
  <c r="G549" i="1"/>
  <c r="G550" i="1"/>
  <c r="H550" i="1" s="1"/>
  <c r="G551" i="1"/>
  <c r="H551" i="1" s="1"/>
  <c r="G552" i="1"/>
  <c r="H552" i="1" s="1"/>
  <c r="G553" i="1"/>
  <c r="G554" i="1"/>
  <c r="H554" i="1" s="1"/>
  <c r="G555" i="1"/>
  <c r="H555" i="1" s="1"/>
  <c r="G556" i="1"/>
  <c r="H556" i="1" s="1"/>
  <c r="G557" i="1"/>
  <c r="G558" i="1"/>
  <c r="G559" i="1"/>
  <c r="H559" i="1" s="1"/>
  <c r="G560" i="1"/>
  <c r="H560" i="1" s="1"/>
  <c r="G561" i="1"/>
  <c r="G562" i="1"/>
  <c r="G563" i="1"/>
  <c r="G564" i="1"/>
  <c r="G565" i="1"/>
  <c r="G566" i="1"/>
  <c r="G567" i="1"/>
  <c r="G568" i="1"/>
  <c r="G569" i="1"/>
  <c r="G570" i="1"/>
  <c r="G571" i="1"/>
  <c r="G572" i="1"/>
  <c r="H572" i="1" s="1"/>
  <c r="G573" i="1"/>
  <c r="H573" i="1" s="1"/>
  <c r="G574" i="1"/>
  <c r="H574" i="1" s="1"/>
  <c r="G575" i="1"/>
  <c r="G576" i="1"/>
  <c r="H576" i="1" s="1"/>
  <c r="G577" i="1"/>
  <c r="H577" i="1" s="1"/>
  <c r="G578" i="1"/>
  <c r="H578" i="1" s="1"/>
  <c r="G579" i="1"/>
  <c r="H579" i="1" s="1"/>
  <c r="G580" i="1"/>
  <c r="G581" i="1"/>
  <c r="G582" i="1"/>
  <c r="G583" i="1"/>
  <c r="H583" i="1" s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H601" i="1" s="1"/>
  <c r="G602" i="1"/>
  <c r="H602" i="1" s="1"/>
  <c r="G603" i="1"/>
  <c r="G604" i="1"/>
  <c r="G605" i="1"/>
  <c r="G606" i="1"/>
  <c r="G607" i="1"/>
  <c r="H607" i="1" s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H621" i="1" s="1"/>
  <c r="G622" i="1"/>
  <c r="H622" i="1" s="1"/>
  <c r="G623" i="1"/>
  <c r="G624" i="1"/>
  <c r="G625" i="1"/>
  <c r="G626" i="1"/>
  <c r="T626" i="1" s="1"/>
  <c r="G627" i="1"/>
  <c r="T627" i="1" s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H647" i="1" s="1"/>
  <c r="G648" i="1"/>
  <c r="H648" i="1" s="1"/>
  <c r="G649" i="1"/>
  <c r="G650" i="1"/>
  <c r="G651" i="1"/>
  <c r="G652" i="1"/>
  <c r="G653" i="1"/>
  <c r="G654" i="1"/>
  <c r="G655" i="1"/>
  <c r="G656" i="1"/>
  <c r="G657" i="1"/>
  <c r="G658" i="1"/>
  <c r="H658" i="1" s="1"/>
  <c r="G659" i="1"/>
  <c r="H659" i="1" s="1"/>
  <c r="G660" i="1"/>
  <c r="H660" i="1" s="1"/>
  <c r="G661" i="1"/>
  <c r="G662" i="1"/>
  <c r="G663" i="1"/>
  <c r="G664" i="1"/>
  <c r="G665" i="1"/>
  <c r="G666" i="1"/>
  <c r="G667" i="1"/>
  <c r="H667" i="1" s="1"/>
  <c r="G668" i="1"/>
  <c r="H668" i="1" s="1"/>
  <c r="G669" i="1"/>
  <c r="G670" i="1"/>
  <c r="G671" i="1"/>
  <c r="H671" i="1" s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H684" i="1" s="1"/>
  <c r="G685" i="1"/>
  <c r="G686" i="1"/>
  <c r="H686" i="1" s="1"/>
  <c r="G687" i="1"/>
  <c r="H687" i="1" s="1"/>
  <c r="G688" i="1"/>
  <c r="H688" i="1" s="1"/>
  <c r="G689" i="1"/>
  <c r="G690" i="1"/>
  <c r="G691" i="1"/>
  <c r="H691" i="1" s="1"/>
  <c r="G692" i="1"/>
  <c r="H692" i="1" s="1"/>
  <c r="G693" i="1"/>
  <c r="G694" i="1"/>
  <c r="G695" i="1"/>
  <c r="G696" i="1"/>
  <c r="G697" i="1"/>
  <c r="H697" i="1" s="1"/>
  <c r="G698" i="1"/>
  <c r="H698" i="1" s="1"/>
  <c r="G699" i="1"/>
  <c r="H699" i="1" s="1"/>
  <c r="G700" i="1"/>
  <c r="H700" i="1" s="1"/>
  <c r="G701" i="1"/>
  <c r="G702" i="1"/>
  <c r="G703" i="1"/>
  <c r="G704" i="1"/>
  <c r="G705" i="1"/>
  <c r="G706" i="1"/>
  <c r="G707" i="1"/>
  <c r="G708" i="1"/>
  <c r="H708" i="1" s="1"/>
  <c r="G709" i="1"/>
  <c r="H709" i="1" s="1"/>
  <c r="G710" i="1"/>
  <c r="H710" i="1" s="1"/>
  <c r="G711" i="1"/>
  <c r="G712" i="1"/>
  <c r="H712" i="1" s="1"/>
  <c r="G713" i="1"/>
  <c r="H713" i="1" s="1"/>
  <c r="G714" i="1"/>
  <c r="H714" i="1" s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G738" i="1"/>
  <c r="G739" i="1"/>
  <c r="G740" i="1"/>
  <c r="G741" i="1"/>
  <c r="G742" i="1"/>
  <c r="G743" i="1"/>
  <c r="G744" i="1"/>
  <c r="G745" i="1"/>
  <c r="H745" i="1" s="1"/>
  <c r="G746" i="1"/>
  <c r="H746" i="1" s="1"/>
  <c r="G747" i="1"/>
  <c r="G748" i="1"/>
  <c r="H748" i="1" s="1"/>
  <c r="G749" i="1"/>
  <c r="G750" i="1"/>
  <c r="G751" i="1"/>
  <c r="G752" i="1"/>
  <c r="G753" i="1"/>
  <c r="G754" i="1"/>
  <c r="G755" i="1"/>
  <c r="H755" i="1" s="1"/>
  <c r="G756" i="1"/>
  <c r="G757" i="1"/>
  <c r="G758" i="1"/>
  <c r="H758" i="1" s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H780" i="1" s="1"/>
  <c r="G781" i="1"/>
  <c r="H781" i="1" s="1"/>
  <c r="G782" i="1"/>
  <c r="H782" i="1" s="1"/>
  <c r="G783" i="1"/>
  <c r="G784" i="1"/>
  <c r="G785" i="1"/>
  <c r="G786" i="1"/>
  <c r="G787" i="1"/>
  <c r="G788" i="1"/>
  <c r="G789" i="1"/>
  <c r="G790" i="1"/>
  <c r="G791" i="1"/>
  <c r="G792" i="1"/>
  <c r="G793" i="1"/>
  <c r="G794" i="1"/>
  <c r="H794" i="1" s="1"/>
  <c r="G795" i="1"/>
  <c r="G796" i="1"/>
  <c r="H796" i="1" s="1"/>
  <c r="G797" i="1"/>
  <c r="H797" i="1" s="1"/>
  <c r="G798" i="1"/>
  <c r="H798" i="1" s="1"/>
  <c r="G799" i="1"/>
  <c r="G800" i="1"/>
  <c r="G801" i="1"/>
  <c r="H801" i="1" s="1"/>
  <c r="G802" i="1"/>
  <c r="G803" i="1"/>
  <c r="H803" i="1" s="1"/>
  <c r="G804" i="1"/>
  <c r="G805" i="1"/>
  <c r="G806" i="1"/>
  <c r="H806" i="1" s="1"/>
  <c r="G807" i="1"/>
  <c r="H807" i="1" s="1"/>
  <c r="G808" i="1"/>
  <c r="G809" i="1"/>
  <c r="G810" i="1"/>
  <c r="G811" i="1"/>
  <c r="G812" i="1"/>
  <c r="H812" i="1" s="1"/>
  <c r="G813" i="1"/>
  <c r="H813" i="1" s="1"/>
  <c r="G814" i="1"/>
  <c r="G815" i="1"/>
  <c r="G816" i="1"/>
  <c r="G817" i="1"/>
  <c r="G818" i="1"/>
  <c r="G819" i="1"/>
  <c r="G820" i="1"/>
  <c r="G821" i="1"/>
  <c r="G822" i="1"/>
  <c r="H822" i="1" s="1"/>
  <c r="G823" i="1"/>
  <c r="H823" i="1" s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H841" i="1" s="1"/>
  <c r="G842" i="1"/>
  <c r="G843" i="1"/>
  <c r="G844" i="1"/>
  <c r="G845" i="1"/>
  <c r="H845" i="1" s="1"/>
  <c r="G846" i="1"/>
  <c r="H846" i="1" s="1"/>
  <c r="G847" i="1"/>
  <c r="H847" i="1" s="1"/>
  <c r="G848" i="1"/>
  <c r="G849" i="1"/>
  <c r="H849" i="1" s="1"/>
  <c r="G850" i="1"/>
  <c r="H850" i="1" s="1"/>
  <c r="G851" i="1"/>
  <c r="H851" i="1" s="1"/>
  <c r="G852" i="1"/>
  <c r="H852" i="1" s="1"/>
  <c r="G853" i="1"/>
  <c r="G854" i="1"/>
  <c r="G855" i="1"/>
  <c r="G856" i="1"/>
  <c r="G857" i="1"/>
  <c r="G858" i="1"/>
  <c r="G859" i="1"/>
  <c r="G860" i="1"/>
  <c r="H860" i="1" s="1"/>
  <c r="G861" i="1"/>
  <c r="G862" i="1"/>
  <c r="H862" i="1" s="1"/>
  <c r="G863" i="1"/>
  <c r="G864" i="1"/>
  <c r="G865" i="1"/>
  <c r="G866" i="1"/>
  <c r="G867" i="1"/>
  <c r="H867" i="1" s="1"/>
  <c r="G868" i="1"/>
  <c r="H868" i="1" s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H884" i="1" s="1"/>
  <c r="G885" i="1"/>
  <c r="H885" i="1" s="1"/>
  <c r="G886" i="1"/>
  <c r="H886" i="1" s="1"/>
  <c r="G887" i="1"/>
  <c r="G888" i="1"/>
  <c r="G889" i="1"/>
  <c r="H889" i="1" s="1"/>
  <c r="G890" i="1"/>
  <c r="G891" i="1"/>
  <c r="H891" i="1" s="1"/>
  <c r="G892" i="1"/>
  <c r="G893" i="1"/>
  <c r="G894" i="1"/>
  <c r="G895" i="1"/>
  <c r="G896" i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G903" i="1"/>
  <c r="G904" i="1"/>
  <c r="G905" i="1"/>
  <c r="G906" i="1"/>
  <c r="G907" i="1"/>
  <c r="G908" i="1"/>
  <c r="G909" i="1"/>
  <c r="G910" i="1"/>
  <c r="G911" i="1"/>
  <c r="G912" i="1"/>
  <c r="T912" i="1" s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H951" i="1" s="1"/>
  <c r="G952" i="1"/>
  <c r="H952" i="1" s="1"/>
  <c r="G953" i="1"/>
  <c r="G954" i="1"/>
  <c r="H954" i="1" s="1"/>
  <c r="G955" i="1"/>
  <c r="H955" i="1" s="1"/>
  <c r="G956" i="1"/>
  <c r="H956" i="1" s="1"/>
  <c r="G957" i="1"/>
  <c r="H957" i="1" s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H974" i="1" s="1"/>
  <c r="G975" i="1"/>
  <c r="G976" i="1"/>
  <c r="G977" i="1"/>
  <c r="H977" i="1" s="1"/>
  <c r="G978" i="1"/>
  <c r="G979" i="1"/>
  <c r="G980" i="1"/>
  <c r="G981" i="1"/>
  <c r="G982" i="1"/>
  <c r="G983" i="1"/>
  <c r="G984" i="1"/>
  <c r="G985" i="1"/>
  <c r="G986" i="1"/>
  <c r="H986" i="1" s="1"/>
  <c r="G987" i="1"/>
  <c r="H987" i="1" s="1"/>
  <c r="G988" i="1"/>
  <c r="H988" i="1" s="1"/>
  <c r="G989" i="1"/>
  <c r="G990" i="1"/>
  <c r="G991" i="1"/>
  <c r="G992" i="1"/>
  <c r="G993" i="1"/>
  <c r="G994" i="1"/>
  <c r="G995" i="1"/>
  <c r="G996" i="1"/>
  <c r="G997" i="1"/>
  <c r="G998" i="1"/>
  <c r="H998" i="1" s="1"/>
  <c r="G999" i="1"/>
  <c r="H999" i="1" s="1"/>
  <c r="G1000" i="1"/>
  <c r="G1001" i="1"/>
  <c r="H1001" i="1" s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H1014" i="1" s="1"/>
  <c r="G1015" i="1"/>
  <c r="G1016" i="1"/>
  <c r="G1017" i="1"/>
  <c r="G1018" i="1"/>
  <c r="G1019" i="1"/>
  <c r="G1020" i="1"/>
  <c r="G1021" i="1"/>
  <c r="H1021" i="1" s="1"/>
  <c r="G1022" i="1"/>
  <c r="G1023" i="1"/>
  <c r="G1024" i="1"/>
  <c r="G1025" i="1"/>
  <c r="G1026" i="1"/>
  <c r="G1027" i="1"/>
  <c r="H1027" i="1" s="1"/>
  <c r="G1028" i="1"/>
  <c r="H1028" i="1" s="1"/>
  <c r="G1029" i="1"/>
  <c r="G1030" i="1"/>
  <c r="G1031" i="1"/>
  <c r="G1032" i="1"/>
  <c r="G1033" i="1"/>
  <c r="G1034" i="1"/>
  <c r="H1034" i="1" s="1"/>
  <c r="G1035" i="1"/>
  <c r="H1035" i="1" s="1"/>
  <c r="G1036" i="1"/>
  <c r="H1036" i="1" s="1"/>
  <c r="G1037" i="1"/>
  <c r="G1038" i="1"/>
  <c r="G1039" i="1"/>
  <c r="G1040" i="1"/>
  <c r="G1041" i="1"/>
  <c r="G1042" i="1"/>
  <c r="G1043" i="1"/>
  <c r="G1044" i="1"/>
  <c r="H1044" i="1" s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H1056" i="1" s="1"/>
  <c r="G1057" i="1"/>
  <c r="G1058" i="1"/>
  <c r="G1059" i="1"/>
  <c r="G1060" i="1"/>
  <c r="H1060" i="1" s="1"/>
  <c r="G1061" i="1"/>
  <c r="H1061" i="1" s="1"/>
  <c r="G1062" i="1"/>
  <c r="G1063" i="1"/>
  <c r="G1064" i="1"/>
  <c r="G1065" i="1"/>
  <c r="T1065" i="1" s="1"/>
  <c r="G1066" i="1"/>
  <c r="T1066" i="1" s="1"/>
  <c r="G1067" i="1"/>
  <c r="G1068" i="1"/>
  <c r="G1069" i="1"/>
  <c r="G1070" i="1"/>
  <c r="G1071" i="1"/>
  <c r="G1072" i="1"/>
  <c r="G1073" i="1"/>
  <c r="H1073" i="1" s="1"/>
  <c r="G1074" i="1"/>
  <c r="H1074" i="1" s="1"/>
  <c r="G1075" i="1"/>
  <c r="H1075" i="1" s="1"/>
  <c r="G1076" i="1"/>
  <c r="G1077" i="1"/>
  <c r="G1078" i="1"/>
  <c r="H1078" i="1" s="1"/>
  <c r="G1079" i="1"/>
  <c r="H1079" i="1" s="1"/>
  <c r="G1080" i="1"/>
  <c r="G1081" i="1"/>
  <c r="G1082" i="1"/>
  <c r="H1082" i="1" s="1"/>
  <c r="G1083" i="1"/>
  <c r="H1083" i="1" s="1"/>
  <c r="G1084" i="1"/>
  <c r="H1084" i="1" s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H1107" i="1" s="1"/>
  <c r="G1108" i="1"/>
  <c r="H1108" i="1" s="1"/>
  <c r="G1109" i="1"/>
  <c r="H1109" i="1" s="1"/>
  <c r="G1110" i="1"/>
  <c r="G1111" i="1"/>
  <c r="G1112" i="1"/>
  <c r="H1112" i="1" s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H1124" i="1" s="1"/>
  <c r="G1125" i="1"/>
  <c r="G1126" i="1"/>
  <c r="H1126" i="1" s="1"/>
  <c r="G1127" i="1"/>
  <c r="H1127" i="1" s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H1142" i="1" s="1"/>
  <c r="G1143" i="1"/>
  <c r="H1143" i="1" s="1"/>
  <c r="G1144" i="1"/>
  <c r="G1145" i="1"/>
  <c r="G1146" i="1"/>
  <c r="G1147" i="1"/>
  <c r="G1148" i="1"/>
  <c r="G1149" i="1"/>
  <c r="H1149" i="1" s="1"/>
  <c r="G1150" i="1"/>
  <c r="H1150" i="1" s="1"/>
  <c r="G1151" i="1"/>
  <c r="G1152" i="1"/>
  <c r="G1153" i="1"/>
  <c r="G1154" i="1"/>
  <c r="G1155" i="1"/>
  <c r="G1156" i="1"/>
  <c r="G1157" i="1"/>
  <c r="G1158" i="1"/>
  <c r="G1159" i="1"/>
  <c r="H1159" i="1" s="1"/>
  <c r="G1160" i="1"/>
  <c r="G1161" i="1"/>
  <c r="G1162" i="1"/>
  <c r="G1163" i="1"/>
  <c r="G1164" i="1"/>
  <c r="G1165" i="1"/>
  <c r="G1166" i="1"/>
  <c r="H1166" i="1" s="1"/>
  <c r="G1167" i="1"/>
  <c r="G1168" i="1"/>
  <c r="G1169" i="1"/>
  <c r="G1170" i="1"/>
  <c r="H1170" i="1" s="1"/>
  <c r="G1171" i="1"/>
  <c r="G1172" i="1"/>
  <c r="G1173" i="1"/>
  <c r="G1174" i="1"/>
  <c r="H1174" i="1" s="1"/>
  <c r="G1175" i="1"/>
  <c r="H1175" i="1" s="1"/>
  <c r="G1176" i="1"/>
  <c r="T1176" i="1" s="1"/>
  <c r="G1177" i="1"/>
  <c r="G1178" i="1"/>
  <c r="G1179" i="1"/>
  <c r="G1180" i="1"/>
  <c r="G1181" i="1"/>
  <c r="G1182" i="1"/>
  <c r="G1183" i="1"/>
  <c r="G1184" i="1"/>
  <c r="G1185" i="1"/>
  <c r="G1186" i="1"/>
  <c r="H1186" i="1" s="1"/>
  <c r="G1187" i="1"/>
  <c r="H1187" i="1" s="1"/>
  <c r="G1188" i="1"/>
  <c r="G1189" i="1"/>
  <c r="G1190" i="1"/>
  <c r="G1191" i="1"/>
  <c r="G1192" i="1"/>
  <c r="H1192" i="1" s="1"/>
  <c r="G1193" i="1"/>
  <c r="H1193" i="1" s="1"/>
  <c r="G1194" i="1"/>
  <c r="H1194" i="1" s="1"/>
  <c r="G1195" i="1"/>
  <c r="G1196" i="1"/>
  <c r="G1197" i="1"/>
  <c r="H1197" i="1" s="1"/>
  <c r="G1198" i="1"/>
  <c r="G1199" i="1"/>
  <c r="G1200" i="1"/>
  <c r="G1201" i="1"/>
  <c r="H1201" i="1" s="1"/>
  <c r="G1202" i="1"/>
  <c r="G1203" i="1"/>
  <c r="G1204" i="1"/>
  <c r="G1205" i="1"/>
  <c r="G1206" i="1"/>
  <c r="G1207" i="1"/>
  <c r="G1208" i="1"/>
  <c r="G1209" i="1"/>
  <c r="G1210" i="1"/>
  <c r="H1210" i="1" s="1"/>
  <c r="G1211" i="1"/>
  <c r="G1212" i="1"/>
  <c r="G1213" i="1"/>
  <c r="G1214" i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G1222" i="1"/>
  <c r="G1223" i="1"/>
  <c r="G1224" i="1"/>
  <c r="G1225" i="1"/>
  <c r="G1226" i="1"/>
  <c r="G1227" i="1"/>
  <c r="H1227" i="1" s="1"/>
  <c r="G1228" i="1"/>
  <c r="G1229" i="1"/>
  <c r="G1230" i="1"/>
  <c r="G1231" i="1"/>
  <c r="H1231" i="1" s="1"/>
  <c r="G1232" i="1"/>
  <c r="G1233" i="1"/>
  <c r="G1234" i="1"/>
  <c r="G1235" i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G1243" i="1"/>
  <c r="H1243" i="1" s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H1258" i="1" s="1"/>
  <c r="G1259" i="1"/>
  <c r="H1259" i="1" s="1"/>
  <c r="G1260" i="1"/>
  <c r="G1261" i="1"/>
  <c r="G1262" i="1"/>
  <c r="G1263" i="1"/>
  <c r="G1264" i="1"/>
  <c r="G1265" i="1"/>
  <c r="G1266" i="1"/>
  <c r="G1267" i="1"/>
  <c r="G1268" i="1"/>
  <c r="G1269" i="1"/>
  <c r="G1270" i="1"/>
  <c r="H1270" i="1" s="1"/>
  <c r="G1271" i="1"/>
  <c r="G1272" i="1"/>
  <c r="G1273" i="1"/>
  <c r="G1274" i="1"/>
  <c r="G1275" i="1"/>
  <c r="G1276" i="1"/>
  <c r="H1276" i="1" s="1"/>
  <c r="G1277" i="1"/>
  <c r="H1277" i="1" s="1"/>
  <c r="G1278" i="1"/>
  <c r="G1279" i="1"/>
  <c r="G1280" i="1"/>
  <c r="G1281" i="1"/>
  <c r="G1282" i="1"/>
  <c r="H1282" i="1" s="1"/>
  <c r="G1283" i="1"/>
  <c r="H1283" i="1" s="1"/>
  <c r="G1284" i="1"/>
  <c r="H1284" i="1" s="1"/>
  <c r="G1285" i="1"/>
  <c r="H1285" i="1" s="1"/>
  <c r="G1286" i="1"/>
  <c r="G1287" i="1"/>
  <c r="H1287" i="1" s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H1329" i="1" s="1"/>
  <c r="G1330" i="1"/>
  <c r="G1331" i="1"/>
  <c r="H1331" i="1" s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H1346" i="1" s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H1368" i="1" s="1"/>
  <c r="G1369" i="1"/>
  <c r="H1369" i="1" s="1"/>
  <c r="G1370" i="1"/>
  <c r="H1370" i="1" s="1"/>
  <c r="G1371" i="1"/>
  <c r="G1372" i="1"/>
  <c r="G1373" i="1"/>
  <c r="H1373" i="1" s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H1388" i="1" s="1"/>
  <c r="G1389" i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H1416" i="1" s="1"/>
  <c r="G1417" i="1"/>
  <c r="G1418" i="1"/>
  <c r="G1419" i="1"/>
  <c r="H1419" i="1" s="1"/>
  <c r="G1420" i="1"/>
  <c r="G1421" i="1"/>
  <c r="G1422" i="1"/>
  <c r="H1422" i="1" s="1"/>
  <c r="G1423" i="1"/>
  <c r="H1423" i="1" s="1"/>
  <c r="G1424" i="1"/>
  <c r="G1425" i="1"/>
  <c r="G1426" i="1"/>
  <c r="G1427" i="1"/>
  <c r="H1427" i="1" s="1"/>
  <c r="G1428" i="1"/>
  <c r="G1429" i="1"/>
  <c r="G1430" i="1"/>
  <c r="G1431" i="1"/>
  <c r="G1432" i="1"/>
  <c r="G1433" i="1"/>
  <c r="G1434" i="1"/>
  <c r="G1435" i="1"/>
  <c r="H1435" i="1" s="1"/>
  <c r="G1436" i="1"/>
  <c r="H1436" i="1" s="1"/>
  <c r="G1437" i="1"/>
  <c r="H1437" i="1" s="1"/>
  <c r="G1438" i="1"/>
  <c r="G1439" i="1"/>
  <c r="H1439" i="1" s="1"/>
  <c r="G1440" i="1"/>
  <c r="H1440" i="1" s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H1452" i="1" s="1"/>
  <c r="G1453" i="1"/>
  <c r="H1453" i="1" s="1"/>
  <c r="G1454" i="1"/>
  <c r="H1454" i="1" s="1"/>
  <c r="G1455" i="1"/>
  <c r="G1456" i="1"/>
  <c r="G1457" i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G1465" i="1"/>
  <c r="H1465" i="1" s="1"/>
  <c r="G1466" i="1"/>
  <c r="G1467" i="1"/>
  <c r="G1468" i="1"/>
  <c r="G1469" i="1"/>
  <c r="G1470" i="1"/>
  <c r="G1471" i="1"/>
  <c r="G1472" i="1"/>
  <c r="G1473" i="1"/>
  <c r="H1473" i="1" s="1"/>
  <c r="G1474" i="1"/>
  <c r="G1475" i="1"/>
  <c r="G1476" i="1"/>
  <c r="G1477" i="1"/>
  <c r="G1478" i="1"/>
  <c r="H1478" i="1" s="1"/>
  <c r="G1479" i="1"/>
  <c r="G1480" i="1"/>
  <c r="G1481" i="1"/>
  <c r="G1482" i="1"/>
  <c r="G1483" i="1"/>
  <c r="G1484" i="1"/>
  <c r="T1484" i="1" s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G1514" i="1"/>
  <c r="H1514" i="1" s="1"/>
  <c r="G1515" i="1"/>
  <c r="G1516" i="1"/>
  <c r="G1517" i="1"/>
  <c r="G1518" i="1"/>
  <c r="G1519" i="1"/>
  <c r="G1520" i="1"/>
  <c r="G1521" i="1"/>
  <c r="G1522" i="1"/>
  <c r="H1522" i="1" s="1"/>
  <c r="G1523" i="1"/>
  <c r="H1523" i="1" s="1"/>
  <c r="G1524" i="1"/>
  <c r="H1524" i="1" s="1"/>
  <c r="G1525" i="1"/>
  <c r="G1526" i="1"/>
  <c r="G1527" i="1"/>
  <c r="H1527" i="1" s="1"/>
  <c r="G1528" i="1"/>
  <c r="H1528" i="1" s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H1544" i="1" s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H1568" i="1" s="1"/>
  <c r="G1569" i="1"/>
  <c r="H1569" i="1" s="1"/>
  <c r="G1570" i="1"/>
  <c r="H1570" i="1" s="1"/>
  <c r="G1571" i="1"/>
  <c r="G1572" i="1"/>
  <c r="G1573" i="1"/>
  <c r="H1573" i="1" s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T1598" i="1" s="1"/>
  <c r="G1599" i="1"/>
  <c r="T1599" i="1" s="1"/>
  <c r="G1600" i="1"/>
  <c r="T1600" i="1" s="1"/>
  <c r="G1601" i="1"/>
  <c r="H1601" i="1" s="1"/>
  <c r="G1602" i="1"/>
  <c r="G1603" i="1"/>
  <c r="G1604" i="1"/>
  <c r="G1605" i="1"/>
  <c r="H1605" i="1" s="1"/>
  <c r="G1606" i="1"/>
  <c r="H1606" i="1" s="1"/>
  <c r="G1607" i="1"/>
  <c r="H1607" i="1" s="1"/>
  <c r="G1608" i="1"/>
  <c r="H1608" i="1" s="1"/>
  <c r="G1609" i="1"/>
  <c r="G1610" i="1"/>
  <c r="H1610" i="1" s="1"/>
  <c r="G1611" i="1"/>
  <c r="H1611" i="1" s="1"/>
  <c r="G1612" i="1"/>
  <c r="H1612" i="1" s="1"/>
  <c r="G1613" i="1"/>
  <c r="G1614" i="1"/>
  <c r="G1615" i="1"/>
  <c r="H1615" i="1" s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G1641" i="1"/>
  <c r="G1642" i="1"/>
  <c r="G1643" i="1"/>
  <c r="G1644" i="1"/>
  <c r="G1645" i="1"/>
  <c r="G1646" i="1"/>
  <c r="G1647" i="1"/>
  <c r="G1648" i="1"/>
  <c r="H1648" i="1" s="1"/>
  <c r="G1649" i="1"/>
  <c r="H1649" i="1" s="1"/>
  <c r="G1650" i="1"/>
  <c r="H1650" i="1" s="1"/>
  <c r="G1651" i="1"/>
  <c r="H1651" i="1" s="1"/>
  <c r="G1652" i="1"/>
  <c r="G1653" i="1"/>
  <c r="G1654" i="1"/>
  <c r="G1655" i="1"/>
  <c r="G1656" i="1"/>
  <c r="G1657" i="1"/>
  <c r="H1657" i="1" s="1"/>
  <c r="G1658" i="1"/>
  <c r="H1658" i="1" s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H1677" i="1" s="1"/>
  <c r="G1678" i="1"/>
  <c r="G1679" i="1"/>
  <c r="G1680" i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G1687" i="1"/>
  <c r="G1688" i="1"/>
  <c r="H1688" i="1" s="1"/>
  <c r="G1689" i="1"/>
  <c r="G1690" i="1"/>
  <c r="G1691" i="1"/>
  <c r="G1692" i="1"/>
  <c r="H1692" i="1" s="1"/>
  <c r="G1693" i="1"/>
  <c r="H1693" i="1" s="1"/>
  <c r="G1694" i="1"/>
  <c r="H1694" i="1" s="1"/>
  <c r="G1695" i="1"/>
  <c r="G1696" i="1"/>
  <c r="H1696" i="1" s="1"/>
  <c r="G1697" i="1"/>
  <c r="G1698" i="1"/>
  <c r="G1699" i="1"/>
  <c r="G1700" i="1"/>
  <c r="H1700" i="1" s="1"/>
  <c r="G1701" i="1"/>
  <c r="G1702" i="1"/>
  <c r="G1703" i="1"/>
  <c r="T1703" i="1" s="1"/>
  <c r="G1704" i="1"/>
  <c r="H1704" i="1" s="1"/>
  <c r="G1705" i="1"/>
  <c r="T1705" i="1" s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H1723" i="1" s="1"/>
  <c r="G1724" i="1"/>
  <c r="H1724" i="1" s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H1740" i="1" s="1"/>
  <c r="G1741" i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G1749" i="1"/>
  <c r="H1749" i="1" s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G1772" i="1"/>
  <c r="G1773" i="1"/>
  <c r="G1774" i="1"/>
  <c r="H1774" i="1" s="1"/>
  <c r="G1775" i="1"/>
  <c r="H1775" i="1" s="1"/>
  <c r="G1776" i="1"/>
  <c r="G1777" i="1"/>
  <c r="G1778" i="1"/>
  <c r="G1779" i="1"/>
  <c r="G1780" i="1"/>
  <c r="G1781" i="1"/>
  <c r="G1782" i="1"/>
  <c r="G1783" i="1"/>
  <c r="H1783" i="1" s="1"/>
  <c r="G1784" i="1"/>
  <c r="H1784" i="1" s="1"/>
  <c r="G1785" i="1"/>
  <c r="G1786" i="1"/>
  <c r="H1786" i="1" s="1"/>
  <c r="G1787" i="1"/>
  <c r="H1787" i="1" s="1"/>
  <c r="G1788" i="1"/>
  <c r="H1788" i="1" s="1"/>
  <c r="G1789" i="1"/>
  <c r="H1789" i="1" s="1"/>
  <c r="G1790" i="1"/>
  <c r="G1791" i="1"/>
  <c r="H1791" i="1" s="1"/>
  <c r="G1792" i="1"/>
  <c r="G1793" i="1"/>
  <c r="G1794" i="1"/>
  <c r="G1795" i="1"/>
  <c r="G1796" i="1"/>
  <c r="G1797" i="1"/>
  <c r="H1797" i="1" s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H1826" i="1" s="1"/>
  <c r="G1827" i="1"/>
  <c r="H1827" i="1" s="1"/>
  <c r="G1828" i="1"/>
  <c r="H1828" i="1" s="1"/>
  <c r="G1829" i="1"/>
  <c r="G1830" i="1"/>
  <c r="G1831" i="1"/>
  <c r="G1832" i="1"/>
  <c r="G1833" i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H1852" i="1" s="1"/>
  <c r="G1853" i="1"/>
  <c r="H1853" i="1" s="1"/>
  <c r="G1854" i="1"/>
  <c r="H1854" i="1" s="1"/>
  <c r="G1855" i="1"/>
  <c r="H1855" i="1" s="1"/>
  <c r="G1856" i="1"/>
  <c r="G1857" i="1"/>
  <c r="H1857" i="1" s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H1872" i="1" s="1"/>
  <c r="G1873" i="1"/>
  <c r="G1874" i="1"/>
  <c r="H1874" i="1" s="1"/>
  <c r="G1875" i="1"/>
  <c r="H1875" i="1" s="1"/>
  <c r="G1876" i="1"/>
  <c r="H1876" i="1" s="1"/>
  <c r="G1877" i="1"/>
  <c r="G1878" i="1"/>
  <c r="G1879" i="1"/>
  <c r="G1880" i="1"/>
  <c r="H1880" i="1" s="1"/>
  <c r="G1881" i="1"/>
  <c r="G1882" i="1"/>
  <c r="G1883" i="1"/>
  <c r="G1884" i="1"/>
  <c r="G1885" i="1"/>
  <c r="G1886" i="1"/>
  <c r="G1887" i="1"/>
  <c r="H1887" i="1" s="1"/>
  <c r="G1888" i="1"/>
  <c r="G1889" i="1"/>
  <c r="H1889" i="1" s="1"/>
  <c r="G1890" i="1"/>
  <c r="G1891" i="1"/>
  <c r="G1892" i="1"/>
  <c r="G1893" i="1"/>
  <c r="G1894" i="1"/>
  <c r="G1895" i="1"/>
  <c r="G1896" i="1"/>
  <c r="H1896" i="1" s="1"/>
  <c r="G1897" i="1"/>
  <c r="H1897" i="1" s="1"/>
  <c r="G1898" i="1"/>
  <c r="H1898" i="1" s="1"/>
  <c r="G1899" i="1"/>
  <c r="H1899" i="1" s="1"/>
  <c r="G1900" i="1"/>
  <c r="G1901" i="1"/>
  <c r="H1901" i="1" s="1"/>
  <c r="G1902" i="1"/>
  <c r="H1902" i="1" s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H1939" i="1" s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H1951" i="1" s="1"/>
  <c r="G1952" i="1"/>
  <c r="G1953" i="1"/>
  <c r="G1954" i="1"/>
  <c r="G1955" i="1"/>
  <c r="G1956" i="1"/>
  <c r="G1957" i="1"/>
  <c r="G1958" i="1"/>
  <c r="G1959" i="1"/>
  <c r="G1960" i="1"/>
  <c r="H1960" i="1" s="1"/>
  <c r="G1961" i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H1983" i="1" s="1"/>
  <c r="G1984" i="1"/>
  <c r="H1984" i="1" s="1"/>
  <c r="G1985" i="1"/>
  <c r="H1985" i="1" s="1"/>
  <c r="G1986" i="1"/>
  <c r="H1986" i="1" s="1"/>
  <c r="G1987" i="1"/>
  <c r="G1988" i="1"/>
  <c r="G1989" i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G1998" i="1"/>
  <c r="G1999" i="1"/>
  <c r="G2000" i="1"/>
  <c r="H2000" i="1" s="1"/>
  <c r="G2001" i="1"/>
  <c r="G2002" i="1"/>
  <c r="G2003" i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G2010" i="1"/>
  <c r="G2011" i="1"/>
  <c r="H2011" i="1" s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H2028" i="1" s="1"/>
  <c r="G2029" i="1"/>
  <c r="H2029" i="1" s="1"/>
  <c r="G2030" i="1"/>
  <c r="H2030" i="1" s="1"/>
  <c r="G2031" i="1"/>
  <c r="G2032" i="1"/>
  <c r="G2033" i="1"/>
  <c r="H2033" i="1" s="1"/>
  <c r="G2034" i="1"/>
  <c r="H2034" i="1" s="1"/>
  <c r="G2035" i="1"/>
  <c r="G2036" i="1"/>
  <c r="G2037" i="1"/>
  <c r="G2038" i="1"/>
  <c r="G2039" i="1"/>
  <c r="G2040" i="1"/>
  <c r="H2040" i="1" s="1"/>
  <c r="G2041" i="1"/>
  <c r="H2041" i="1" s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H2053" i="1" s="1"/>
  <c r="G2054" i="1"/>
  <c r="H2054" i="1" s="1"/>
  <c r="G2055" i="1"/>
  <c r="H2055" i="1" s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H2072" i="1" s="1"/>
  <c r="G2073" i="1"/>
  <c r="H2073" i="1" s="1"/>
  <c r="G2074" i="1"/>
  <c r="H2074" i="1" s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H2093" i="1" s="1"/>
  <c r="G2094" i="1"/>
  <c r="H2094" i="1" s="1"/>
  <c r="G2095" i="1"/>
  <c r="H2095" i="1" s="1"/>
  <c r="G2096" i="1"/>
  <c r="H2096" i="1" s="1"/>
  <c r="G2097" i="1"/>
  <c r="G2098" i="1"/>
  <c r="G2099" i="1"/>
  <c r="H2099" i="1" s="1"/>
  <c r="G2100" i="1"/>
  <c r="H2100" i="1" s="1"/>
  <c r="G2101" i="1"/>
  <c r="G2102" i="1"/>
  <c r="H2102" i="1" s="1"/>
  <c r="G2103" i="1"/>
  <c r="H2103" i="1" s="1"/>
  <c r="G2104" i="1"/>
  <c r="H2104" i="1" s="1"/>
  <c r="G2105" i="1"/>
  <c r="G2106" i="1"/>
  <c r="G2107" i="1"/>
  <c r="G2108" i="1"/>
  <c r="G2109" i="1"/>
  <c r="G2110" i="1"/>
  <c r="H2110" i="1" s="1"/>
  <c r="G2111" i="1"/>
  <c r="H2111" i="1" s="1"/>
  <c r="G2112" i="1"/>
  <c r="G2113" i="1"/>
  <c r="G2114" i="1"/>
  <c r="G2115" i="1"/>
  <c r="G2116" i="1"/>
  <c r="G2117" i="1"/>
  <c r="G2118" i="1"/>
  <c r="H2118" i="1" s="1"/>
  <c r="G2119" i="1"/>
  <c r="H2119" i="1" s="1"/>
  <c r="G2120" i="1"/>
  <c r="H2120" i="1" s="1"/>
  <c r="G2121" i="1"/>
  <c r="T2121" i="1" s="1"/>
  <c r="G2122" i="1"/>
  <c r="T2122" i="1" s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G2145" i="1"/>
  <c r="G2146" i="1"/>
  <c r="G2147" i="1"/>
  <c r="H2147" i="1" s="1"/>
  <c r="G2148" i="1"/>
  <c r="H2148" i="1" s="1"/>
  <c r="G2149" i="1"/>
  <c r="H2149" i="1" s="1"/>
  <c r="G2150" i="1"/>
  <c r="H2150" i="1" s="1"/>
  <c r="G2151" i="1"/>
  <c r="T2151" i="1" s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T2166" i="1" s="1"/>
  <c r="G2167" i="1"/>
  <c r="T2167" i="1" s="1"/>
  <c r="G2168" i="1"/>
  <c r="G2169" i="1"/>
  <c r="G2170" i="1"/>
  <c r="G2171" i="1"/>
  <c r="G2172" i="1"/>
  <c r="G2173" i="1"/>
  <c r="G2174" i="1"/>
  <c r="H2174" i="1" s="1"/>
  <c r="G2175" i="1"/>
  <c r="H2175" i="1" s="1"/>
  <c r="G2176" i="1"/>
  <c r="H2176" i="1" s="1"/>
  <c r="G2177" i="1"/>
  <c r="H2177" i="1" s="1"/>
  <c r="G2178" i="1"/>
  <c r="G2179" i="1"/>
  <c r="G2180" i="1"/>
  <c r="H2180" i="1" s="1"/>
  <c r="G2181" i="1"/>
  <c r="H2181" i="1" s="1"/>
  <c r="G2182" i="1"/>
  <c r="H2182" i="1" s="1"/>
  <c r="G2183" i="1"/>
  <c r="G2184" i="1"/>
  <c r="G2185" i="1"/>
  <c r="G2186" i="1"/>
  <c r="G2187" i="1"/>
  <c r="G2188" i="1"/>
  <c r="H2188" i="1" s="1"/>
  <c r="G2189" i="1"/>
  <c r="H2189" i="1" s="1"/>
  <c r="G2190" i="1"/>
  <c r="H2190" i="1" s="1"/>
  <c r="G2191" i="1"/>
  <c r="G2192" i="1"/>
  <c r="G2193" i="1"/>
  <c r="G2194" i="1"/>
  <c r="G2195" i="1"/>
  <c r="G2196" i="1"/>
  <c r="G2197" i="1"/>
  <c r="G2198" i="1"/>
  <c r="G2199" i="1"/>
  <c r="G2200" i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G2207" i="1"/>
  <c r="G2208" i="1"/>
  <c r="G2209" i="1"/>
  <c r="H2209" i="1" s="1"/>
  <c r="G2210" i="1"/>
  <c r="G2211" i="1"/>
  <c r="G2212" i="1"/>
  <c r="G2213" i="1"/>
  <c r="H2213" i="1" s="1"/>
  <c r="G2214" i="1"/>
  <c r="H2214" i="1" s="1"/>
  <c r="G2215" i="1"/>
  <c r="H2215" i="1" s="1"/>
  <c r="G2216" i="1"/>
  <c r="H2216" i="1" s="1"/>
  <c r="G2217" i="1"/>
  <c r="G2218" i="1"/>
  <c r="H2218" i="1" s="1"/>
  <c r="G2219" i="1"/>
  <c r="G2220" i="1"/>
  <c r="G2221" i="1"/>
  <c r="G2222" i="1"/>
  <c r="G2223" i="1"/>
  <c r="G2224" i="1"/>
  <c r="G2225" i="1"/>
  <c r="G2226" i="1"/>
  <c r="G2227" i="1"/>
  <c r="G2228" i="1"/>
  <c r="H2228" i="1" s="1"/>
  <c r="G2229" i="1"/>
  <c r="G2230" i="1"/>
  <c r="G2231" i="1"/>
  <c r="H2231" i="1" s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H2247" i="1" s="1"/>
  <c r="G2248" i="1"/>
  <c r="H2248" i="1" s="1"/>
  <c r="G2249" i="1"/>
  <c r="H2249" i="1" s="1"/>
  <c r="G2250" i="1"/>
  <c r="H2250" i="1" s="1"/>
  <c r="G2251" i="1"/>
  <c r="G2252" i="1"/>
  <c r="G2253" i="1"/>
  <c r="T2253" i="1" s="1"/>
  <c r="G2254" i="1"/>
  <c r="G2255" i="1"/>
  <c r="G2256" i="1"/>
  <c r="H2256" i="1" s="1"/>
  <c r="G2257" i="1"/>
  <c r="G2258" i="1"/>
  <c r="T2258" i="1" s="1"/>
  <c r="G2259" i="1"/>
  <c r="G2260" i="1"/>
  <c r="G2261" i="1"/>
  <c r="G2262" i="1"/>
  <c r="G2263" i="1"/>
  <c r="G2264" i="1"/>
  <c r="H2264" i="1" s="1"/>
  <c r="G2265" i="1"/>
  <c r="H2265" i="1" s="1"/>
  <c r="G2266" i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H2290" i="1" s="1"/>
  <c r="G2291" i="1"/>
  <c r="G2292" i="1"/>
  <c r="G2293" i="1"/>
  <c r="G2294" i="1"/>
  <c r="G2295" i="1"/>
  <c r="G2296" i="1"/>
  <c r="G2297" i="1"/>
  <c r="G2298" i="1"/>
  <c r="H2298" i="1" s="1"/>
  <c r="G2299" i="1"/>
  <c r="G2300" i="1"/>
  <c r="G2301" i="1"/>
  <c r="H2301" i="1" s="1"/>
  <c r="G2302" i="1"/>
  <c r="H2302" i="1" s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H2314" i="1" s="1"/>
  <c r="G2315" i="1"/>
  <c r="G2316" i="1"/>
  <c r="G2317" i="1"/>
  <c r="G2318" i="1"/>
  <c r="G2319" i="1"/>
  <c r="G2320" i="1"/>
  <c r="G2321" i="1"/>
  <c r="G2322" i="1"/>
  <c r="G2323" i="1"/>
  <c r="T2323" i="1" s="1"/>
  <c r="G2324" i="1"/>
  <c r="H2324" i="1" s="1"/>
  <c r="G2325" i="1"/>
  <c r="H2325" i="1" s="1"/>
  <c r="G2326" i="1"/>
  <c r="G2327" i="1"/>
  <c r="G2328" i="1"/>
  <c r="H2328" i="1" s="1"/>
  <c r="G2329" i="1"/>
  <c r="G2330" i="1"/>
  <c r="H2330" i="1" s="1"/>
  <c r="G2331" i="1"/>
  <c r="H2331" i="1" s="1"/>
  <c r="G2332" i="1"/>
  <c r="G2333" i="1"/>
  <c r="H2333" i="1" s="1"/>
  <c r="G2334" i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H2359" i="1" s="1"/>
  <c r="G2360" i="1"/>
  <c r="H2360" i="1" s="1"/>
  <c r="G2361" i="1"/>
  <c r="G2362" i="1"/>
  <c r="G2363" i="1"/>
  <c r="G2364" i="1"/>
  <c r="G2365" i="1"/>
  <c r="G2366" i="1"/>
  <c r="H2366" i="1" s="1"/>
  <c r="G2367" i="1"/>
  <c r="G2368" i="1"/>
  <c r="T2368" i="1" s="1"/>
  <c r="G2369" i="1"/>
  <c r="H2369" i="1" s="1"/>
  <c r="G2370" i="1"/>
  <c r="H2370" i="1" s="1"/>
  <c r="G2371" i="1"/>
  <c r="G2372" i="1"/>
  <c r="G2373" i="1"/>
  <c r="G2374" i="1"/>
  <c r="G2375" i="1"/>
  <c r="G2376" i="1"/>
  <c r="G2377" i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G2385" i="1"/>
  <c r="H2385" i="1" s="1"/>
  <c r="G2386" i="1"/>
  <c r="G2387" i="1"/>
  <c r="G2388" i="1"/>
  <c r="G2389" i="1"/>
  <c r="G2390" i="1"/>
  <c r="G2391" i="1"/>
  <c r="G2392" i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G2399" i="1"/>
  <c r="H2399" i="1" s="1"/>
  <c r="G2400" i="1"/>
  <c r="H2400" i="1" s="1"/>
  <c r="G2401" i="1"/>
  <c r="G2402" i="1"/>
  <c r="G2403" i="1"/>
  <c r="G2404" i="1"/>
  <c r="H2404" i="1" s="1"/>
  <c r="G2405" i="1"/>
  <c r="G2406" i="1"/>
  <c r="G2407" i="1"/>
  <c r="H2407" i="1" s="1"/>
  <c r="G2408" i="1"/>
  <c r="H2408" i="1" s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H2425" i="1" s="1"/>
  <c r="G2426" i="1"/>
  <c r="H2426" i="1" s="1"/>
  <c r="G2427" i="1"/>
  <c r="H2427" i="1" s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H2446" i="1" s="1"/>
  <c r="G2447" i="1"/>
  <c r="H2447" i="1" s="1"/>
  <c r="G2448" i="1"/>
  <c r="G2449" i="1"/>
  <c r="H2449" i="1" s="1"/>
  <c r="G2450" i="1"/>
  <c r="H2450" i="1" s="1"/>
  <c r="G2451" i="1"/>
  <c r="G2452" i="1"/>
  <c r="G2453" i="1"/>
  <c r="G2454" i="1"/>
  <c r="G2455" i="1"/>
  <c r="G2456" i="1"/>
  <c r="G2457" i="1"/>
  <c r="H2457" i="1" s="1"/>
  <c r="G2458" i="1"/>
  <c r="G2459" i="1"/>
  <c r="G2460" i="1"/>
  <c r="G2461" i="1"/>
  <c r="G2462" i="1"/>
  <c r="G2463" i="1"/>
  <c r="G2464" i="1"/>
  <c r="G2465" i="1"/>
  <c r="G2466" i="1"/>
  <c r="G2467" i="1"/>
  <c r="H2467" i="1" s="1"/>
  <c r="G2468" i="1"/>
  <c r="H2468" i="1" s="1"/>
  <c r="G2469" i="1"/>
  <c r="H2469" i="1" s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G2498" i="1"/>
  <c r="G2499" i="1"/>
  <c r="H2499" i="1" s="1"/>
  <c r="G2500" i="1"/>
  <c r="H2500" i="1" s="1"/>
  <c r="G2501" i="1"/>
  <c r="H2501" i="1" s="1"/>
  <c r="G2502" i="1"/>
  <c r="G2503" i="1"/>
  <c r="H2503" i="1" s="1"/>
  <c r="G2504" i="1"/>
  <c r="G2505" i="1"/>
  <c r="G2506" i="1"/>
  <c r="G2507" i="1"/>
  <c r="G2508" i="1"/>
  <c r="G2509" i="1"/>
  <c r="H2509" i="1" s="1"/>
  <c r="G2510" i="1"/>
  <c r="G2511" i="1"/>
  <c r="G2512" i="1"/>
  <c r="H2512" i="1" s="1"/>
  <c r="G2513" i="1"/>
  <c r="H2513" i="1" s="1"/>
  <c r="G2514" i="1"/>
  <c r="H2514" i="1" s="1"/>
  <c r="G2515" i="1"/>
  <c r="G2516" i="1"/>
  <c r="H2516" i="1" s="1"/>
  <c r="G2517" i="1"/>
  <c r="H2517" i="1" s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H2540" i="1" s="1"/>
  <c r="G2541" i="1"/>
  <c r="H2541" i="1" s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H2554" i="1" s="1"/>
  <c r="G2555" i="1"/>
  <c r="H2555" i="1" s="1"/>
  <c r="G2556" i="1"/>
  <c r="H2556" i="1" s="1"/>
  <c r="G2557" i="1"/>
  <c r="G2558" i="1"/>
  <c r="G2559" i="1"/>
  <c r="G2560" i="1"/>
  <c r="G2561" i="1"/>
  <c r="G2562" i="1"/>
  <c r="G2563" i="1"/>
  <c r="G2564" i="1"/>
  <c r="G2565" i="1"/>
  <c r="G2566" i="1"/>
  <c r="G2567" i="1"/>
  <c r="H2567" i="1" s="1"/>
  <c r="G2568" i="1"/>
  <c r="G2569" i="1"/>
  <c r="G2570" i="1"/>
  <c r="H2570" i="1" s="1"/>
  <c r="G2571" i="1"/>
  <c r="G2572" i="1"/>
  <c r="G2573" i="1"/>
  <c r="G2574" i="1"/>
  <c r="G2575" i="1"/>
  <c r="G2576" i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G2583" i="1"/>
  <c r="H2583" i="1" s="1"/>
  <c r="G2584" i="1"/>
  <c r="H2584" i="1" s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H2602" i="1" s="1"/>
  <c r="G2603" i="1"/>
  <c r="H2603" i="1" s="1"/>
  <c r="G2604" i="1"/>
  <c r="H2604" i="1" s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G2631" i="1"/>
  <c r="G2632" i="1"/>
  <c r="G2633" i="1"/>
  <c r="G2634" i="1"/>
  <c r="H2634" i="1" s="1"/>
  <c r="G2635" i="1"/>
  <c r="H2635" i="1" s="1"/>
  <c r="G2636" i="1"/>
  <c r="H2636" i="1" s="1"/>
  <c r="G2637" i="1"/>
  <c r="G2638" i="1"/>
  <c r="G2639" i="1"/>
  <c r="G2640" i="1"/>
  <c r="G2641" i="1"/>
  <c r="G2642" i="1"/>
  <c r="H2642" i="1" s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H2665" i="1" s="1"/>
  <c r="G2666" i="1"/>
  <c r="H2666" i="1" s="1"/>
  <c r="G2667" i="1"/>
  <c r="G2668" i="1"/>
  <c r="G2669" i="1"/>
  <c r="H2669" i="1" s="1"/>
  <c r="G2670" i="1"/>
  <c r="H2670" i="1" s="1"/>
  <c r="G2671" i="1"/>
  <c r="H2671" i="1" s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H2686" i="1" s="1"/>
  <c r="G2687" i="1"/>
  <c r="H2687" i="1" s="1"/>
  <c r="G2688" i="1"/>
  <c r="H2688" i="1" s="1"/>
  <c r="G2689" i="1"/>
  <c r="H2689" i="1" s="1"/>
  <c r="G2690" i="1"/>
  <c r="G2691" i="1"/>
  <c r="G2692" i="1"/>
  <c r="G2693" i="1"/>
  <c r="H2693" i="1" s="1"/>
  <c r="G2694" i="1"/>
  <c r="H2694" i="1" s="1"/>
  <c r="G2695" i="1"/>
  <c r="G2696" i="1"/>
  <c r="H2696" i="1" s="1"/>
  <c r="G2697" i="1"/>
  <c r="H2697" i="1" s="1"/>
  <c r="G2698" i="1"/>
  <c r="H2698" i="1" s="1"/>
  <c r="G2699" i="1"/>
  <c r="H2699" i="1" s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H2716" i="1" s="1"/>
  <c r="G2717" i="1"/>
  <c r="G2718" i="1"/>
  <c r="G2719" i="1"/>
  <c r="G2720" i="1"/>
  <c r="G2721" i="1"/>
  <c r="G2722" i="1"/>
  <c r="G2723" i="1"/>
  <c r="G2724" i="1"/>
  <c r="G2725" i="1"/>
  <c r="G2726" i="1"/>
  <c r="G2727" i="1"/>
  <c r="H2727" i="1" s="1"/>
  <c r="G2728" i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G2737" i="1"/>
  <c r="H2737" i="1" s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H2753" i="1" s="1"/>
  <c r="G2754" i="1"/>
  <c r="H2754" i="1" s="1"/>
  <c r="G2755" i="1"/>
  <c r="H2755" i="1" s="1"/>
  <c r="G2756" i="1"/>
  <c r="G2757" i="1"/>
  <c r="G2758" i="1"/>
  <c r="G2759" i="1"/>
  <c r="H2759" i="1" s="1"/>
  <c r="G2760" i="1"/>
  <c r="H2760" i="1" s="1"/>
  <c r="G2761" i="1"/>
  <c r="G2762" i="1"/>
  <c r="G2763" i="1"/>
  <c r="G2764" i="1"/>
  <c r="G2765" i="1"/>
  <c r="G2766" i="1"/>
  <c r="G2767" i="1"/>
  <c r="G2768" i="1"/>
  <c r="G2769" i="1"/>
  <c r="H2769" i="1" s="1"/>
  <c r="G2770" i="1"/>
  <c r="H2770" i="1" s="1"/>
  <c r="G2771" i="1"/>
  <c r="H2771" i="1" s="1"/>
  <c r="G2772" i="1"/>
  <c r="G2773" i="1"/>
  <c r="G2774" i="1"/>
  <c r="H2774" i="1" s="1"/>
  <c r="G2775" i="1"/>
  <c r="H2775" i="1" s="1"/>
  <c r="G2776" i="1"/>
  <c r="G2777" i="1"/>
  <c r="G2778" i="1"/>
  <c r="G2779" i="1"/>
  <c r="H2779" i="1" s="1"/>
  <c r="G2780" i="1"/>
  <c r="H2780" i="1" s="1"/>
  <c r="G2781" i="1"/>
  <c r="G2782" i="1"/>
  <c r="H2782" i="1" s="1"/>
  <c r="G2783" i="1"/>
  <c r="G2784" i="1"/>
  <c r="G2785" i="1"/>
  <c r="G2786" i="1"/>
  <c r="G2787" i="1"/>
  <c r="G2788" i="1"/>
  <c r="G2789" i="1"/>
  <c r="T2789" i="1" s="1"/>
  <c r="G2790" i="1"/>
  <c r="T2790" i="1" s="1"/>
  <c r="G2791" i="1"/>
  <c r="G2792" i="1"/>
  <c r="G2793" i="1"/>
  <c r="G2794" i="1"/>
  <c r="G2795" i="1"/>
  <c r="G2796" i="1"/>
  <c r="H2796" i="1" s="1"/>
  <c r="G2797" i="1"/>
  <c r="H2797" i="1" s="1"/>
  <c r="G2798" i="1"/>
  <c r="G2799" i="1"/>
  <c r="G2800" i="1"/>
  <c r="G2801" i="1"/>
  <c r="H2801" i="1" s="1"/>
  <c r="G2802" i="1"/>
  <c r="H2802" i="1" s="1"/>
  <c r="G2803" i="1"/>
  <c r="H2803" i="1" s="1"/>
  <c r="G2804" i="1"/>
  <c r="H2804" i="1" s="1"/>
  <c r="G2805" i="1"/>
  <c r="G2806" i="1"/>
  <c r="G2807" i="1"/>
  <c r="H2807" i="1" s="1"/>
  <c r="G2808" i="1"/>
  <c r="H2808" i="1" s="1"/>
  <c r="G2809" i="1"/>
  <c r="H2809" i="1" s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H2825" i="1" s="1"/>
  <c r="G2826" i="1"/>
  <c r="G2827" i="1"/>
  <c r="G2828" i="1"/>
  <c r="G2829" i="1"/>
  <c r="G2830" i="1"/>
  <c r="G2831" i="1"/>
  <c r="G2832" i="1"/>
  <c r="G2833" i="1"/>
  <c r="H2833" i="1" s="1"/>
  <c r="G2834" i="1"/>
  <c r="G2835" i="1"/>
  <c r="G2836" i="1"/>
  <c r="G2837" i="1"/>
  <c r="G2838" i="1"/>
  <c r="G2839" i="1"/>
  <c r="G2840" i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G2868" i="1"/>
  <c r="G2869" i="1"/>
  <c r="H2869" i="1" s="1"/>
  <c r="G2870" i="1"/>
  <c r="G2871" i="1"/>
  <c r="G2872" i="1"/>
  <c r="G2873" i="1"/>
  <c r="H2873" i="1" s="1"/>
  <c r="G2874" i="1"/>
  <c r="G2875" i="1"/>
  <c r="G2876" i="1"/>
  <c r="G2877" i="1"/>
  <c r="G2878" i="1"/>
  <c r="G2879" i="1"/>
  <c r="G2880" i="1"/>
  <c r="G2881" i="1"/>
  <c r="G2882" i="1"/>
  <c r="G2883" i="1"/>
  <c r="G2884" i="1"/>
  <c r="H2884" i="1" s="1"/>
  <c r="G2885" i="1"/>
  <c r="G2886" i="1"/>
  <c r="G2887" i="1"/>
  <c r="G2888" i="1"/>
  <c r="G2889" i="1"/>
  <c r="H2889" i="1" s="1"/>
  <c r="G2890" i="1"/>
  <c r="H2890" i="1" s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H2902" i="1" s="1"/>
  <c r="G2903" i="1"/>
  <c r="H2903" i="1" s="1"/>
  <c r="G2904" i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H2976" i="1" s="1"/>
  <c r="G2977" i="1"/>
  <c r="G2978" i="1"/>
  <c r="G2979" i="1"/>
  <c r="G2980" i="1"/>
  <c r="G2981" i="1"/>
  <c r="H2981" i="1" s="1"/>
  <c r="G2982" i="1"/>
  <c r="H2982" i="1" s="1"/>
  <c r="G2983" i="1"/>
  <c r="G2984" i="1"/>
  <c r="G2985" i="1"/>
  <c r="G2986" i="1"/>
  <c r="G2987" i="1"/>
  <c r="G2988" i="1"/>
  <c r="G2989" i="1"/>
  <c r="G2990" i="1"/>
  <c r="G2991" i="1"/>
  <c r="G2992" i="1"/>
  <c r="G2993" i="1"/>
  <c r="H2993" i="1" s="1"/>
  <c r="G2994" i="1"/>
  <c r="G2995" i="1"/>
  <c r="H2995" i="1" s="1"/>
  <c r="G2996" i="1"/>
  <c r="G2997" i="1"/>
  <c r="H2997" i="1" s="1"/>
  <c r="G2998" i="1"/>
  <c r="H2998" i="1" s="1"/>
  <c r="H2901" i="1" l="1"/>
  <c r="T2901" i="1"/>
  <c r="H2879" i="1"/>
  <c r="T2879" i="1"/>
  <c r="H2835" i="1"/>
  <c r="T2835" i="1"/>
  <c r="H2329" i="1"/>
  <c r="T2329" i="1"/>
  <c r="H2263" i="1"/>
  <c r="T2263" i="1"/>
  <c r="H2153" i="1"/>
  <c r="T2153" i="1"/>
  <c r="H1141" i="1"/>
  <c r="T1141" i="1"/>
  <c r="H657" i="1"/>
  <c r="T657" i="1"/>
  <c r="H525" i="1"/>
  <c r="T525" i="1"/>
  <c r="H481" i="1"/>
  <c r="T481" i="1"/>
  <c r="H151" i="1"/>
  <c r="T151" i="1"/>
  <c r="H2900" i="1"/>
  <c r="T2900" i="1"/>
  <c r="H2878" i="1"/>
  <c r="T2878" i="1"/>
  <c r="H2834" i="1"/>
  <c r="T2834" i="1"/>
  <c r="H2592" i="1"/>
  <c r="T2592" i="1"/>
  <c r="H2042" i="1"/>
  <c r="T2042" i="1"/>
  <c r="H1844" i="1"/>
  <c r="T1844" i="1"/>
  <c r="H1140" i="1"/>
  <c r="T1140" i="1"/>
  <c r="H524" i="1"/>
  <c r="T524" i="1"/>
  <c r="H480" i="1"/>
  <c r="T480" i="1"/>
  <c r="H150" i="1"/>
  <c r="T150" i="1"/>
  <c r="H2877" i="1"/>
  <c r="T2877" i="1"/>
  <c r="H2701" i="1"/>
  <c r="T2701" i="1"/>
  <c r="H2217" i="1"/>
  <c r="T2217" i="1"/>
  <c r="H1997" i="1"/>
  <c r="T1997" i="1"/>
  <c r="H1843" i="1"/>
  <c r="T1843" i="1"/>
  <c r="H1799" i="1"/>
  <c r="T1799" i="1"/>
  <c r="H1513" i="1"/>
  <c r="T1513" i="1"/>
  <c r="H985" i="1"/>
  <c r="T985" i="1"/>
  <c r="T941" i="1"/>
  <c r="H941" i="1"/>
  <c r="H809" i="1"/>
  <c r="T809" i="1"/>
  <c r="H523" i="1"/>
  <c r="T523" i="1"/>
  <c r="H2151" i="1"/>
  <c r="T2503" i="1"/>
  <c r="H2700" i="1"/>
  <c r="T2700" i="1"/>
  <c r="T830" i="1"/>
  <c r="H830" i="1"/>
  <c r="T2636" i="1"/>
  <c r="T2041" i="1"/>
  <c r="T2635" i="1"/>
  <c r="T2040" i="1"/>
  <c r="T1601" i="1"/>
  <c r="T1075" i="1"/>
  <c r="T1074" i="1"/>
  <c r="T1073" i="1"/>
  <c r="T745" i="1"/>
  <c r="H2593" i="1"/>
  <c r="T2593" i="1"/>
  <c r="H2043" i="1"/>
  <c r="T2043" i="1"/>
  <c r="H195" i="1"/>
  <c r="T195" i="1"/>
  <c r="H2152" i="1"/>
  <c r="T2152" i="1"/>
  <c r="H1800" i="1"/>
  <c r="T1800" i="1"/>
  <c r="T1602" i="1"/>
  <c r="H1602" i="1"/>
  <c r="H1315" i="1"/>
  <c r="T1315" i="1"/>
  <c r="H1139" i="1"/>
  <c r="T1139" i="1"/>
  <c r="T2395" i="1"/>
  <c r="H2466" i="1"/>
  <c r="T2466" i="1"/>
  <c r="H2070" i="1"/>
  <c r="T2070" i="1"/>
  <c r="H970" i="1"/>
  <c r="T970" i="1"/>
  <c r="H2" i="1"/>
  <c r="T2" i="1"/>
  <c r="T2394" i="1"/>
  <c r="T1227" i="1"/>
  <c r="T2393" i="1"/>
  <c r="T1960" i="1"/>
  <c r="H609" i="1"/>
  <c r="T609" i="1"/>
  <c r="T367" i="1"/>
  <c r="H2632" i="1"/>
  <c r="T2632" i="1"/>
  <c r="H1158" i="1"/>
  <c r="T1158" i="1"/>
  <c r="H608" i="1"/>
  <c r="T608" i="1"/>
  <c r="H2983" i="1"/>
  <c r="T2983" i="1"/>
  <c r="T320" i="1"/>
  <c r="H2431" i="1"/>
  <c r="T2431" i="1"/>
  <c r="H1155" i="1"/>
  <c r="T1155" i="1"/>
  <c r="H231" i="1"/>
  <c r="T231" i="1"/>
  <c r="T319" i="1"/>
  <c r="H2980" i="1"/>
  <c r="T2980" i="1"/>
  <c r="T2936" i="1"/>
  <c r="H2936" i="1"/>
  <c r="H2562" i="1"/>
  <c r="T2562" i="1"/>
  <c r="H2430" i="1"/>
  <c r="T2430" i="1"/>
  <c r="H2320" i="1"/>
  <c r="T2320" i="1"/>
  <c r="T318" i="1"/>
  <c r="H2979" i="1"/>
  <c r="T2979" i="1"/>
  <c r="T2913" i="1"/>
  <c r="H2913" i="1"/>
  <c r="H383" i="1"/>
  <c r="T383" i="1"/>
  <c r="T317" i="1"/>
  <c r="H1547" i="1"/>
  <c r="T1547" i="1"/>
  <c r="H865" i="1"/>
  <c r="T865" i="1"/>
  <c r="T2941" i="1"/>
  <c r="H2941" i="1"/>
  <c r="H2633" i="1"/>
  <c r="T2633" i="1"/>
  <c r="H2566" i="1"/>
  <c r="T2566" i="1"/>
  <c r="T630" i="1"/>
  <c r="H630" i="1"/>
  <c r="H2631" i="1"/>
  <c r="T2631" i="1"/>
  <c r="T893" i="1"/>
  <c r="H893" i="1"/>
  <c r="T871" i="1"/>
  <c r="H871" i="1"/>
  <c r="T2147" i="1"/>
  <c r="T1201" i="1"/>
  <c r="H2630" i="1"/>
  <c r="T2630" i="1"/>
  <c r="H1398" i="1"/>
  <c r="T1398" i="1"/>
  <c r="T1508" i="1"/>
  <c r="H1397" i="1"/>
  <c r="T1397" i="1"/>
  <c r="H1023" i="1"/>
  <c r="T1023" i="1"/>
  <c r="H1946" i="1"/>
  <c r="T1946" i="1"/>
  <c r="H1924" i="1"/>
  <c r="T1924" i="1"/>
  <c r="H1814" i="1"/>
  <c r="T1814" i="1"/>
  <c r="H1286" i="1"/>
  <c r="T1286" i="1"/>
  <c r="H1154" i="1"/>
  <c r="T1154" i="1"/>
  <c r="H1022" i="1"/>
  <c r="T1022" i="1"/>
  <c r="H384" i="1"/>
  <c r="T384" i="1"/>
  <c r="H230" i="1"/>
  <c r="T230" i="1"/>
  <c r="H1176" i="1"/>
  <c r="T2716" i="1"/>
  <c r="T2457" i="1"/>
  <c r="T2302" i="1"/>
  <c r="T1838" i="1"/>
  <c r="T1685" i="1"/>
  <c r="T956" i="1"/>
  <c r="T474" i="1"/>
  <c r="T144" i="1"/>
  <c r="H2429" i="1"/>
  <c r="T2429" i="1"/>
  <c r="H2319" i="1"/>
  <c r="T2319" i="1"/>
  <c r="H2187" i="1"/>
  <c r="T2187" i="1"/>
  <c r="H1923" i="1"/>
  <c r="T1923" i="1"/>
  <c r="H1813" i="1"/>
  <c r="T1813" i="1"/>
  <c r="H1307" i="1"/>
  <c r="T1307" i="1"/>
  <c r="H1153" i="1"/>
  <c r="T1153" i="1"/>
  <c r="H779" i="1"/>
  <c r="T779" i="1"/>
  <c r="H757" i="1"/>
  <c r="T757" i="1"/>
  <c r="H229" i="1"/>
  <c r="T229" i="1"/>
  <c r="H75" i="1"/>
  <c r="T75" i="1"/>
  <c r="H1066" i="1"/>
  <c r="T2584" i="1"/>
  <c r="T2301" i="1"/>
  <c r="T1837" i="1"/>
  <c r="T1682" i="1"/>
  <c r="T1463" i="1"/>
  <c r="T955" i="1"/>
  <c r="T473" i="1"/>
  <c r="H2428" i="1"/>
  <c r="T2428" i="1"/>
  <c r="H1922" i="1"/>
  <c r="T1922" i="1"/>
  <c r="H866" i="1"/>
  <c r="T866" i="1"/>
  <c r="H778" i="1"/>
  <c r="T778" i="1"/>
  <c r="H492" i="1"/>
  <c r="T492" i="1"/>
  <c r="H382" i="1"/>
  <c r="T382" i="1"/>
  <c r="H228" i="1"/>
  <c r="T228" i="1"/>
  <c r="H1065" i="1"/>
  <c r="T2848" i="1"/>
  <c r="T2583" i="1"/>
  <c r="T1836" i="1"/>
  <c r="T1681" i="1"/>
  <c r="T1462" i="1"/>
  <c r="T954" i="1"/>
  <c r="T472" i="1"/>
  <c r="T316" i="1"/>
  <c r="H645" i="1"/>
  <c r="T645" i="1"/>
  <c r="H491" i="1"/>
  <c r="T491" i="1"/>
  <c r="H381" i="1"/>
  <c r="T381" i="1"/>
  <c r="T2847" i="1"/>
  <c r="T2699" i="1"/>
  <c r="T2427" i="1"/>
  <c r="T2119" i="1"/>
  <c r="T1967" i="1"/>
  <c r="T1835" i="1"/>
  <c r="T1461" i="1"/>
  <c r="T1311" i="1"/>
  <c r="T807" i="1"/>
  <c r="T647" i="1"/>
  <c r="T471" i="1"/>
  <c r="T315" i="1"/>
  <c r="H2888" i="1"/>
  <c r="T2888" i="1"/>
  <c r="H2800" i="1"/>
  <c r="T2800" i="1"/>
  <c r="H2756" i="1"/>
  <c r="T2756" i="1"/>
  <c r="H2558" i="1"/>
  <c r="T2558" i="1"/>
  <c r="H2316" i="1"/>
  <c r="T2316" i="1"/>
  <c r="H2162" i="1"/>
  <c r="T2162" i="1"/>
  <c r="H1722" i="1"/>
  <c r="T1722" i="1"/>
  <c r="H1546" i="1"/>
  <c r="T1546" i="1"/>
  <c r="H1414" i="1"/>
  <c r="T1414" i="1"/>
  <c r="H1304" i="1"/>
  <c r="T1304" i="1"/>
  <c r="H864" i="1"/>
  <c r="T864" i="1"/>
  <c r="H754" i="1"/>
  <c r="T754" i="1"/>
  <c r="H644" i="1"/>
  <c r="T644" i="1"/>
  <c r="H380" i="1"/>
  <c r="T380" i="1"/>
  <c r="H72" i="1"/>
  <c r="T72" i="1"/>
  <c r="H912" i="1"/>
  <c r="T2934" i="1"/>
  <c r="T2846" i="1"/>
  <c r="T2698" i="1"/>
  <c r="T2426" i="1"/>
  <c r="T2118" i="1"/>
  <c r="T1966" i="1"/>
  <c r="T1834" i="1"/>
  <c r="T1460" i="1"/>
  <c r="T1310" i="1"/>
  <c r="T806" i="1"/>
  <c r="T607" i="1"/>
  <c r="T468" i="1"/>
  <c r="T314" i="1"/>
  <c r="T98" i="1"/>
  <c r="H2887" i="1"/>
  <c r="T2887" i="1"/>
  <c r="H2799" i="1"/>
  <c r="T2799" i="1"/>
  <c r="H2557" i="1"/>
  <c r="T2557" i="1"/>
  <c r="H2315" i="1"/>
  <c r="T2315" i="1"/>
  <c r="H1809" i="1"/>
  <c r="T1809" i="1"/>
  <c r="H1721" i="1"/>
  <c r="T1721" i="1"/>
  <c r="H1699" i="1"/>
  <c r="T1699" i="1"/>
  <c r="H1567" i="1"/>
  <c r="T1567" i="1"/>
  <c r="H1545" i="1"/>
  <c r="T1545" i="1"/>
  <c r="H1413" i="1"/>
  <c r="T1413" i="1"/>
  <c r="H1303" i="1"/>
  <c r="T1303" i="1"/>
  <c r="H1017" i="1"/>
  <c r="T1017" i="1"/>
  <c r="H863" i="1"/>
  <c r="T863" i="1"/>
  <c r="H71" i="1"/>
  <c r="T71" i="1"/>
  <c r="H627" i="1"/>
  <c r="T2933" i="1"/>
  <c r="T2845" i="1"/>
  <c r="T2697" i="1"/>
  <c r="T2425" i="1"/>
  <c r="T2100" i="1"/>
  <c r="T1965" i="1"/>
  <c r="T1459" i="1"/>
  <c r="T1309" i="1"/>
  <c r="T1127" i="1"/>
  <c r="T937" i="1"/>
  <c r="T602" i="1"/>
  <c r="T467" i="1"/>
  <c r="T313" i="1"/>
  <c r="T93" i="1"/>
  <c r="H2996" i="1"/>
  <c r="T2996" i="1"/>
  <c r="H2886" i="1"/>
  <c r="T2886" i="1"/>
  <c r="H2798" i="1"/>
  <c r="T2798" i="1"/>
  <c r="H1830" i="1"/>
  <c r="T1830" i="1"/>
  <c r="H1720" i="1"/>
  <c r="T1720" i="1"/>
  <c r="H1698" i="1"/>
  <c r="T1698" i="1"/>
  <c r="H1566" i="1"/>
  <c r="T1566" i="1"/>
  <c r="H1412" i="1"/>
  <c r="T1412" i="1"/>
  <c r="H1302" i="1"/>
  <c r="T1302" i="1"/>
  <c r="H1038" i="1"/>
  <c r="T1038" i="1"/>
  <c r="H1016" i="1"/>
  <c r="T1016" i="1"/>
  <c r="H928" i="1"/>
  <c r="T928" i="1"/>
  <c r="H774" i="1"/>
  <c r="T774" i="1"/>
  <c r="H620" i="1"/>
  <c r="T620" i="1"/>
  <c r="H510" i="1"/>
  <c r="T510" i="1"/>
  <c r="H70" i="1"/>
  <c r="T70" i="1"/>
  <c r="H626" i="1"/>
  <c r="T2932" i="1"/>
  <c r="T2696" i="1"/>
  <c r="T2567" i="1"/>
  <c r="T2408" i="1"/>
  <c r="T2099" i="1"/>
  <c r="T1964" i="1"/>
  <c r="T1639" i="1"/>
  <c r="T1458" i="1"/>
  <c r="T1308" i="1"/>
  <c r="T1126" i="1"/>
  <c r="T936" i="1"/>
  <c r="T782" i="1"/>
  <c r="T601" i="1"/>
  <c r="T446" i="1"/>
  <c r="T295" i="1"/>
  <c r="T92" i="1"/>
  <c r="H2159" i="1"/>
  <c r="T2159" i="1"/>
  <c r="H2071" i="1"/>
  <c r="T2071" i="1"/>
  <c r="H520" i="1"/>
  <c r="T2931" i="1"/>
  <c r="T2694" i="1"/>
  <c r="T2556" i="1"/>
  <c r="T2407" i="1"/>
  <c r="T2096" i="1"/>
  <c r="T1963" i="1"/>
  <c r="T1797" i="1"/>
  <c r="T1638" i="1"/>
  <c r="T1439" i="1"/>
  <c r="T1285" i="1"/>
  <c r="T1109" i="1"/>
  <c r="T935" i="1"/>
  <c r="T781" i="1"/>
  <c r="T578" i="1"/>
  <c r="T423" i="1"/>
  <c r="T292" i="1"/>
  <c r="T76" i="1"/>
  <c r="T482" i="1"/>
  <c r="T1142" i="1"/>
  <c r="H2951" i="1"/>
  <c r="T2951" i="1"/>
  <c r="H2423" i="1"/>
  <c r="T2423" i="1"/>
  <c r="H2027" i="1"/>
  <c r="T2027" i="1"/>
  <c r="H1873" i="1"/>
  <c r="T1873" i="1"/>
  <c r="H2840" i="1"/>
  <c r="T2840" i="1"/>
  <c r="H2708" i="1"/>
  <c r="T2708" i="1"/>
  <c r="H2620" i="1"/>
  <c r="T2620" i="1"/>
  <c r="H2532" i="1"/>
  <c r="T2532" i="1"/>
  <c r="H2422" i="1"/>
  <c r="T2422" i="1"/>
  <c r="H2246" i="1"/>
  <c r="T2246" i="1"/>
  <c r="H2224" i="1"/>
  <c r="T2224" i="1"/>
  <c r="H2136" i="1"/>
  <c r="T2136" i="1"/>
  <c r="H2048" i="1"/>
  <c r="T2048" i="1"/>
  <c r="H1938" i="1"/>
  <c r="T1938" i="1"/>
  <c r="H1894" i="1"/>
  <c r="T1894" i="1"/>
  <c r="H1718" i="1"/>
  <c r="T1718" i="1"/>
  <c r="H1564" i="1"/>
  <c r="T1564" i="1"/>
  <c r="H1520" i="1"/>
  <c r="T1520" i="1"/>
  <c r="H1344" i="1"/>
  <c r="T1344" i="1"/>
  <c r="H1256" i="1"/>
  <c r="T1256" i="1"/>
  <c r="H1212" i="1"/>
  <c r="T1212" i="1"/>
  <c r="H1168" i="1"/>
  <c r="T1168" i="1"/>
  <c r="H1080" i="1"/>
  <c r="T1080" i="1"/>
  <c r="H882" i="1"/>
  <c r="T882" i="1"/>
  <c r="H838" i="1"/>
  <c r="T838" i="1"/>
  <c r="H728" i="1"/>
  <c r="T728" i="1"/>
  <c r="H354" i="1"/>
  <c r="T354" i="1"/>
  <c r="H222" i="1"/>
  <c r="T222" i="1"/>
  <c r="H46" i="1"/>
  <c r="T46" i="1"/>
  <c r="H2773" i="1"/>
  <c r="T2773" i="1"/>
  <c r="H2685" i="1"/>
  <c r="T2685" i="1"/>
  <c r="H2597" i="1"/>
  <c r="T2597" i="1"/>
  <c r="H2421" i="1"/>
  <c r="T2421" i="1"/>
  <c r="H2245" i="1"/>
  <c r="T2245" i="1"/>
  <c r="H2025" i="1"/>
  <c r="T2025" i="1"/>
  <c r="H1717" i="1"/>
  <c r="T1717" i="1"/>
  <c r="H1563" i="1"/>
  <c r="T1563" i="1"/>
  <c r="H1519" i="1"/>
  <c r="T1519" i="1"/>
  <c r="H1431" i="1"/>
  <c r="T1431" i="1"/>
  <c r="H1255" i="1"/>
  <c r="T1255" i="1"/>
  <c r="H1211" i="1"/>
  <c r="T1211" i="1"/>
  <c r="H1167" i="1"/>
  <c r="T1167" i="1"/>
  <c r="H991" i="1"/>
  <c r="T991" i="1"/>
  <c r="H815" i="1"/>
  <c r="T815" i="1"/>
  <c r="H749" i="1"/>
  <c r="T749" i="1"/>
  <c r="H705" i="1"/>
  <c r="T705" i="1"/>
  <c r="H661" i="1"/>
  <c r="T661" i="1"/>
  <c r="H529" i="1"/>
  <c r="T529" i="1"/>
  <c r="H353" i="1"/>
  <c r="T353" i="1"/>
  <c r="H265" i="1"/>
  <c r="T265" i="1"/>
  <c r="H45" i="1"/>
  <c r="T45" i="1"/>
  <c r="H1738" i="1"/>
  <c r="T1738" i="1"/>
  <c r="H1716" i="1"/>
  <c r="T1716" i="1"/>
  <c r="H1540" i="1"/>
  <c r="T1540" i="1"/>
  <c r="H1254" i="1"/>
  <c r="T1254" i="1"/>
  <c r="H1100" i="1"/>
  <c r="T1100" i="1"/>
  <c r="H990" i="1"/>
  <c r="T990" i="1"/>
  <c r="H814" i="1"/>
  <c r="T814" i="1"/>
  <c r="H704" i="1"/>
  <c r="T704" i="1"/>
  <c r="H528" i="1"/>
  <c r="T528" i="1"/>
  <c r="H440" i="1"/>
  <c r="T440" i="1"/>
  <c r="H374" i="1"/>
  <c r="T374" i="1"/>
  <c r="T2333" i="1"/>
  <c r="H2837" i="1"/>
  <c r="T2837" i="1"/>
  <c r="H2595" i="1"/>
  <c r="T2595" i="1"/>
  <c r="H1429" i="1"/>
  <c r="T1429" i="1"/>
  <c r="H989" i="1"/>
  <c r="T989" i="1"/>
  <c r="T2331" i="1"/>
  <c r="H2880" i="1"/>
  <c r="T2880" i="1"/>
  <c r="H2836" i="1"/>
  <c r="T2836" i="1"/>
  <c r="H2660" i="1"/>
  <c r="T2660" i="1"/>
  <c r="H1934" i="1"/>
  <c r="T1934" i="1"/>
  <c r="H1890" i="1"/>
  <c r="T1890" i="1"/>
  <c r="H1472" i="1"/>
  <c r="T1472" i="1"/>
  <c r="H1428" i="1"/>
  <c r="T1428" i="1"/>
  <c r="T2330" i="1"/>
  <c r="T1473" i="1"/>
  <c r="T134" i="1"/>
  <c r="T1277" i="1"/>
  <c r="T1608" i="1"/>
  <c r="T1276" i="1"/>
  <c r="T572" i="1"/>
  <c r="H2832" i="1"/>
  <c r="T2832" i="1"/>
  <c r="H2502" i="1"/>
  <c r="T2502" i="1"/>
  <c r="H808" i="1"/>
  <c r="T808" i="1"/>
  <c r="H2885" i="1"/>
  <c r="T2885" i="1"/>
  <c r="H2819" i="1"/>
  <c r="T2819" i="1"/>
  <c r="H2533" i="1"/>
  <c r="T2533" i="1"/>
  <c r="H2313" i="1"/>
  <c r="T2313" i="1"/>
  <c r="H2225" i="1"/>
  <c r="T2225" i="1"/>
  <c r="H2049" i="1"/>
  <c r="T2049" i="1"/>
  <c r="H1961" i="1"/>
  <c r="T1961" i="1"/>
  <c r="H1895" i="1"/>
  <c r="T1895" i="1"/>
  <c r="T2993" i="1"/>
  <c r="T2509" i="1"/>
  <c r="T813" i="1"/>
  <c r="T484" i="1"/>
  <c r="T241" i="1"/>
  <c r="H2594" i="1"/>
  <c r="T2594" i="1"/>
  <c r="T1828" i="1"/>
  <c r="T483" i="1"/>
  <c r="T2247" i="1"/>
  <c r="T1056" i="1"/>
  <c r="T1826" i="1"/>
  <c r="T1143" i="1"/>
  <c r="H2876" i="1"/>
  <c r="T2876" i="1"/>
  <c r="H2458" i="1"/>
  <c r="T2458" i="1"/>
  <c r="H1798" i="1"/>
  <c r="T1798" i="1"/>
  <c r="T2111" i="1"/>
  <c r="T2000" i="1"/>
  <c r="T2203" i="1"/>
  <c r="T2399" i="1"/>
  <c r="T2202" i="1"/>
  <c r="T1034" i="1"/>
  <c r="T2797" i="1"/>
  <c r="T2397" i="1"/>
  <c r="T660" i="1"/>
  <c r="T88" i="1"/>
  <c r="H980" i="1"/>
  <c r="T980" i="1"/>
  <c r="T2775" i="1"/>
  <c r="T1692" i="1"/>
  <c r="T1453" i="1"/>
  <c r="T659" i="1"/>
  <c r="H2739" i="1"/>
  <c r="T2739" i="1"/>
  <c r="H2673" i="1"/>
  <c r="T2673" i="1"/>
  <c r="H2365" i="1"/>
  <c r="T2365" i="1"/>
  <c r="H2145" i="1"/>
  <c r="T2145" i="1"/>
  <c r="H1067" i="1"/>
  <c r="T1067" i="1"/>
  <c r="H979" i="1"/>
  <c r="T979" i="1"/>
  <c r="H55" i="1"/>
  <c r="T55" i="1"/>
  <c r="T2774" i="1"/>
  <c r="T200" i="1"/>
  <c r="H2892" i="1"/>
  <c r="T2892" i="1"/>
  <c r="H2870" i="1"/>
  <c r="T2870" i="1"/>
  <c r="H2826" i="1"/>
  <c r="T2826" i="1"/>
  <c r="H2738" i="1"/>
  <c r="T2738" i="1"/>
  <c r="H2672" i="1"/>
  <c r="T2672" i="1"/>
  <c r="H2650" i="1"/>
  <c r="T2650" i="1"/>
  <c r="H2606" i="1"/>
  <c r="T2606" i="1"/>
  <c r="H2518" i="1"/>
  <c r="T2518" i="1"/>
  <c r="H2474" i="1"/>
  <c r="T2474" i="1"/>
  <c r="H2452" i="1"/>
  <c r="T2452" i="1"/>
  <c r="H2386" i="1"/>
  <c r="T2386" i="1"/>
  <c r="H2364" i="1"/>
  <c r="T2364" i="1"/>
  <c r="H2232" i="1"/>
  <c r="T2232" i="1"/>
  <c r="H2210" i="1"/>
  <c r="T2210" i="1"/>
  <c r="H2144" i="1"/>
  <c r="T2144" i="1"/>
  <c r="H2078" i="1"/>
  <c r="T2078" i="1"/>
  <c r="H2056" i="1"/>
  <c r="T2056" i="1"/>
  <c r="H2012" i="1"/>
  <c r="T2012" i="1"/>
  <c r="T1858" i="1"/>
  <c r="H1858" i="1"/>
  <c r="H1792" i="1"/>
  <c r="T1792" i="1"/>
  <c r="H1748" i="1"/>
  <c r="T1748" i="1"/>
  <c r="H1726" i="1"/>
  <c r="T1726" i="1"/>
  <c r="H1660" i="1"/>
  <c r="T1660" i="1"/>
  <c r="H1616" i="1"/>
  <c r="T1616" i="1"/>
  <c r="H1550" i="1"/>
  <c r="T1550" i="1"/>
  <c r="H1418" i="1"/>
  <c r="T1418" i="1"/>
  <c r="T1374" i="1"/>
  <c r="H1374" i="1"/>
  <c r="T1352" i="1"/>
  <c r="H1352" i="1"/>
  <c r="H1330" i="1"/>
  <c r="T1330" i="1"/>
  <c r="H1264" i="1"/>
  <c r="T1264" i="1"/>
  <c r="H1242" i="1"/>
  <c r="T1242" i="1"/>
  <c r="H1132" i="1"/>
  <c r="T1132" i="1"/>
  <c r="H1000" i="1"/>
  <c r="T1000" i="1"/>
  <c r="H978" i="1"/>
  <c r="T978" i="1"/>
  <c r="H890" i="1"/>
  <c r="T890" i="1"/>
  <c r="H824" i="1"/>
  <c r="T824" i="1"/>
  <c r="H802" i="1"/>
  <c r="T802" i="1"/>
  <c r="H670" i="1"/>
  <c r="T670" i="1"/>
  <c r="H582" i="1"/>
  <c r="T582" i="1"/>
  <c r="H516" i="1"/>
  <c r="T516" i="1"/>
  <c r="H450" i="1"/>
  <c r="T450" i="1"/>
  <c r="H428" i="1"/>
  <c r="T428" i="1"/>
  <c r="H362" i="1"/>
  <c r="T362" i="1"/>
  <c r="H340" i="1"/>
  <c r="T340" i="1"/>
  <c r="T296" i="1"/>
  <c r="H296" i="1"/>
  <c r="H274" i="1"/>
  <c r="T274" i="1"/>
  <c r="H252" i="1"/>
  <c r="T252" i="1"/>
  <c r="H186" i="1"/>
  <c r="T186" i="1"/>
  <c r="H164" i="1"/>
  <c r="T164" i="1"/>
  <c r="H54" i="1"/>
  <c r="T54" i="1"/>
  <c r="H10" i="1"/>
  <c r="T10" i="1"/>
  <c r="T2863" i="1"/>
  <c r="T2188" i="1"/>
  <c r="T1983" i="1"/>
  <c r="T1440" i="1"/>
  <c r="T1231" i="1"/>
  <c r="T1124" i="1"/>
  <c r="T551" i="1"/>
  <c r="T199" i="1"/>
  <c r="T2929" i="1"/>
  <c r="T2862" i="1"/>
  <c r="T2634" i="1"/>
  <c r="T2577" i="1"/>
  <c r="T2269" i="1"/>
  <c r="T2093" i="1"/>
  <c r="T1968" i="1"/>
  <c r="T1784" i="1"/>
  <c r="T1684" i="1"/>
  <c r="T1112" i="1"/>
  <c r="T758" i="1"/>
  <c r="T648" i="1"/>
  <c r="T550" i="1"/>
  <c r="T198" i="1"/>
  <c r="H2973" i="1"/>
  <c r="T2973" i="1"/>
  <c r="H2709" i="1"/>
  <c r="T2709" i="1"/>
  <c r="H2643" i="1"/>
  <c r="T2643" i="1"/>
  <c r="H2511" i="1"/>
  <c r="T2511" i="1"/>
  <c r="H2445" i="1"/>
  <c r="T2445" i="1"/>
  <c r="H2401" i="1"/>
  <c r="T2401" i="1"/>
  <c r="H2357" i="1"/>
  <c r="T2357" i="1"/>
  <c r="H2291" i="1"/>
  <c r="T2291" i="1"/>
  <c r="H2950" i="1"/>
  <c r="T2950" i="1"/>
  <c r="H2752" i="1"/>
  <c r="T2752" i="1"/>
  <c r="H2510" i="1"/>
  <c r="T2510" i="1"/>
  <c r="H2444" i="1"/>
  <c r="T2444" i="1"/>
  <c r="H2356" i="1"/>
  <c r="T2356" i="1"/>
  <c r="H2026" i="1"/>
  <c r="T2026" i="1"/>
  <c r="H1630" i="1"/>
  <c r="T1630" i="1"/>
  <c r="H1542" i="1"/>
  <c r="T1542" i="1"/>
  <c r="H1366" i="1"/>
  <c r="T1366" i="1"/>
  <c r="H1278" i="1"/>
  <c r="T1278" i="1"/>
  <c r="H1190" i="1"/>
  <c r="T1190" i="1"/>
  <c r="H1102" i="1"/>
  <c r="T1102" i="1"/>
  <c r="H904" i="1"/>
  <c r="T904" i="1"/>
  <c r="H750" i="1"/>
  <c r="T750" i="1"/>
  <c r="H662" i="1"/>
  <c r="T662" i="1"/>
  <c r="H618" i="1"/>
  <c r="T618" i="1"/>
  <c r="H508" i="1"/>
  <c r="T508" i="1"/>
  <c r="H376" i="1"/>
  <c r="T376" i="1"/>
  <c r="H112" i="1"/>
  <c r="T112" i="1"/>
  <c r="T2555" i="1"/>
  <c r="H2839" i="1"/>
  <c r="T2839" i="1"/>
  <c r="H2751" i="1"/>
  <c r="T2751" i="1"/>
  <c r="H2707" i="1"/>
  <c r="T2707" i="1"/>
  <c r="H2531" i="1"/>
  <c r="T2531" i="1"/>
  <c r="H2443" i="1"/>
  <c r="T2443" i="1"/>
  <c r="H2355" i="1"/>
  <c r="T2355" i="1"/>
  <c r="H2179" i="1"/>
  <c r="T2179" i="1"/>
  <c r="H2113" i="1"/>
  <c r="T2113" i="1"/>
  <c r="H2047" i="1"/>
  <c r="T2047" i="1"/>
  <c r="H1541" i="1"/>
  <c r="T1541" i="1"/>
  <c r="H1365" i="1"/>
  <c r="T1365" i="1"/>
  <c r="H1189" i="1"/>
  <c r="T1189" i="1"/>
  <c r="H1101" i="1"/>
  <c r="T1101" i="1"/>
  <c r="H1013" i="1"/>
  <c r="T1013" i="1"/>
  <c r="H881" i="1"/>
  <c r="T881" i="1"/>
  <c r="H617" i="1"/>
  <c r="T617" i="1"/>
  <c r="H375" i="1"/>
  <c r="T375" i="1"/>
  <c r="T1939" i="1"/>
  <c r="H1760" i="1"/>
  <c r="T1760" i="1"/>
  <c r="H1430" i="1"/>
  <c r="T1430" i="1"/>
  <c r="H1188" i="1"/>
  <c r="T1188" i="1"/>
  <c r="H1012" i="1"/>
  <c r="T1012" i="1"/>
  <c r="H924" i="1"/>
  <c r="T924" i="1"/>
  <c r="H352" i="1"/>
  <c r="T352" i="1"/>
  <c r="H308" i="1"/>
  <c r="T308" i="1"/>
  <c r="H264" i="1"/>
  <c r="T264" i="1"/>
  <c r="H176" i="1"/>
  <c r="T176" i="1"/>
  <c r="H44" i="1"/>
  <c r="T44" i="1"/>
  <c r="T266" i="1"/>
  <c r="H2661" i="1"/>
  <c r="T2661" i="1"/>
  <c r="H1891" i="1"/>
  <c r="T1891" i="1"/>
  <c r="H571" i="1"/>
  <c r="T571" i="1"/>
  <c r="H527" i="1"/>
  <c r="T527" i="1"/>
  <c r="H439" i="1"/>
  <c r="T439" i="1"/>
  <c r="H307" i="1"/>
  <c r="T307" i="1"/>
  <c r="T1827" i="1"/>
  <c r="T573" i="1"/>
  <c r="H2810" i="1"/>
  <c r="T2810" i="1"/>
  <c r="H2744" i="1"/>
  <c r="T2744" i="1"/>
  <c r="H2392" i="1"/>
  <c r="T2392" i="1"/>
  <c r="T1380" i="1"/>
  <c r="H1380" i="1"/>
  <c r="T1607" i="1"/>
  <c r="T1036" i="1"/>
  <c r="T2687" i="1"/>
  <c r="T2400" i="1"/>
  <c r="T2110" i="1"/>
  <c r="T1917" i="1"/>
  <c r="T1606" i="1"/>
  <c r="T1035" i="1"/>
  <c r="T90" i="1"/>
  <c r="T2686" i="1"/>
  <c r="T1916" i="1"/>
  <c r="T1605" i="1"/>
  <c r="T1388" i="1"/>
  <c r="T684" i="1"/>
  <c r="T89" i="1"/>
  <c r="T2665" i="1"/>
  <c r="T2201" i="1"/>
  <c r="T1454" i="1"/>
  <c r="H2938" i="1"/>
  <c r="T2938" i="1"/>
  <c r="H2300" i="1"/>
  <c r="T2300" i="1"/>
  <c r="H2146" i="1"/>
  <c r="T2146" i="1"/>
  <c r="H694" i="1"/>
  <c r="T694" i="1"/>
  <c r="H606" i="1"/>
  <c r="T606" i="1"/>
  <c r="T2642" i="1"/>
  <c r="T2396" i="1"/>
  <c r="T2190" i="1"/>
  <c r="H2937" i="1"/>
  <c r="T2937" i="1"/>
  <c r="H1859" i="1"/>
  <c r="T1859" i="1"/>
  <c r="H1727" i="1"/>
  <c r="T1727" i="1"/>
  <c r="H693" i="1"/>
  <c r="T693" i="1"/>
  <c r="H605" i="1"/>
  <c r="T605" i="1"/>
  <c r="T2489" i="1"/>
  <c r="T2189" i="1"/>
  <c r="T1688" i="1"/>
  <c r="T1452" i="1"/>
  <c r="T552" i="1"/>
  <c r="H2958" i="1"/>
  <c r="T2958" i="1"/>
  <c r="H2914" i="1"/>
  <c r="T2914" i="1"/>
  <c r="T2928" i="1"/>
  <c r="T2861" i="1"/>
  <c r="T2467" i="1"/>
  <c r="T2268" i="1"/>
  <c r="T2180" i="1"/>
  <c r="T1783" i="1"/>
  <c r="T1683" i="1"/>
  <c r="T1220" i="1"/>
  <c r="T860" i="1"/>
  <c r="T197" i="1"/>
  <c r="H2715" i="1"/>
  <c r="T2715" i="1"/>
  <c r="H2605" i="1"/>
  <c r="T2605" i="1"/>
  <c r="H2561" i="1"/>
  <c r="T2561" i="1"/>
  <c r="H2451" i="1"/>
  <c r="T2451" i="1"/>
  <c r="H2297" i="1"/>
  <c r="T2297" i="1"/>
  <c r="H2165" i="1"/>
  <c r="T2165" i="1"/>
  <c r="H2077" i="1"/>
  <c r="T2077" i="1"/>
  <c r="H1879" i="1"/>
  <c r="T1879" i="1"/>
  <c r="H1725" i="1"/>
  <c r="T1725" i="1"/>
  <c r="H1593" i="1"/>
  <c r="T1593" i="1"/>
  <c r="H1483" i="1"/>
  <c r="T1483" i="1"/>
  <c r="H1417" i="1"/>
  <c r="T1417" i="1"/>
  <c r="H1131" i="1"/>
  <c r="T1131" i="1"/>
  <c r="H1043" i="1"/>
  <c r="T1043" i="1"/>
  <c r="H427" i="1"/>
  <c r="T427" i="1"/>
  <c r="H273" i="1"/>
  <c r="T273" i="1"/>
  <c r="H185" i="1"/>
  <c r="T185" i="1"/>
  <c r="H141" i="1"/>
  <c r="T141" i="1"/>
  <c r="H9" i="1"/>
  <c r="T9" i="1"/>
  <c r="H2758" i="1"/>
  <c r="T2758" i="1"/>
  <c r="H1812" i="1"/>
  <c r="T1812" i="1"/>
  <c r="H2295" i="1"/>
  <c r="T2295" i="1"/>
  <c r="H2075" i="1"/>
  <c r="T2075" i="1"/>
  <c r="H1987" i="1"/>
  <c r="T1987" i="1"/>
  <c r="H2470" i="1"/>
  <c r="T2470" i="1"/>
  <c r="H1942" i="1"/>
  <c r="T1942" i="1"/>
  <c r="H1590" i="1"/>
  <c r="T1590" i="1"/>
  <c r="H1128" i="1"/>
  <c r="T1128" i="1"/>
  <c r="H1040" i="1"/>
  <c r="T1040" i="1"/>
  <c r="H908" i="1"/>
  <c r="T908" i="1"/>
  <c r="H820" i="1"/>
  <c r="T820" i="1"/>
  <c r="H776" i="1"/>
  <c r="T776" i="1"/>
  <c r="H600" i="1"/>
  <c r="T600" i="1"/>
  <c r="H270" i="1"/>
  <c r="T270" i="1"/>
  <c r="H1703" i="1"/>
  <c r="T2385" i="1"/>
  <c r="T2209" i="1"/>
  <c r="T1175" i="1"/>
  <c r="T889" i="1"/>
  <c r="H2227" i="1"/>
  <c r="T2227" i="1"/>
  <c r="H445" i="1"/>
  <c r="T445" i="1"/>
  <c r="H357" i="1"/>
  <c r="T357" i="1"/>
  <c r="H225" i="1"/>
  <c r="T225" i="1"/>
  <c r="H115" i="1"/>
  <c r="T115" i="1"/>
  <c r="H49" i="1"/>
  <c r="T49" i="1"/>
  <c r="T2735" i="1"/>
  <c r="T2669" i="1"/>
  <c r="T2382" i="1"/>
  <c r="T2205" i="1"/>
  <c r="T1962" i="1"/>
  <c r="T1855" i="1"/>
  <c r="T1791" i="1"/>
  <c r="T1612" i="1"/>
  <c r="T1241" i="1"/>
  <c r="T1170" i="1"/>
  <c r="T1082" i="1"/>
  <c r="T713" i="1"/>
  <c r="T425" i="1"/>
  <c r="T247" i="1"/>
  <c r="T162" i="1"/>
  <c r="H2891" i="1"/>
  <c r="T2891" i="1"/>
  <c r="H2781" i="1"/>
  <c r="T2781" i="1"/>
  <c r="H2649" i="1"/>
  <c r="T2649" i="1"/>
  <c r="H2539" i="1"/>
  <c r="T2539" i="1"/>
  <c r="H2473" i="1"/>
  <c r="T2473" i="1"/>
  <c r="H2363" i="1"/>
  <c r="T2363" i="1"/>
  <c r="H1989" i="1"/>
  <c r="T1989" i="1"/>
  <c r="H1945" i="1"/>
  <c r="T1945" i="1"/>
  <c r="H1659" i="1"/>
  <c r="T1659" i="1"/>
  <c r="H1505" i="1"/>
  <c r="T1505" i="1"/>
  <c r="H1351" i="1"/>
  <c r="T1351" i="1"/>
  <c r="H1263" i="1"/>
  <c r="T1263" i="1"/>
  <c r="H911" i="1"/>
  <c r="T911" i="1"/>
  <c r="H669" i="1"/>
  <c r="T669" i="1"/>
  <c r="H625" i="1"/>
  <c r="T625" i="1"/>
  <c r="T2957" i="1"/>
  <c r="T2055" i="1"/>
  <c r="H2560" i="1"/>
  <c r="T2560" i="1"/>
  <c r="H2472" i="1"/>
  <c r="T2472" i="1"/>
  <c r="H2296" i="1"/>
  <c r="T2296" i="1"/>
  <c r="H2076" i="1"/>
  <c r="T2076" i="1"/>
  <c r="H1988" i="1"/>
  <c r="T1988" i="1"/>
  <c r="H140" i="1"/>
  <c r="T140" i="1"/>
  <c r="T2825" i="1"/>
  <c r="T449" i="1"/>
  <c r="H2757" i="1"/>
  <c r="T2757" i="1"/>
  <c r="H2559" i="1"/>
  <c r="T2559" i="1"/>
  <c r="H1811" i="1"/>
  <c r="T1811" i="1"/>
  <c r="H1481" i="1"/>
  <c r="T1481" i="1"/>
  <c r="H1261" i="1"/>
  <c r="T1261" i="1"/>
  <c r="H1063" i="1"/>
  <c r="T1063" i="1"/>
  <c r="H821" i="1"/>
  <c r="T821" i="1"/>
  <c r="H777" i="1"/>
  <c r="T777" i="1"/>
  <c r="H139" i="1"/>
  <c r="T139" i="1"/>
  <c r="T2671" i="1"/>
  <c r="T251" i="1"/>
  <c r="H2910" i="1"/>
  <c r="T2910" i="1"/>
  <c r="H2822" i="1"/>
  <c r="T2822" i="1"/>
  <c r="H2778" i="1"/>
  <c r="T2778" i="1"/>
  <c r="H2712" i="1"/>
  <c r="T2712" i="1"/>
  <c r="H2646" i="1"/>
  <c r="T2646" i="1"/>
  <c r="H2536" i="1"/>
  <c r="T2536" i="1"/>
  <c r="H2448" i="1"/>
  <c r="T2448" i="1"/>
  <c r="H2294" i="1"/>
  <c r="T2294" i="1"/>
  <c r="H2052" i="1"/>
  <c r="T2052" i="1"/>
  <c r="H1810" i="1"/>
  <c r="T1810" i="1"/>
  <c r="H1656" i="1"/>
  <c r="T1656" i="1"/>
  <c r="H1348" i="1"/>
  <c r="T1348" i="1"/>
  <c r="H1260" i="1"/>
  <c r="T1260" i="1"/>
  <c r="H1106" i="1"/>
  <c r="T1106" i="1"/>
  <c r="H1062" i="1"/>
  <c r="T1062" i="1"/>
  <c r="H204" i="1"/>
  <c r="T204" i="1"/>
  <c r="H138" i="1"/>
  <c r="T138" i="1"/>
  <c r="T2670" i="1"/>
  <c r="T2517" i="1"/>
  <c r="T1615" i="1"/>
  <c r="T999" i="1"/>
  <c r="T426" i="1"/>
  <c r="T248" i="1"/>
  <c r="T163" i="1"/>
  <c r="H2975" i="1"/>
  <c r="T2975" i="1"/>
  <c r="H2821" i="1"/>
  <c r="T2821" i="1"/>
  <c r="H2777" i="1"/>
  <c r="T2777" i="1"/>
  <c r="H2711" i="1"/>
  <c r="T2711" i="1"/>
  <c r="H2601" i="1"/>
  <c r="T2601" i="1"/>
  <c r="H2535" i="1"/>
  <c r="T2535" i="1"/>
  <c r="H2403" i="1"/>
  <c r="T2403" i="1"/>
  <c r="H2293" i="1"/>
  <c r="T2293" i="1"/>
  <c r="H2117" i="1"/>
  <c r="T2117" i="1"/>
  <c r="H2051" i="1"/>
  <c r="T2051" i="1"/>
  <c r="H1941" i="1"/>
  <c r="T1941" i="1"/>
  <c r="H1633" i="1"/>
  <c r="T1633" i="1"/>
  <c r="H1589" i="1"/>
  <c r="T1589" i="1"/>
  <c r="H1347" i="1"/>
  <c r="T1347" i="1"/>
  <c r="H1281" i="1"/>
  <c r="T1281" i="1"/>
  <c r="H1105" i="1"/>
  <c r="T1105" i="1"/>
  <c r="H1039" i="1"/>
  <c r="T1039" i="1"/>
  <c r="H907" i="1"/>
  <c r="T907" i="1"/>
  <c r="H775" i="1"/>
  <c r="T775" i="1"/>
  <c r="H753" i="1"/>
  <c r="T753" i="1"/>
  <c r="H643" i="1"/>
  <c r="T643" i="1"/>
  <c r="H599" i="1"/>
  <c r="T599" i="1"/>
  <c r="H2974" i="1"/>
  <c r="T2974" i="1"/>
  <c r="H2952" i="1"/>
  <c r="T2952" i="1"/>
  <c r="H2820" i="1"/>
  <c r="T2820" i="1"/>
  <c r="H2776" i="1"/>
  <c r="T2776" i="1"/>
  <c r="H2710" i="1"/>
  <c r="T2710" i="1"/>
  <c r="H2600" i="1"/>
  <c r="T2600" i="1"/>
  <c r="H2534" i="1"/>
  <c r="T2534" i="1"/>
  <c r="H2424" i="1"/>
  <c r="T2424" i="1"/>
  <c r="H2402" i="1"/>
  <c r="T2402" i="1"/>
  <c r="H2358" i="1"/>
  <c r="T2358" i="1"/>
  <c r="H2292" i="1"/>
  <c r="T2292" i="1"/>
  <c r="H2226" i="1"/>
  <c r="T2226" i="1"/>
  <c r="H2116" i="1"/>
  <c r="T2116" i="1"/>
  <c r="H2050" i="1"/>
  <c r="T2050" i="1"/>
  <c r="H1940" i="1"/>
  <c r="T1940" i="1"/>
  <c r="H1808" i="1"/>
  <c r="T1808" i="1"/>
  <c r="H1764" i="1"/>
  <c r="T1764" i="1"/>
  <c r="H1676" i="1"/>
  <c r="T1676" i="1"/>
  <c r="H1632" i="1"/>
  <c r="T1632" i="1"/>
  <c r="H1588" i="1"/>
  <c r="T1588" i="1"/>
  <c r="H1280" i="1"/>
  <c r="T1280" i="1"/>
  <c r="H1214" i="1"/>
  <c r="T1214" i="1"/>
  <c r="H1104" i="1"/>
  <c r="T1104" i="1"/>
  <c r="H906" i="1"/>
  <c r="T906" i="1"/>
  <c r="H840" i="1"/>
  <c r="T840" i="1"/>
  <c r="H752" i="1"/>
  <c r="T752" i="1"/>
  <c r="H642" i="1"/>
  <c r="T642" i="1"/>
  <c r="H598" i="1"/>
  <c r="T598" i="1"/>
  <c r="H444" i="1"/>
  <c r="T444" i="1"/>
  <c r="H378" i="1"/>
  <c r="T378" i="1"/>
  <c r="H290" i="1"/>
  <c r="T290" i="1"/>
  <c r="H224" i="1"/>
  <c r="T224" i="1"/>
  <c r="H114" i="1"/>
  <c r="T114" i="1"/>
  <c r="H48" i="1"/>
  <c r="T48" i="1"/>
  <c r="H26" i="1"/>
  <c r="T26" i="1"/>
  <c r="T2935" i="1"/>
  <c r="T2734" i="1"/>
  <c r="T2666" i="1"/>
  <c r="T2381" i="1"/>
  <c r="T2272" i="1"/>
  <c r="T2204" i="1"/>
  <c r="T1854" i="1"/>
  <c r="T1788" i="1"/>
  <c r="T1611" i="1"/>
  <c r="T1329" i="1"/>
  <c r="T1240" i="1"/>
  <c r="T801" i="1"/>
  <c r="T424" i="1"/>
  <c r="T339" i="1"/>
  <c r="T246" i="1"/>
  <c r="T161" i="1"/>
  <c r="T53" i="1"/>
  <c r="H1230" i="1"/>
  <c r="T1230" i="1"/>
  <c r="H570" i="1"/>
  <c r="T570" i="1"/>
  <c r="H438" i="1"/>
  <c r="T438" i="1"/>
  <c r="H2659" i="1"/>
  <c r="T2659" i="1"/>
  <c r="H1933" i="1"/>
  <c r="T1933" i="1"/>
  <c r="H1691" i="1"/>
  <c r="T1691" i="1"/>
  <c r="H1471" i="1"/>
  <c r="T1471" i="1"/>
  <c r="H1229" i="1"/>
  <c r="T1229" i="1"/>
  <c r="H569" i="1"/>
  <c r="T569" i="1"/>
  <c r="H239" i="1"/>
  <c r="T239" i="1"/>
  <c r="T1889" i="1"/>
  <c r="T1427" i="1"/>
  <c r="T988" i="1"/>
  <c r="H1888" i="1"/>
  <c r="T1888" i="1"/>
  <c r="H1690" i="1"/>
  <c r="T1690" i="1"/>
  <c r="H1360" i="1"/>
  <c r="T1360" i="1"/>
  <c r="H1228" i="1"/>
  <c r="T1228" i="1"/>
  <c r="H238" i="1"/>
  <c r="T238" i="1"/>
  <c r="H194" i="1"/>
  <c r="T194" i="1"/>
  <c r="H2790" i="1"/>
  <c r="T987" i="1"/>
  <c r="H1689" i="1"/>
  <c r="T1689" i="1"/>
  <c r="H1359" i="1"/>
  <c r="T1359" i="1"/>
  <c r="H237" i="1"/>
  <c r="T237" i="1"/>
  <c r="H193" i="1"/>
  <c r="T193" i="1"/>
  <c r="H105" i="1"/>
  <c r="T105" i="1"/>
  <c r="T986" i="1"/>
  <c r="T2873" i="1"/>
  <c r="T2501" i="1"/>
  <c r="H145" i="1"/>
  <c r="T2500" i="1"/>
  <c r="T1465" i="1"/>
  <c r="T1159" i="1"/>
  <c r="H2987" i="1"/>
  <c r="T2987" i="1"/>
  <c r="H2921" i="1"/>
  <c r="T2921" i="1"/>
  <c r="H2855" i="1"/>
  <c r="T2855" i="1"/>
  <c r="H2811" i="1"/>
  <c r="T2811" i="1"/>
  <c r="H2745" i="1"/>
  <c r="T2745" i="1"/>
  <c r="H2679" i="1"/>
  <c r="T2679" i="1"/>
  <c r="H2613" i="1"/>
  <c r="T2613" i="1"/>
  <c r="H2415" i="1"/>
  <c r="T2415" i="1"/>
  <c r="H2305" i="1"/>
  <c r="T2305" i="1"/>
  <c r="H2986" i="1"/>
  <c r="T2986" i="1"/>
  <c r="H2920" i="1"/>
  <c r="T2920" i="1"/>
  <c r="H2678" i="1"/>
  <c r="T2678" i="1"/>
  <c r="H2612" i="1"/>
  <c r="T2612" i="1"/>
  <c r="H2436" i="1"/>
  <c r="T2436" i="1"/>
  <c r="H2348" i="1"/>
  <c r="T2348" i="1"/>
  <c r="H2282" i="1"/>
  <c r="T2282" i="1"/>
  <c r="H2194" i="1"/>
  <c r="T2194" i="1"/>
  <c r="H2128" i="1"/>
  <c r="T2128" i="1"/>
  <c r="H1974" i="1"/>
  <c r="T1974" i="1"/>
  <c r="H1908" i="1"/>
  <c r="T1908" i="1"/>
  <c r="H1710" i="1"/>
  <c r="T1710" i="1"/>
  <c r="H1248" i="1"/>
  <c r="T1248" i="1"/>
  <c r="H1138" i="1"/>
  <c r="T1138" i="1"/>
  <c r="H1072" i="1"/>
  <c r="T1072" i="1"/>
  <c r="H1006" i="1"/>
  <c r="T1006" i="1"/>
  <c r="T940" i="1"/>
  <c r="H940" i="1"/>
  <c r="H874" i="1"/>
  <c r="T874" i="1"/>
  <c r="H720" i="1"/>
  <c r="T720" i="1"/>
  <c r="H654" i="1"/>
  <c r="T654" i="1"/>
  <c r="H588" i="1"/>
  <c r="T588" i="1"/>
  <c r="H456" i="1"/>
  <c r="T456" i="1"/>
  <c r="H390" i="1"/>
  <c r="T390" i="1"/>
  <c r="H302" i="1"/>
  <c r="T302" i="1"/>
  <c r="H236" i="1"/>
  <c r="T236" i="1"/>
  <c r="H170" i="1"/>
  <c r="T170" i="1"/>
  <c r="H60" i="1"/>
  <c r="T60" i="1"/>
  <c r="H1600" i="1"/>
  <c r="T1270" i="1"/>
  <c r="H2919" i="1"/>
  <c r="T2919" i="1"/>
  <c r="H2831" i="1"/>
  <c r="T2831" i="1"/>
  <c r="H2743" i="1"/>
  <c r="T2743" i="1"/>
  <c r="H2677" i="1"/>
  <c r="T2677" i="1"/>
  <c r="H2611" i="1"/>
  <c r="T2611" i="1"/>
  <c r="H2545" i="1"/>
  <c r="T2545" i="1"/>
  <c r="H2479" i="1"/>
  <c r="T2479" i="1"/>
  <c r="T2413" i="1"/>
  <c r="H2413" i="1"/>
  <c r="H2281" i="1"/>
  <c r="T2281" i="1"/>
  <c r="H2193" i="1"/>
  <c r="T2193" i="1"/>
  <c r="H2127" i="1"/>
  <c r="T2127" i="1"/>
  <c r="H2061" i="1"/>
  <c r="T2061" i="1"/>
  <c r="H1885" i="1"/>
  <c r="T1885" i="1"/>
  <c r="H1819" i="1"/>
  <c r="T1819" i="1"/>
  <c r="H1709" i="1"/>
  <c r="T1709" i="1"/>
  <c r="H1533" i="1"/>
  <c r="T1533" i="1"/>
  <c r="H1467" i="1"/>
  <c r="T1467" i="1"/>
  <c r="H1401" i="1"/>
  <c r="T1401" i="1"/>
  <c r="H1269" i="1"/>
  <c r="T1269" i="1"/>
  <c r="H1203" i="1"/>
  <c r="T1203" i="1"/>
  <c r="H1115" i="1"/>
  <c r="T1115" i="1"/>
  <c r="H961" i="1"/>
  <c r="T961" i="1"/>
  <c r="H895" i="1"/>
  <c r="T895" i="1"/>
  <c r="H785" i="1"/>
  <c r="T785" i="1"/>
  <c r="H719" i="1"/>
  <c r="T719" i="1"/>
  <c r="H653" i="1"/>
  <c r="T653" i="1"/>
  <c r="H587" i="1"/>
  <c r="T587" i="1"/>
  <c r="H521" i="1"/>
  <c r="T521" i="1"/>
  <c r="H499" i="1"/>
  <c r="T499" i="1"/>
  <c r="H411" i="1"/>
  <c r="T411" i="1"/>
  <c r="H279" i="1"/>
  <c r="T279" i="1"/>
  <c r="H147" i="1"/>
  <c r="T147" i="1"/>
  <c r="H2984" i="1"/>
  <c r="T2984" i="1"/>
  <c r="H2918" i="1"/>
  <c r="T2918" i="1"/>
  <c r="H2830" i="1"/>
  <c r="T2830" i="1"/>
  <c r="H2764" i="1"/>
  <c r="T2764" i="1"/>
  <c r="H2676" i="1"/>
  <c r="T2676" i="1"/>
  <c r="H2610" i="1"/>
  <c r="T2610" i="1"/>
  <c r="H2544" i="1"/>
  <c r="T2544" i="1"/>
  <c r="H2478" i="1"/>
  <c r="T2478" i="1"/>
  <c r="H2192" i="1"/>
  <c r="T2192" i="1"/>
  <c r="H2038" i="1"/>
  <c r="T2038" i="1"/>
  <c r="H1928" i="1"/>
  <c r="T1928" i="1"/>
  <c r="H1862" i="1"/>
  <c r="T1862" i="1"/>
  <c r="H1752" i="1"/>
  <c r="T1752" i="1"/>
  <c r="H1686" i="1"/>
  <c r="T1686" i="1"/>
  <c r="H1334" i="1"/>
  <c r="T1334" i="1"/>
  <c r="H1268" i="1"/>
  <c r="T1268" i="1"/>
  <c r="H1180" i="1"/>
  <c r="T1180" i="1"/>
  <c r="H1114" i="1"/>
  <c r="T1114" i="1"/>
  <c r="H1026" i="1"/>
  <c r="T1026" i="1"/>
  <c r="H960" i="1"/>
  <c r="T960" i="1"/>
  <c r="H784" i="1"/>
  <c r="T784" i="1"/>
  <c r="H718" i="1"/>
  <c r="T718" i="1"/>
  <c r="H652" i="1"/>
  <c r="T652" i="1"/>
  <c r="H586" i="1"/>
  <c r="T586" i="1"/>
  <c r="H542" i="1"/>
  <c r="T542" i="1"/>
  <c r="H432" i="1"/>
  <c r="T432" i="1"/>
  <c r="H366" i="1"/>
  <c r="T366" i="1"/>
  <c r="H278" i="1"/>
  <c r="T278" i="1"/>
  <c r="H168" i="1"/>
  <c r="T168" i="1"/>
  <c r="H102" i="1"/>
  <c r="T102" i="1"/>
  <c r="H14" i="1"/>
  <c r="T14" i="1"/>
  <c r="H2917" i="1"/>
  <c r="T2917" i="1"/>
  <c r="H2851" i="1"/>
  <c r="T2851" i="1"/>
  <c r="H2785" i="1"/>
  <c r="T2785" i="1"/>
  <c r="H2653" i="1"/>
  <c r="T2653" i="1"/>
  <c r="H2609" i="1"/>
  <c r="T2609" i="1"/>
  <c r="H2521" i="1"/>
  <c r="T2521" i="1"/>
  <c r="H2433" i="1"/>
  <c r="T2433" i="1"/>
  <c r="H2345" i="1"/>
  <c r="T2345" i="1"/>
  <c r="H2279" i="1"/>
  <c r="T2279" i="1"/>
  <c r="H2037" i="1"/>
  <c r="T2037" i="1"/>
  <c r="H1949" i="1"/>
  <c r="T1949" i="1"/>
  <c r="H1861" i="1"/>
  <c r="T1861" i="1"/>
  <c r="H1795" i="1"/>
  <c r="T1795" i="1"/>
  <c r="H1751" i="1"/>
  <c r="T1751" i="1"/>
  <c r="H1729" i="1"/>
  <c r="T1729" i="1"/>
  <c r="H1707" i="1"/>
  <c r="T1707" i="1"/>
  <c r="H1663" i="1"/>
  <c r="T1663" i="1"/>
  <c r="H1597" i="1"/>
  <c r="T1597" i="1"/>
  <c r="H1575" i="1"/>
  <c r="T1575" i="1"/>
  <c r="H1553" i="1"/>
  <c r="T1553" i="1"/>
  <c r="H1531" i="1"/>
  <c r="T1531" i="1"/>
  <c r="H1487" i="1"/>
  <c r="T1487" i="1"/>
  <c r="H1443" i="1"/>
  <c r="T1443" i="1"/>
  <c r="H1421" i="1"/>
  <c r="T1421" i="1"/>
  <c r="H1399" i="1"/>
  <c r="T1399" i="1"/>
  <c r="H1377" i="1"/>
  <c r="T1377" i="1"/>
  <c r="H1355" i="1"/>
  <c r="T1355" i="1"/>
  <c r="H1333" i="1"/>
  <c r="T1333" i="1"/>
  <c r="H1289" i="1"/>
  <c r="T1289" i="1"/>
  <c r="H1267" i="1"/>
  <c r="T1267" i="1"/>
  <c r="H1245" i="1"/>
  <c r="T1245" i="1"/>
  <c r="H1223" i="1"/>
  <c r="T1223" i="1"/>
  <c r="H1179" i="1"/>
  <c r="T1179" i="1"/>
  <c r="H1157" i="1"/>
  <c r="T1157" i="1"/>
  <c r="H1135" i="1"/>
  <c r="T1135" i="1"/>
  <c r="H1113" i="1"/>
  <c r="T1113" i="1"/>
  <c r="H1091" i="1"/>
  <c r="T1091" i="1"/>
  <c r="H1069" i="1"/>
  <c r="T1069" i="1"/>
  <c r="H1047" i="1"/>
  <c r="T1047" i="1"/>
  <c r="H1025" i="1"/>
  <c r="T1025" i="1"/>
  <c r="T1003" i="1"/>
  <c r="H1003" i="1"/>
  <c r="H981" i="1"/>
  <c r="T981" i="1"/>
  <c r="H959" i="1"/>
  <c r="T959" i="1"/>
  <c r="H915" i="1"/>
  <c r="T915" i="1"/>
  <c r="H827" i="1"/>
  <c r="T827" i="1"/>
  <c r="H805" i="1"/>
  <c r="T805" i="1"/>
  <c r="H783" i="1"/>
  <c r="T783" i="1"/>
  <c r="H761" i="1"/>
  <c r="T761" i="1"/>
  <c r="H739" i="1"/>
  <c r="T739" i="1"/>
  <c r="H717" i="1"/>
  <c r="T717" i="1"/>
  <c r="H695" i="1"/>
  <c r="T695" i="1"/>
  <c r="H673" i="1"/>
  <c r="T673" i="1"/>
  <c r="H651" i="1"/>
  <c r="T651" i="1"/>
  <c r="H629" i="1"/>
  <c r="T629" i="1"/>
  <c r="H585" i="1"/>
  <c r="T585" i="1"/>
  <c r="H563" i="1"/>
  <c r="T563" i="1"/>
  <c r="H541" i="1"/>
  <c r="T541" i="1"/>
  <c r="T519" i="1"/>
  <c r="H519" i="1"/>
  <c r="H497" i="1"/>
  <c r="T497" i="1"/>
  <c r="H475" i="1"/>
  <c r="T475" i="1"/>
  <c r="H453" i="1"/>
  <c r="T453" i="1"/>
  <c r="H431" i="1"/>
  <c r="T431" i="1"/>
  <c r="H409" i="1"/>
  <c r="T409" i="1"/>
  <c r="H387" i="1"/>
  <c r="T387" i="1"/>
  <c r="H365" i="1"/>
  <c r="T365" i="1"/>
  <c r="H343" i="1"/>
  <c r="T343" i="1"/>
  <c r="H321" i="1"/>
  <c r="T321" i="1"/>
  <c r="H299" i="1"/>
  <c r="T299" i="1"/>
  <c r="H277" i="1"/>
  <c r="T277" i="1"/>
  <c r="H255" i="1"/>
  <c r="T255" i="1"/>
  <c r="H233" i="1"/>
  <c r="T233" i="1"/>
  <c r="H211" i="1"/>
  <c r="T211" i="1"/>
  <c r="H189" i="1"/>
  <c r="T189" i="1"/>
  <c r="H167" i="1"/>
  <c r="T167" i="1"/>
  <c r="H123" i="1"/>
  <c r="T123" i="1"/>
  <c r="H101" i="1"/>
  <c r="T101" i="1"/>
  <c r="H79" i="1"/>
  <c r="T79" i="1"/>
  <c r="H57" i="1"/>
  <c r="T57" i="1"/>
  <c r="H35" i="1"/>
  <c r="T35" i="1"/>
  <c r="H13" i="1"/>
  <c r="T13" i="1"/>
  <c r="T2982" i="1"/>
  <c r="T2214" i="1"/>
  <c r="T2150" i="1"/>
  <c r="T2104" i="1"/>
  <c r="T1993" i="1"/>
  <c r="T1774" i="1"/>
  <c r="T1511" i="1"/>
  <c r="T1314" i="1"/>
  <c r="T1028" i="1"/>
  <c r="T192" i="1"/>
  <c r="H2767" i="1"/>
  <c r="T2767" i="1"/>
  <c r="H2723" i="1"/>
  <c r="T2723" i="1"/>
  <c r="H2657" i="1"/>
  <c r="T2657" i="1"/>
  <c r="H2569" i="1"/>
  <c r="T2569" i="1"/>
  <c r="H2525" i="1"/>
  <c r="T2525" i="1"/>
  <c r="H2459" i="1"/>
  <c r="T2459" i="1"/>
  <c r="H2349" i="1"/>
  <c r="T2349" i="1"/>
  <c r="H2283" i="1"/>
  <c r="T2283" i="1"/>
  <c r="H2789" i="1"/>
  <c r="H2964" i="1"/>
  <c r="T2964" i="1"/>
  <c r="H2766" i="1"/>
  <c r="T2766" i="1"/>
  <c r="H2568" i="1"/>
  <c r="T2568" i="1"/>
  <c r="H2546" i="1"/>
  <c r="T2546" i="1"/>
  <c r="H2480" i="1"/>
  <c r="T2480" i="1"/>
  <c r="H2414" i="1"/>
  <c r="T2414" i="1"/>
  <c r="H2304" i="1"/>
  <c r="T2304" i="1"/>
  <c r="H2238" i="1"/>
  <c r="T2238" i="1"/>
  <c r="H2172" i="1"/>
  <c r="T2172" i="1"/>
  <c r="H2106" i="1"/>
  <c r="T2106" i="1"/>
  <c r="H2062" i="1"/>
  <c r="T2062" i="1"/>
  <c r="H2018" i="1"/>
  <c r="T2018" i="1"/>
  <c r="H1930" i="1"/>
  <c r="T1930" i="1"/>
  <c r="H1886" i="1"/>
  <c r="T1886" i="1"/>
  <c r="H1820" i="1"/>
  <c r="T1820" i="1"/>
  <c r="H1754" i="1"/>
  <c r="T1754" i="1"/>
  <c r="H1732" i="1"/>
  <c r="T1732" i="1"/>
  <c r="H1644" i="1"/>
  <c r="T1644" i="1"/>
  <c r="H1578" i="1"/>
  <c r="T1578" i="1"/>
  <c r="H1534" i="1"/>
  <c r="T1534" i="1"/>
  <c r="H1468" i="1"/>
  <c r="T1468" i="1"/>
  <c r="H1424" i="1"/>
  <c r="T1424" i="1"/>
  <c r="H1358" i="1"/>
  <c r="T1358" i="1"/>
  <c r="H1292" i="1"/>
  <c r="T1292" i="1"/>
  <c r="H1226" i="1"/>
  <c r="T1226" i="1"/>
  <c r="H1160" i="1"/>
  <c r="T1160" i="1"/>
  <c r="H1094" i="1"/>
  <c r="T1094" i="1"/>
  <c r="H962" i="1"/>
  <c r="T962" i="1"/>
  <c r="H896" i="1"/>
  <c r="T896" i="1"/>
  <c r="H786" i="1"/>
  <c r="T786" i="1"/>
  <c r="H742" i="1"/>
  <c r="T742" i="1"/>
  <c r="H676" i="1"/>
  <c r="T676" i="1"/>
  <c r="H632" i="1"/>
  <c r="T632" i="1"/>
  <c r="H566" i="1"/>
  <c r="T566" i="1"/>
  <c r="H500" i="1"/>
  <c r="T500" i="1"/>
  <c r="H324" i="1"/>
  <c r="T324" i="1"/>
  <c r="H280" i="1"/>
  <c r="T280" i="1"/>
  <c r="H214" i="1"/>
  <c r="T214" i="1"/>
  <c r="H148" i="1"/>
  <c r="T148" i="1"/>
  <c r="H104" i="1"/>
  <c r="T104" i="1"/>
  <c r="H38" i="1"/>
  <c r="T38" i="1"/>
  <c r="H2875" i="1"/>
  <c r="T2875" i="1"/>
  <c r="H2765" i="1"/>
  <c r="T2765" i="1"/>
  <c r="H2721" i="1"/>
  <c r="T2721" i="1"/>
  <c r="H2655" i="1"/>
  <c r="T2655" i="1"/>
  <c r="H2435" i="1"/>
  <c r="T2435" i="1"/>
  <c r="H2303" i="1"/>
  <c r="T2303" i="1"/>
  <c r="H2237" i="1"/>
  <c r="T2237" i="1"/>
  <c r="H2083" i="1"/>
  <c r="T2083" i="1"/>
  <c r="H2017" i="1"/>
  <c r="T2017" i="1"/>
  <c r="H1973" i="1"/>
  <c r="T1973" i="1"/>
  <c r="H1929" i="1"/>
  <c r="T1929" i="1"/>
  <c r="H1863" i="1"/>
  <c r="T1863" i="1"/>
  <c r="H1753" i="1"/>
  <c r="T1753" i="1"/>
  <c r="H1687" i="1"/>
  <c r="T1687" i="1"/>
  <c r="H1643" i="1"/>
  <c r="T1643" i="1"/>
  <c r="H1577" i="1"/>
  <c r="T1577" i="1"/>
  <c r="H1335" i="1"/>
  <c r="T1335" i="1"/>
  <c r="H1225" i="1"/>
  <c r="T1225" i="1"/>
  <c r="H1093" i="1"/>
  <c r="T1093" i="1"/>
  <c r="H1049" i="1"/>
  <c r="T1049" i="1"/>
  <c r="H983" i="1"/>
  <c r="T983" i="1"/>
  <c r="H917" i="1"/>
  <c r="T917" i="1"/>
  <c r="H873" i="1"/>
  <c r="T873" i="1"/>
  <c r="H741" i="1"/>
  <c r="T741" i="1"/>
  <c r="H675" i="1"/>
  <c r="T675" i="1"/>
  <c r="H631" i="1"/>
  <c r="T631" i="1"/>
  <c r="H543" i="1"/>
  <c r="T543" i="1"/>
  <c r="H455" i="1"/>
  <c r="T455" i="1"/>
  <c r="H323" i="1"/>
  <c r="T323" i="1"/>
  <c r="H257" i="1"/>
  <c r="T257" i="1"/>
  <c r="H213" i="1"/>
  <c r="T213" i="1"/>
  <c r="H169" i="1"/>
  <c r="T169" i="1"/>
  <c r="H103" i="1"/>
  <c r="T103" i="1"/>
  <c r="H59" i="1"/>
  <c r="T59" i="1"/>
  <c r="H15" i="1"/>
  <c r="T15" i="1"/>
  <c r="H1599" i="1"/>
  <c r="T2325" i="1"/>
  <c r="T2216" i="1"/>
  <c r="T1995" i="1"/>
  <c r="T697" i="1"/>
  <c r="H2962" i="1"/>
  <c r="T2962" i="1"/>
  <c r="H2896" i="1"/>
  <c r="T2896" i="1"/>
  <c r="H2852" i="1"/>
  <c r="T2852" i="1"/>
  <c r="H2786" i="1"/>
  <c r="T2786" i="1"/>
  <c r="T2588" i="1"/>
  <c r="H2588" i="1"/>
  <c r="H2434" i="1"/>
  <c r="T2434" i="1"/>
  <c r="H2390" i="1"/>
  <c r="T2390" i="1"/>
  <c r="H2280" i="1"/>
  <c r="T2280" i="1"/>
  <c r="H2082" i="1"/>
  <c r="T2082" i="1"/>
  <c r="H1950" i="1"/>
  <c r="T1950" i="1"/>
  <c r="H1906" i="1"/>
  <c r="T1906" i="1"/>
  <c r="H1840" i="1"/>
  <c r="T1840" i="1"/>
  <c r="H1796" i="1"/>
  <c r="T1796" i="1"/>
  <c r="H1730" i="1"/>
  <c r="T1730" i="1"/>
  <c r="H1664" i="1"/>
  <c r="T1664" i="1"/>
  <c r="H1642" i="1"/>
  <c r="T1642" i="1"/>
  <c r="H1576" i="1"/>
  <c r="T1576" i="1"/>
  <c r="H1554" i="1"/>
  <c r="T1554" i="1"/>
  <c r="H1488" i="1"/>
  <c r="T1488" i="1"/>
  <c r="H1466" i="1"/>
  <c r="T1466" i="1"/>
  <c r="H1400" i="1"/>
  <c r="T1400" i="1"/>
  <c r="H1356" i="1"/>
  <c r="T1356" i="1"/>
  <c r="H1290" i="1"/>
  <c r="T1290" i="1"/>
  <c r="H1224" i="1"/>
  <c r="T1224" i="1"/>
  <c r="H1092" i="1"/>
  <c r="T1092" i="1"/>
  <c r="H1048" i="1"/>
  <c r="T1048" i="1"/>
  <c r="H982" i="1"/>
  <c r="T982" i="1"/>
  <c r="H916" i="1"/>
  <c r="T916" i="1"/>
  <c r="H872" i="1"/>
  <c r="T872" i="1"/>
  <c r="H828" i="1"/>
  <c r="T828" i="1"/>
  <c r="H762" i="1"/>
  <c r="T762" i="1"/>
  <c r="H696" i="1"/>
  <c r="T696" i="1"/>
  <c r="H498" i="1"/>
  <c r="T498" i="1"/>
  <c r="H476" i="1"/>
  <c r="T476" i="1"/>
  <c r="H410" i="1"/>
  <c r="T410" i="1"/>
  <c r="H344" i="1"/>
  <c r="T344" i="1"/>
  <c r="H300" i="1"/>
  <c r="T300" i="1"/>
  <c r="H234" i="1"/>
  <c r="T234" i="1"/>
  <c r="H190" i="1"/>
  <c r="T190" i="1"/>
  <c r="H124" i="1"/>
  <c r="T124" i="1"/>
  <c r="H58" i="1"/>
  <c r="T58" i="1"/>
  <c r="H1598" i="1"/>
  <c r="T2324" i="1"/>
  <c r="T1775" i="1"/>
  <c r="T434" i="1"/>
  <c r="H2939" i="1"/>
  <c r="T2939" i="1"/>
  <c r="H2895" i="1"/>
  <c r="T2895" i="1"/>
  <c r="T2829" i="1"/>
  <c r="H2829" i="1"/>
  <c r="H2763" i="1"/>
  <c r="T2763" i="1"/>
  <c r="H2719" i="1"/>
  <c r="T2719" i="1"/>
  <c r="T2587" i="1"/>
  <c r="H2587" i="1"/>
  <c r="H2543" i="1"/>
  <c r="T2543" i="1"/>
  <c r="H2477" i="1"/>
  <c r="T2477" i="1"/>
  <c r="T2411" i="1"/>
  <c r="H2411" i="1"/>
  <c r="H2191" i="1"/>
  <c r="T2191" i="1"/>
  <c r="H2081" i="1"/>
  <c r="T2081" i="1"/>
  <c r="H2015" i="1"/>
  <c r="T2015" i="1"/>
  <c r="H1971" i="1"/>
  <c r="T1971" i="1"/>
  <c r="H1905" i="1"/>
  <c r="T1905" i="1"/>
  <c r="H1839" i="1"/>
  <c r="T1839" i="1"/>
  <c r="H1773" i="1"/>
  <c r="T1773" i="1"/>
  <c r="H1619" i="1"/>
  <c r="T1619" i="1"/>
  <c r="H2960" i="1"/>
  <c r="T2960" i="1"/>
  <c r="H2916" i="1"/>
  <c r="T2916" i="1"/>
  <c r="H2872" i="1"/>
  <c r="T2872" i="1"/>
  <c r="H2828" i="1"/>
  <c r="T2828" i="1"/>
  <c r="H2784" i="1"/>
  <c r="T2784" i="1"/>
  <c r="H2762" i="1"/>
  <c r="T2762" i="1"/>
  <c r="H2652" i="1"/>
  <c r="T2652" i="1"/>
  <c r="H2608" i="1"/>
  <c r="T2608" i="1"/>
  <c r="H2564" i="1"/>
  <c r="T2564" i="1"/>
  <c r="H2520" i="1"/>
  <c r="T2520" i="1"/>
  <c r="H2476" i="1"/>
  <c r="T2476" i="1"/>
  <c r="H2454" i="1"/>
  <c r="T2454" i="1"/>
  <c r="H2410" i="1"/>
  <c r="T2410" i="1"/>
  <c r="H2212" i="1"/>
  <c r="T2212" i="1"/>
  <c r="H2080" i="1"/>
  <c r="T2080" i="1"/>
  <c r="H2036" i="1"/>
  <c r="T2036" i="1"/>
  <c r="H1926" i="1"/>
  <c r="T1926" i="1"/>
  <c r="H1882" i="1"/>
  <c r="T1882" i="1"/>
  <c r="H1794" i="1"/>
  <c r="T1794" i="1"/>
  <c r="H1772" i="1"/>
  <c r="T1772" i="1"/>
  <c r="H1728" i="1"/>
  <c r="T1728" i="1"/>
  <c r="H1662" i="1"/>
  <c r="T1662" i="1"/>
  <c r="H1596" i="1"/>
  <c r="T1596" i="1"/>
  <c r="H1552" i="1"/>
  <c r="T1552" i="1"/>
  <c r="H1486" i="1"/>
  <c r="T1486" i="1"/>
  <c r="H1464" i="1"/>
  <c r="T1464" i="1"/>
  <c r="H1442" i="1"/>
  <c r="T1442" i="1"/>
  <c r="H1420" i="1"/>
  <c r="T1420" i="1"/>
  <c r="H1376" i="1"/>
  <c r="T1376" i="1"/>
  <c r="H1354" i="1"/>
  <c r="T1354" i="1"/>
  <c r="H1332" i="1"/>
  <c r="T1332" i="1"/>
  <c r="H1288" i="1"/>
  <c r="T1288" i="1"/>
  <c r="H1266" i="1"/>
  <c r="T1266" i="1"/>
  <c r="H1244" i="1"/>
  <c r="T1244" i="1"/>
  <c r="H1222" i="1"/>
  <c r="T1222" i="1"/>
  <c r="H1200" i="1"/>
  <c r="T1200" i="1"/>
  <c r="H1178" i="1"/>
  <c r="T1178" i="1"/>
  <c r="H1156" i="1"/>
  <c r="T1156" i="1"/>
  <c r="H1134" i="1"/>
  <c r="T1134" i="1"/>
  <c r="H1090" i="1"/>
  <c r="T1090" i="1"/>
  <c r="H1068" i="1"/>
  <c r="T1068" i="1"/>
  <c r="H1046" i="1"/>
  <c r="T1046" i="1"/>
  <c r="H1024" i="1"/>
  <c r="T1024" i="1"/>
  <c r="H1002" i="1"/>
  <c r="T1002" i="1"/>
  <c r="H958" i="1"/>
  <c r="T958" i="1"/>
  <c r="H914" i="1"/>
  <c r="T914" i="1"/>
  <c r="H892" i="1"/>
  <c r="T892" i="1"/>
  <c r="H870" i="1"/>
  <c r="T870" i="1"/>
  <c r="H848" i="1"/>
  <c r="T848" i="1"/>
  <c r="H826" i="1"/>
  <c r="T826" i="1"/>
  <c r="H804" i="1"/>
  <c r="T804" i="1"/>
  <c r="H760" i="1"/>
  <c r="T760" i="1"/>
  <c r="H738" i="1"/>
  <c r="T738" i="1"/>
  <c r="H716" i="1"/>
  <c r="T716" i="1"/>
  <c r="H672" i="1"/>
  <c r="T672" i="1"/>
  <c r="H650" i="1"/>
  <c r="T650" i="1"/>
  <c r="H628" i="1"/>
  <c r="T628" i="1"/>
  <c r="H584" i="1"/>
  <c r="T584" i="1"/>
  <c r="H562" i="1"/>
  <c r="T562" i="1"/>
  <c r="H540" i="1"/>
  <c r="T540" i="1"/>
  <c r="H518" i="1"/>
  <c r="T518" i="1"/>
  <c r="H496" i="1"/>
  <c r="T496" i="1"/>
  <c r="H452" i="1"/>
  <c r="T452" i="1"/>
  <c r="H430" i="1"/>
  <c r="T430" i="1"/>
  <c r="H408" i="1"/>
  <c r="T408" i="1"/>
  <c r="H386" i="1"/>
  <c r="T386" i="1"/>
  <c r="H364" i="1"/>
  <c r="T364" i="1"/>
  <c r="H342" i="1"/>
  <c r="T342" i="1"/>
  <c r="H298" i="1"/>
  <c r="T298" i="1"/>
  <c r="H276" i="1"/>
  <c r="T276" i="1"/>
  <c r="H254" i="1"/>
  <c r="T254" i="1"/>
  <c r="H232" i="1"/>
  <c r="T232" i="1"/>
  <c r="H210" i="1"/>
  <c r="T210" i="1"/>
  <c r="H188" i="1"/>
  <c r="T188" i="1"/>
  <c r="H166" i="1"/>
  <c r="T166" i="1"/>
  <c r="H122" i="1"/>
  <c r="T122" i="1"/>
  <c r="H100" i="1"/>
  <c r="T100" i="1"/>
  <c r="H78" i="1"/>
  <c r="T78" i="1"/>
  <c r="H56" i="1"/>
  <c r="T56" i="1"/>
  <c r="H34" i="1"/>
  <c r="T34" i="1"/>
  <c r="H12" i="1"/>
  <c r="T12" i="1"/>
  <c r="H2368" i="1"/>
  <c r="T2981" i="1"/>
  <c r="T2370" i="1"/>
  <c r="T2213" i="1"/>
  <c r="T2149" i="1"/>
  <c r="T2103" i="1"/>
  <c r="T1992" i="1"/>
  <c r="T1510" i="1"/>
  <c r="T1313" i="1"/>
  <c r="T1027" i="1"/>
  <c r="H2965" i="1"/>
  <c r="T2965" i="1"/>
  <c r="H2943" i="1"/>
  <c r="T2943" i="1"/>
  <c r="H2899" i="1"/>
  <c r="T2899" i="1"/>
  <c r="H2591" i="1"/>
  <c r="T2591" i="1"/>
  <c r="H2547" i="1"/>
  <c r="T2547" i="1"/>
  <c r="H2481" i="1"/>
  <c r="T2481" i="1"/>
  <c r="H2437" i="1"/>
  <c r="T2437" i="1"/>
  <c r="H2371" i="1"/>
  <c r="T2371" i="1"/>
  <c r="H2327" i="1"/>
  <c r="T2327" i="1"/>
  <c r="H2261" i="1"/>
  <c r="T2261" i="1"/>
  <c r="T2942" i="1"/>
  <c r="H2942" i="1"/>
  <c r="H2898" i="1"/>
  <c r="T2898" i="1"/>
  <c r="H2854" i="1"/>
  <c r="T2854" i="1"/>
  <c r="T2788" i="1"/>
  <c r="H2788" i="1"/>
  <c r="H2722" i="1"/>
  <c r="T2722" i="1"/>
  <c r="H2656" i="1"/>
  <c r="T2656" i="1"/>
  <c r="H2590" i="1"/>
  <c r="T2590" i="1"/>
  <c r="H2524" i="1"/>
  <c r="T2524" i="1"/>
  <c r="H2326" i="1"/>
  <c r="T2326" i="1"/>
  <c r="H2260" i="1"/>
  <c r="T2260" i="1"/>
  <c r="H2084" i="1"/>
  <c r="T2084" i="1"/>
  <c r="T1952" i="1"/>
  <c r="H1952" i="1"/>
  <c r="H1864" i="1"/>
  <c r="T1864" i="1"/>
  <c r="H1842" i="1"/>
  <c r="T1842" i="1"/>
  <c r="H1776" i="1"/>
  <c r="T1776" i="1"/>
  <c r="H1666" i="1"/>
  <c r="T1666" i="1"/>
  <c r="H1622" i="1"/>
  <c r="T1622" i="1"/>
  <c r="H1556" i="1"/>
  <c r="T1556" i="1"/>
  <c r="H1490" i="1"/>
  <c r="T1490" i="1"/>
  <c r="H1446" i="1"/>
  <c r="T1446" i="1"/>
  <c r="H1402" i="1"/>
  <c r="T1402" i="1"/>
  <c r="H1336" i="1"/>
  <c r="T1336" i="1"/>
  <c r="H1204" i="1"/>
  <c r="T1204" i="1"/>
  <c r="T1182" i="1"/>
  <c r="H1182" i="1"/>
  <c r="H1116" i="1"/>
  <c r="T1116" i="1"/>
  <c r="H1050" i="1"/>
  <c r="T1050" i="1"/>
  <c r="H984" i="1"/>
  <c r="T984" i="1"/>
  <c r="H918" i="1"/>
  <c r="T918" i="1"/>
  <c r="H764" i="1"/>
  <c r="T764" i="1"/>
  <c r="H610" i="1"/>
  <c r="T610" i="1"/>
  <c r="H544" i="1"/>
  <c r="T544" i="1"/>
  <c r="H522" i="1"/>
  <c r="T522" i="1"/>
  <c r="H478" i="1"/>
  <c r="T478" i="1"/>
  <c r="H412" i="1"/>
  <c r="T412" i="1"/>
  <c r="H346" i="1"/>
  <c r="T346" i="1"/>
  <c r="H258" i="1"/>
  <c r="T258" i="1"/>
  <c r="H126" i="1"/>
  <c r="T126" i="1"/>
  <c r="H82" i="1"/>
  <c r="T82" i="1"/>
  <c r="H16" i="1"/>
  <c r="T16" i="1"/>
  <c r="T1996" i="1"/>
  <c r="T698" i="1"/>
  <c r="H2985" i="1"/>
  <c r="T2985" i="1"/>
  <c r="H2963" i="1"/>
  <c r="T2963" i="1"/>
  <c r="H2897" i="1"/>
  <c r="T2897" i="1"/>
  <c r="H2853" i="1"/>
  <c r="T2853" i="1"/>
  <c r="H2787" i="1"/>
  <c r="T2787" i="1"/>
  <c r="H2589" i="1"/>
  <c r="T2589" i="1"/>
  <c r="H2523" i="1"/>
  <c r="T2523" i="1"/>
  <c r="H2391" i="1"/>
  <c r="T2391" i="1"/>
  <c r="H2347" i="1"/>
  <c r="T2347" i="1"/>
  <c r="H2259" i="1"/>
  <c r="T2259" i="1"/>
  <c r="H2171" i="1"/>
  <c r="T2171" i="1"/>
  <c r="H2105" i="1"/>
  <c r="T2105" i="1"/>
  <c r="H2039" i="1"/>
  <c r="T2039" i="1"/>
  <c r="H1907" i="1"/>
  <c r="T1907" i="1"/>
  <c r="H1841" i="1"/>
  <c r="T1841" i="1"/>
  <c r="H1731" i="1"/>
  <c r="T1731" i="1"/>
  <c r="H1665" i="1"/>
  <c r="T1665" i="1"/>
  <c r="H1621" i="1"/>
  <c r="T1621" i="1"/>
  <c r="H1555" i="1"/>
  <c r="T1555" i="1"/>
  <c r="H1489" i="1"/>
  <c r="T1489" i="1"/>
  <c r="H1445" i="1"/>
  <c r="T1445" i="1"/>
  <c r="H1379" i="1"/>
  <c r="T1379" i="1"/>
  <c r="H1357" i="1"/>
  <c r="T1357" i="1"/>
  <c r="H1291" i="1"/>
  <c r="T1291" i="1"/>
  <c r="H1247" i="1"/>
  <c r="T1247" i="1"/>
  <c r="H1181" i="1"/>
  <c r="T1181" i="1"/>
  <c r="H1137" i="1"/>
  <c r="T1137" i="1"/>
  <c r="H1071" i="1"/>
  <c r="T1071" i="1"/>
  <c r="H1005" i="1"/>
  <c r="T1005" i="1"/>
  <c r="H939" i="1"/>
  <c r="T939" i="1"/>
  <c r="H829" i="1"/>
  <c r="T829" i="1"/>
  <c r="H763" i="1"/>
  <c r="T763" i="1"/>
  <c r="H565" i="1"/>
  <c r="T565" i="1"/>
  <c r="H477" i="1"/>
  <c r="T477" i="1"/>
  <c r="H433" i="1"/>
  <c r="T433" i="1"/>
  <c r="H389" i="1"/>
  <c r="T389" i="1"/>
  <c r="H345" i="1"/>
  <c r="T345" i="1"/>
  <c r="H301" i="1"/>
  <c r="T301" i="1"/>
  <c r="H235" i="1"/>
  <c r="T235" i="1"/>
  <c r="H191" i="1"/>
  <c r="T191" i="1"/>
  <c r="H125" i="1"/>
  <c r="T125" i="1"/>
  <c r="H81" i="1"/>
  <c r="T81" i="1"/>
  <c r="H37" i="1"/>
  <c r="T37" i="1"/>
  <c r="T1951" i="1"/>
  <c r="H2940" i="1"/>
  <c r="T2940" i="1"/>
  <c r="H2874" i="1"/>
  <c r="T2874" i="1"/>
  <c r="H2742" i="1"/>
  <c r="T2742" i="1"/>
  <c r="H2720" i="1"/>
  <c r="T2720" i="1"/>
  <c r="H2654" i="1"/>
  <c r="T2654" i="1"/>
  <c r="H2522" i="1"/>
  <c r="T2522" i="1"/>
  <c r="H2456" i="1"/>
  <c r="T2456" i="1"/>
  <c r="H2412" i="1"/>
  <c r="T2412" i="1"/>
  <c r="H2346" i="1"/>
  <c r="T2346" i="1"/>
  <c r="H2236" i="1"/>
  <c r="T2236" i="1"/>
  <c r="H2170" i="1"/>
  <c r="T2170" i="1"/>
  <c r="H2126" i="1"/>
  <c r="T2126" i="1"/>
  <c r="H2060" i="1"/>
  <c r="T2060" i="1"/>
  <c r="H2016" i="1"/>
  <c r="T2016" i="1"/>
  <c r="H1972" i="1"/>
  <c r="T1972" i="1"/>
  <c r="H1884" i="1"/>
  <c r="T1884" i="1"/>
  <c r="H1818" i="1"/>
  <c r="T1818" i="1"/>
  <c r="H1708" i="1"/>
  <c r="T1708" i="1"/>
  <c r="H1620" i="1"/>
  <c r="T1620" i="1"/>
  <c r="H1532" i="1"/>
  <c r="T1532" i="1"/>
  <c r="H1444" i="1"/>
  <c r="T1444" i="1"/>
  <c r="H1378" i="1"/>
  <c r="T1378" i="1"/>
  <c r="H1246" i="1"/>
  <c r="T1246" i="1"/>
  <c r="H1202" i="1"/>
  <c r="T1202" i="1"/>
  <c r="H1136" i="1"/>
  <c r="T1136" i="1"/>
  <c r="H1070" i="1"/>
  <c r="T1070" i="1"/>
  <c r="T1004" i="1"/>
  <c r="H1004" i="1"/>
  <c r="H938" i="1"/>
  <c r="T938" i="1"/>
  <c r="H894" i="1"/>
  <c r="T894" i="1"/>
  <c r="H740" i="1"/>
  <c r="T740" i="1"/>
  <c r="H674" i="1"/>
  <c r="T674" i="1"/>
  <c r="H564" i="1"/>
  <c r="T564" i="1"/>
  <c r="H454" i="1"/>
  <c r="T454" i="1"/>
  <c r="T388" i="1"/>
  <c r="H388" i="1"/>
  <c r="H322" i="1"/>
  <c r="T322" i="1"/>
  <c r="H256" i="1"/>
  <c r="T256" i="1"/>
  <c r="H212" i="1"/>
  <c r="T212" i="1"/>
  <c r="H146" i="1"/>
  <c r="T146" i="1"/>
  <c r="H80" i="1"/>
  <c r="T80" i="1"/>
  <c r="H36" i="1"/>
  <c r="T36" i="1"/>
  <c r="T2215" i="1"/>
  <c r="T1994" i="1"/>
  <c r="T1512" i="1"/>
  <c r="H2961" i="1"/>
  <c r="T2961" i="1"/>
  <c r="H2741" i="1"/>
  <c r="T2741" i="1"/>
  <c r="T2675" i="1"/>
  <c r="H2675" i="1"/>
  <c r="H2565" i="1"/>
  <c r="T2565" i="1"/>
  <c r="H2455" i="1"/>
  <c r="T2455" i="1"/>
  <c r="H2389" i="1"/>
  <c r="T2389" i="1"/>
  <c r="H2367" i="1"/>
  <c r="T2367" i="1"/>
  <c r="H2235" i="1"/>
  <c r="T2235" i="1"/>
  <c r="H2169" i="1"/>
  <c r="T2169" i="1"/>
  <c r="H2125" i="1"/>
  <c r="T2125" i="1"/>
  <c r="H2059" i="1"/>
  <c r="T2059" i="1"/>
  <c r="H1927" i="1"/>
  <c r="T1927" i="1"/>
  <c r="H1883" i="1"/>
  <c r="T1883" i="1"/>
  <c r="H1817" i="1"/>
  <c r="T1817" i="1"/>
  <c r="H1641" i="1"/>
  <c r="T1641" i="1"/>
  <c r="H2894" i="1"/>
  <c r="T2894" i="1"/>
  <c r="H2850" i="1"/>
  <c r="T2850" i="1"/>
  <c r="H2806" i="1"/>
  <c r="T2806" i="1"/>
  <c r="H2740" i="1"/>
  <c r="T2740" i="1"/>
  <c r="H2718" i="1"/>
  <c r="T2718" i="1"/>
  <c r="H2674" i="1"/>
  <c r="T2674" i="1"/>
  <c r="H2586" i="1"/>
  <c r="T2586" i="1"/>
  <c r="H2542" i="1"/>
  <c r="T2542" i="1"/>
  <c r="H2498" i="1"/>
  <c r="T2498" i="1"/>
  <c r="H2432" i="1"/>
  <c r="T2432" i="1"/>
  <c r="H2388" i="1"/>
  <c r="T2388" i="1"/>
  <c r="H2344" i="1"/>
  <c r="T2344" i="1"/>
  <c r="H2322" i="1"/>
  <c r="T2322" i="1"/>
  <c r="H2278" i="1"/>
  <c r="T2278" i="1"/>
  <c r="H2234" i="1"/>
  <c r="T2234" i="1"/>
  <c r="H2168" i="1"/>
  <c r="T2168" i="1"/>
  <c r="H2124" i="1"/>
  <c r="T2124" i="1"/>
  <c r="H2058" i="1"/>
  <c r="T2058" i="1"/>
  <c r="H2014" i="1"/>
  <c r="T2014" i="1"/>
  <c r="H1970" i="1"/>
  <c r="T1970" i="1"/>
  <c r="H1948" i="1"/>
  <c r="T1948" i="1"/>
  <c r="H1904" i="1"/>
  <c r="T1904" i="1"/>
  <c r="H1860" i="1"/>
  <c r="T1860" i="1"/>
  <c r="H1816" i="1"/>
  <c r="T1816" i="1"/>
  <c r="H1750" i="1"/>
  <c r="T1750" i="1"/>
  <c r="H1706" i="1"/>
  <c r="T1706" i="1"/>
  <c r="H1640" i="1"/>
  <c r="T1640" i="1"/>
  <c r="H1618" i="1"/>
  <c r="T1618" i="1"/>
  <c r="H1574" i="1"/>
  <c r="T1574" i="1"/>
  <c r="H1530" i="1"/>
  <c r="T1530" i="1"/>
  <c r="H2959" i="1"/>
  <c r="T2959" i="1"/>
  <c r="H2915" i="1"/>
  <c r="T2915" i="1"/>
  <c r="H2893" i="1"/>
  <c r="T2893" i="1"/>
  <c r="H2871" i="1"/>
  <c r="T2871" i="1"/>
  <c r="H2849" i="1"/>
  <c r="T2849" i="1"/>
  <c r="T2827" i="1"/>
  <c r="H2827" i="1"/>
  <c r="H2805" i="1"/>
  <c r="T2805" i="1"/>
  <c r="H2783" i="1"/>
  <c r="T2783" i="1"/>
  <c r="H2761" i="1"/>
  <c r="T2761" i="1"/>
  <c r="H2717" i="1"/>
  <c r="T2717" i="1"/>
  <c r="H2695" i="1"/>
  <c r="T2695" i="1"/>
  <c r="H2651" i="1"/>
  <c r="T2651" i="1"/>
  <c r="H2607" i="1"/>
  <c r="T2607" i="1"/>
  <c r="H2585" i="1"/>
  <c r="T2585" i="1"/>
  <c r="H2563" i="1"/>
  <c r="T2563" i="1"/>
  <c r="H2519" i="1"/>
  <c r="T2519" i="1"/>
  <c r="H2497" i="1"/>
  <c r="T2497" i="1"/>
  <c r="H2475" i="1"/>
  <c r="T2475" i="1"/>
  <c r="H2453" i="1"/>
  <c r="T2453" i="1"/>
  <c r="H2409" i="1"/>
  <c r="T2409" i="1"/>
  <c r="H2387" i="1"/>
  <c r="T2387" i="1"/>
  <c r="H2343" i="1"/>
  <c r="T2343" i="1"/>
  <c r="H2321" i="1"/>
  <c r="T2321" i="1"/>
  <c r="H2299" i="1"/>
  <c r="T2299" i="1"/>
  <c r="H2277" i="1"/>
  <c r="T2277" i="1"/>
  <c r="H2255" i="1"/>
  <c r="T2255" i="1"/>
  <c r="H2233" i="1"/>
  <c r="T2233" i="1"/>
  <c r="H2211" i="1"/>
  <c r="T2211" i="1"/>
  <c r="H2123" i="1"/>
  <c r="T2123" i="1"/>
  <c r="H2101" i="1"/>
  <c r="T2101" i="1"/>
  <c r="H2079" i="1"/>
  <c r="T2079" i="1"/>
  <c r="H2057" i="1"/>
  <c r="T2057" i="1"/>
  <c r="H2035" i="1"/>
  <c r="T2035" i="1"/>
  <c r="H2013" i="1"/>
  <c r="T2013" i="1"/>
  <c r="H1969" i="1"/>
  <c r="T1969" i="1"/>
  <c r="H1947" i="1"/>
  <c r="T1947" i="1"/>
  <c r="H1925" i="1"/>
  <c r="T1925" i="1"/>
  <c r="H1903" i="1"/>
  <c r="T1903" i="1"/>
  <c r="H1881" i="1"/>
  <c r="T1881" i="1"/>
  <c r="H1815" i="1"/>
  <c r="T1815" i="1"/>
  <c r="T2833" i="1"/>
  <c r="T2369" i="1"/>
  <c r="T2148" i="1"/>
  <c r="T2102" i="1"/>
  <c r="T1991" i="1"/>
  <c r="T1509" i="1"/>
  <c r="T1312" i="1"/>
  <c r="T368" i="1"/>
  <c r="H2991" i="1"/>
  <c r="T2991" i="1"/>
  <c r="H2925" i="1"/>
  <c r="T2925" i="1"/>
  <c r="H2881" i="1"/>
  <c r="T2881" i="1"/>
  <c r="H2793" i="1"/>
  <c r="T2793" i="1"/>
  <c r="H2683" i="1"/>
  <c r="T2683" i="1"/>
  <c r="H2617" i="1"/>
  <c r="T2617" i="1"/>
  <c r="H2573" i="1"/>
  <c r="T2573" i="1"/>
  <c r="H2529" i="1"/>
  <c r="T2529" i="1"/>
  <c r="H2463" i="1"/>
  <c r="T2463" i="1"/>
  <c r="H2221" i="1"/>
  <c r="T2221" i="1"/>
  <c r="H2133" i="1"/>
  <c r="T2133" i="1"/>
  <c r="H2067" i="1"/>
  <c r="T2067" i="1"/>
  <c r="H2023" i="1"/>
  <c r="T2023" i="1"/>
  <c r="H1957" i="1"/>
  <c r="T1957" i="1"/>
  <c r="H1913" i="1"/>
  <c r="T1913" i="1"/>
  <c r="H1869" i="1"/>
  <c r="T1869" i="1"/>
  <c r="H1803" i="1"/>
  <c r="T1803" i="1"/>
  <c r="H1759" i="1"/>
  <c r="T1759" i="1"/>
  <c r="H1715" i="1"/>
  <c r="T1715" i="1"/>
  <c r="H1671" i="1"/>
  <c r="T1671" i="1"/>
  <c r="H1627" i="1"/>
  <c r="T1627" i="1"/>
  <c r="H1561" i="1"/>
  <c r="T1561" i="1"/>
  <c r="H1517" i="1"/>
  <c r="T1517" i="1"/>
  <c r="H1363" i="1"/>
  <c r="T1363" i="1"/>
  <c r="H1319" i="1"/>
  <c r="T1319" i="1"/>
  <c r="H1253" i="1"/>
  <c r="T1253" i="1"/>
  <c r="H1209" i="1"/>
  <c r="T1209" i="1"/>
  <c r="H1099" i="1"/>
  <c r="T1099" i="1"/>
  <c r="H1055" i="1"/>
  <c r="T1055" i="1"/>
  <c r="H1011" i="1"/>
  <c r="T1011" i="1"/>
  <c r="H967" i="1"/>
  <c r="T967" i="1"/>
  <c r="H923" i="1"/>
  <c r="T923" i="1"/>
  <c r="H879" i="1"/>
  <c r="T879" i="1"/>
  <c r="H835" i="1"/>
  <c r="T835" i="1"/>
  <c r="H769" i="1"/>
  <c r="T769" i="1"/>
  <c r="H725" i="1"/>
  <c r="T725" i="1"/>
  <c r="H593" i="1"/>
  <c r="T593" i="1"/>
  <c r="H549" i="1"/>
  <c r="T549" i="1"/>
  <c r="H505" i="1"/>
  <c r="T505" i="1"/>
  <c r="H461" i="1"/>
  <c r="T461" i="1"/>
  <c r="H417" i="1"/>
  <c r="T417" i="1"/>
  <c r="H373" i="1"/>
  <c r="T373" i="1"/>
  <c r="H263" i="1"/>
  <c r="T263" i="1"/>
  <c r="H219" i="1"/>
  <c r="T219" i="1"/>
  <c r="H175" i="1"/>
  <c r="T175" i="1"/>
  <c r="H109" i="1"/>
  <c r="T109" i="1"/>
  <c r="H43" i="1"/>
  <c r="T43" i="1"/>
  <c r="T1649" i="1"/>
  <c r="H2968" i="1"/>
  <c r="T2968" i="1"/>
  <c r="H2858" i="1"/>
  <c r="T2858" i="1"/>
  <c r="H2814" i="1"/>
  <c r="T2814" i="1"/>
  <c r="H2704" i="1"/>
  <c r="T2704" i="1"/>
  <c r="H2616" i="1"/>
  <c r="T2616" i="1"/>
  <c r="H2550" i="1"/>
  <c r="T2550" i="1"/>
  <c r="H2506" i="1"/>
  <c r="T2506" i="1"/>
  <c r="H2462" i="1"/>
  <c r="T2462" i="1"/>
  <c r="H2418" i="1"/>
  <c r="T2418" i="1"/>
  <c r="H2374" i="1"/>
  <c r="T2374" i="1"/>
  <c r="H2286" i="1"/>
  <c r="T2286" i="1"/>
  <c r="H2220" i="1"/>
  <c r="T2220" i="1"/>
  <c r="H2066" i="1"/>
  <c r="T2066" i="1"/>
  <c r="H2022" i="1"/>
  <c r="T2022" i="1"/>
  <c r="H1956" i="1"/>
  <c r="T1956" i="1"/>
  <c r="H1912" i="1"/>
  <c r="T1912" i="1"/>
  <c r="H1868" i="1"/>
  <c r="T1868" i="1"/>
  <c r="H1824" i="1"/>
  <c r="T1824" i="1"/>
  <c r="H1758" i="1"/>
  <c r="T1758" i="1"/>
  <c r="H1582" i="1"/>
  <c r="T1582" i="1"/>
  <c r="H1538" i="1"/>
  <c r="T1538" i="1"/>
  <c r="H1362" i="1"/>
  <c r="T1362" i="1"/>
  <c r="H1318" i="1"/>
  <c r="T1318" i="1"/>
  <c r="H1252" i="1"/>
  <c r="T1252" i="1"/>
  <c r="H1208" i="1"/>
  <c r="T1208" i="1"/>
  <c r="H1098" i="1"/>
  <c r="T1098" i="1"/>
  <c r="H1054" i="1"/>
  <c r="T1054" i="1"/>
  <c r="H922" i="1"/>
  <c r="T922" i="1"/>
  <c r="H878" i="1"/>
  <c r="T878" i="1"/>
  <c r="H834" i="1"/>
  <c r="T834" i="1"/>
  <c r="H768" i="1"/>
  <c r="T768" i="1"/>
  <c r="H724" i="1"/>
  <c r="T724" i="1"/>
  <c r="H614" i="1"/>
  <c r="T614" i="1"/>
  <c r="H548" i="1"/>
  <c r="T548" i="1"/>
  <c r="H504" i="1"/>
  <c r="T504" i="1"/>
  <c r="H460" i="1"/>
  <c r="T460" i="1"/>
  <c r="H416" i="1"/>
  <c r="T416" i="1"/>
  <c r="H372" i="1"/>
  <c r="T372" i="1"/>
  <c r="H328" i="1"/>
  <c r="T328" i="1"/>
  <c r="H262" i="1"/>
  <c r="T262" i="1"/>
  <c r="H218" i="1"/>
  <c r="T218" i="1"/>
  <c r="H174" i="1"/>
  <c r="T174" i="1"/>
  <c r="H42" i="1"/>
  <c r="T42" i="1"/>
  <c r="H2989" i="1"/>
  <c r="T2989" i="1"/>
  <c r="H2945" i="1"/>
  <c r="T2945" i="1"/>
  <c r="H2857" i="1"/>
  <c r="T2857" i="1"/>
  <c r="H2791" i="1"/>
  <c r="T2791" i="1"/>
  <c r="H2747" i="1"/>
  <c r="T2747" i="1"/>
  <c r="H2681" i="1"/>
  <c r="T2681" i="1"/>
  <c r="H2615" i="1"/>
  <c r="T2615" i="1"/>
  <c r="H2571" i="1"/>
  <c r="T2571" i="1"/>
  <c r="H2549" i="1"/>
  <c r="T2549" i="1"/>
  <c r="H2527" i="1"/>
  <c r="T2527" i="1"/>
  <c r="H2505" i="1"/>
  <c r="T2505" i="1"/>
  <c r="H2483" i="1"/>
  <c r="T2483" i="1"/>
  <c r="H2461" i="1"/>
  <c r="T2461" i="1"/>
  <c r="H2439" i="1"/>
  <c r="T2439" i="1"/>
  <c r="H2417" i="1"/>
  <c r="T2417" i="1"/>
  <c r="H2373" i="1"/>
  <c r="T2373" i="1"/>
  <c r="H2351" i="1"/>
  <c r="T2351" i="1"/>
  <c r="H2307" i="1"/>
  <c r="T2307" i="1"/>
  <c r="H2285" i="1"/>
  <c r="T2285" i="1"/>
  <c r="H2241" i="1"/>
  <c r="T2241" i="1"/>
  <c r="H2219" i="1"/>
  <c r="T2219" i="1"/>
  <c r="H2197" i="1"/>
  <c r="T2197" i="1"/>
  <c r="H2131" i="1"/>
  <c r="T2131" i="1"/>
  <c r="H2109" i="1"/>
  <c r="T2109" i="1"/>
  <c r="H2087" i="1"/>
  <c r="T2087" i="1"/>
  <c r="H2065" i="1"/>
  <c r="T2065" i="1"/>
  <c r="H2021" i="1"/>
  <c r="T2021" i="1"/>
  <c r="H1999" i="1"/>
  <c r="T1999" i="1"/>
  <c r="H1977" i="1"/>
  <c r="T1977" i="1"/>
  <c r="H1955" i="1"/>
  <c r="T1955" i="1"/>
  <c r="H1911" i="1"/>
  <c r="T1911" i="1"/>
  <c r="H1867" i="1"/>
  <c r="T1867" i="1"/>
  <c r="H1845" i="1"/>
  <c r="T1845" i="1"/>
  <c r="H1823" i="1"/>
  <c r="T1823" i="1"/>
  <c r="H1801" i="1"/>
  <c r="T1801" i="1"/>
  <c r="T1779" i="1"/>
  <c r="H1779" i="1"/>
  <c r="H1757" i="1"/>
  <c r="T1757" i="1"/>
  <c r="H1735" i="1"/>
  <c r="T1735" i="1"/>
  <c r="H1713" i="1"/>
  <c r="T1713" i="1"/>
  <c r="H1669" i="1"/>
  <c r="T1669" i="1"/>
  <c r="H1647" i="1"/>
  <c r="T1647" i="1"/>
  <c r="H1625" i="1"/>
  <c r="T1625" i="1"/>
  <c r="T1603" i="1"/>
  <c r="H1603" i="1"/>
  <c r="H1581" i="1"/>
  <c r="T1581" i="1"/>
  <c r="H1559" i="1"/>
  <c r="T1559" i="1"/>
  <c r="H1537" i="1"/>
  <c r="T1537" i="1"/>
  <c r="H1515" i="1"/>
  <c r="T1515" i="1"/>
  <c r="H1493" i="1"/>
  <c r="T1493" i="1"/>
  <c r="H1449" i="1"/>
  <c r="T1449" i="1"/>
  <c r="H1405" i="1"/>
  <c r="T1405" i="1"/>
  <c r="H1383" i="1"/>
  <c r="T1383" i="1"/>
  <c r="H1361" i="1"/>
  <c r="T1361" i="1"/>
  <c r="H1339" i="1"/>
  <c r="T1339" i="1"/>
  <c r="H1317" i="1"/>
  <c r="T1317" i="1"/>
  <c r="H1295" i="1"/>
  <c r="T1295" i="1"/>
  <c r="H1273" i="1"/>
  <c r="T1273" i="1"/>
  <c r="H1251" i="1"/>
  <c r="T1251" i="1"/>
  <c r="H1207" i="1"/>
  <c r="T1207" i="1"/>
  <c r="H1185" i="1"/>
  <c r="T1185" i="1"/>
  <c r="H1163" i="1"/>
  <c r="T1163" i="1"/>
  <c r="H1119" i="1"/>
  <c r="T1119" i="1"/>
  <c r="H1097" i="1"/>
  <c r="T1097" i="1"/>
  <c r="H1053" i="1"/>
  <c r="T1053" i="1"/>
  <c r="H1031" i="1"/>
  <c r="T1031" i="1"/>
  <c r="H1009" i="1"/>
  <c r="T1009" i="1"/>
  <c r="H965" i="1"/>
  <c r="T965" i="1"/>
  <c r="T943" i="1"/>
  <c r="H943" i="1"/>
  <c r="H921" i="1"/>
  <c r="T921" i="1"/>
  <c r="H877" i="1"/>
  <c r="T877" i="1"/>
  <c r="H855" i="1"/>
  <c r="T855" i="1"/>
  <c r="H833" i="1"/>
  <c r="T833" i="1"/>
  <c r="H811" i="1"/>
  <c r="T811" i="1"/>
  <c r="H789" i="1"/>
  <c r="T789" i="1"/>
  <c r="H767" i="1"/>
  <c r="T767" i="1"/>
  <c r="H723" i="1"/>
  <c r="T723" i="1"/>
  <c r="H701" i="1"/>
  <c r="T701" i="1"/>
  <c r="H679" i="1"/>
  <c r="T679" i="1"/>
  <c r="H635" i="1"/>
  <c r="T635" i="1"/>
  <c r="H613" i="1"/>
  <c r="T613" i="1"/>
  <c r="H591" i="1"/>
  <c r="T591" i="1"/>
  <c r="H547" i="1"/>
  <c r="T547" i="1"/>
  <c r="H503" i="1"/>
  <c r="T503" i="1"/>
  <c r="H459" i="1"/>
  <c r="T459" i="1"/>
  <c r="H437" i="1"/>
  <c r="T437" i="1"/>
  <c r="H415" i="1"/>
  <c r="T415" i="1"/>
  <c r="H371" i="1"/>
  <c r="T371" i="1"/>
  <c r="H349" i="1"/>
  <c r="T349" i="1"/>
  <c r="H327" i="1"/>
  <c r="T327" i="1"/>
  <c r="H305" i="1"/>
  <c r="T305" i="1"/>
  <c r="H283" i="1"/>
  <c r="T283" i="1"/>
  <c r="H261" i="1"/>
  <c r="T261" i="1"/>
  <c r="H217" i="1"/>
  <c r="T217" i="1"/>
  <c r="H173" i="1"/>
  <c r="T173" i="1"/>
  <c r="H129" i="1"/>
  <c r="T129" i="1"/>
  <c r="H107" i="1"/>
  <c r="T107" i="1"/>
  <c r="H85" i="1"/>
  <c r="T85" i="1"/>
  <c r="H63" i="1"/>
  <c r="T63" i="1"/>
  <c r="H41" i="1"/>
  <c r="T41" i="1"/>
  <c r="H19" i="1"/>
  <c r="T19" i="1"/>
  <c r="T2771" i="1"/>
  <c r="T2570" i="1"/>
  <c r="T2328" i="1"/>
  <c r="T2176" i="1"/>
  <c r="T899" i="1"/>
  <c r="T348" i="1"/>
  <c r="T1887" i="1"/>
  <c r="H2969" i="1"/>
  <c r="T2969" i="1"/>
  <c r="H2947" i="1"/>
  <c r="T2947" i="1"/>
  <c r="H2859" i="1"/>
  <c r="T2859" i="1"/>
  <c r="H2815" i="1"/>
  <c r="T2815" i="1"/>
  <c r="H2749" i="1"/>
  <c r="T2749" i="1"/>
  <c r="H2705" i="1"/>
  <c r="T2705" i="1"/>
  <c r="H2639" i="1"/>
  <c r="T2639" i="1"/>
  <c r="H2551" i="1"/>
  <c r="T2551" i="1"/>
  <c r="H2507" i="1"/>
  <c r="T2507" i="1"/>
  <c r="H2485" i="1"/>
  <c r="T2485" i="1"/>
  <c r="H2441" i="1"/>
  <c r="T2441" i="1"/>
  <c r="H2419" i="1"/>
  <c r="T2419" i="1"/>
  <c r="H2375" i="1"/>
  <c r="T2375" i="1"/>
  <c r="H2353" i="1"/>
  <c r="T2353" i="1"/>
  <c r="H2309" i="1"/>
  <c r="T2309" i="1"/>
  <c r="H2287" i="1"/>
  <c r="T2287" i="1"/>
  <c r="H2243" i="1"/>
  <c r="T2243" i="1"/>
  <c r="H2199" i="1"/>
  <c r="T2199" i="1"/>
  <c r="H2155" i="1"/>
  <c r="T2155" i="1"/>
  <c r="H2089" i="1"/>
  <c r="T2089" i="1"/>
  <c r="H2045" i="1"/>
  <c r="T2045" i="1"/>
  <c r="H2001" i="1"/>
  <c r="T2001" i="1"/>
  <c r="H1979" i="1"/>
  <c r="T1979" i="1"/>
  <c r="H1935" i="1"/>
  <c r="T1935" i="1"/>
  <c r="H1847" i="1"/>
  <c r="T1847" i="1"/>
  <c r="H1825" i="1"/>
  <c r="T1825" i="1"/>
  <c r="H1781" i="1"/>
  <c r="T1781" i="1"/>
  <c r="H1737" i="1"/>
  <c r="T1737" i="1"/>
  <c r="H1583" i="1"/>
  <c r="T1583" i="1"/>
  <c r="H1539" i="1"/>
  <c r="T1539" i="1"/>
  <c r="H1495" i="1"/>
  <c r="T1495" i="1"/>
  <c r="H1451" i="1"/>
  <c r="T1451" i="1"/>
  <c r="H1407" i="1"/>
  <c r="T1407" i="1"/>
  <c r="H1385" i="1"/>
  <c r="T1385" i="1"/>
  <c r="H1341" i="1"/>
  <c r="T1341" i="1"/>
  <c r="H1297" i="1"/>
  <c r="T1297" i="1"/>
  <c r="H1275" i="1"/>
  <c r="T1275" i="1"/>
  <c r="H1165" i="1"/>
  <c r="T1165" i="1"/>
  <c r="H1121" i="1"/>
  <c r="T1121" i="1"/>
  <c r="H1077" i="1"/>
  <c r="T1077" i="1"/>
  <c r="H1033" i="1"/>
  <c r="T1033" i="1"/>
  <c r="T945" i="1"/>
  <c r="H945" i="1"/>
  <c r="H857" i="1"/>
  <c r="T857" i="1"/>
  <c r="H791" i="1"/>
  <c r="T791" i="1"/>
  <c r="H747" i="1"/>
  <c r="T747" i="1"/>
  <c r="H703" i="1"/>
  <c r="T703" i="1"/>
  <c r="H681" i="1"/>
  <c r="T681" i="1"/>
  <c r="H637" i="1"/>
  <c r="T637" i="1"/>
  <c r="H615" i="1"/>
  <c r="T615" i="1"/>
  <c r="H395" i="1"/>
  <c r="T395" i="1"/>
  <c r="H329" i="1"/>
  <c r="T329" i="1"/>
  <c r="H285" i="1"/>
  <c r="T285" i="1"/>
  <c r="H153" i="1"/>
  <c r="T153" i="1"/>
  <c r="H131" i="1"/>
  <c r="T131" i="1"/>
  <c r="H87" i="1"/>
  <c r="T87" i="1"/>
  <c r="H65" i="1"/>
  <c r="T65" i="1"/>
  <c r="H21" i="1"/>
  <c r="T21" i="1"/>
  <c r="T2727" i="1"/>
  <c r="T901" i="1"/>
  <c r="H2990" i="1"/>
  <c r="T2990" i="1"/>
  <c r="H2946" i="1"/>
  <c r="T2946" i="1"/>
  <c r="H2924" i="1"/>
  <c r="T2924" i="1"/>
  <c r="H2792" i="1"/>
  <c r="T2792" i="1"/>
  <c r="H2748" i="1"/>
  <c r="T2748" i="1"/>
  <c r="H2726" i="1"/>
  <c r="T2726" i="1"/>
  <c r="H2682" i="1"/>
  <c r="T2682" i="1"/>
  <c r="H2638" i="1"/>
  <c r="T2638" i="1"/>
  <c r="H2572" i="1"/>
  <c r="T2572" i="1"/>
  <c r="H2528" i="1"/>
  <c r="T2528" i="1"/>
  <c r="H2484" i="1"/>
  <c r="T2484" i="1"/>
  <c r="H2440" i="1"/>
  <c r="T2440" i="1"/>
  <c r="H2352" i="1"/>
  <c r="T2352" i="1"/>
  <c r="H2308" i="1"/>
  <c r="T2308" i="1"/>
  <c r="H2242" i="1"/>
  <c r="T2242" i="1"/>
  <c r="H2198" i="1"/>
  <c r="T2198" i="1"/>
  <c r="H2154" i="1"/>
  <c r="T2154" i="1"/>
  <c r="H2132" i="1"/>
  <c r="T2132" i="1"/>
  <c r="H2088" i="1"/>
  <c r="T2088" i="1"/>
  <c r="H2044" i="1"/>
  <c r="T2044" i="1"/>
  <c r="H1978" i="1"/>
  <c r="T1978" i="1"/>
  <c r="H1846" i="1"/>
  <c r="T1846" i="1"/>
  <c r="H1802" i="1"/>
  <c r="T1802" i="1"/>
  <c r="H1780" i="1"/>
  <c r="T1780" i="1"/>
  <c r="H1736" i="1"/>
  <c r="T1736" i="1"/>
  <c r="H1714" i="1"/>
  <c r="T1714" i="1"/>
  <c r="H1670" i="1"/>
  <c r="T1670" i="1"/>
  <c r="H1626" i="1"/>
  <c r="T1626" i="1"/>
  <c r="H1604" i="1"/>
  <c r="T1604" i="1"/>
  <c r="H1560" i="1"/>
  <c r="T1560" i="1"/>
  <c r="H1516" i="1"/>
  <c r="T1516" i="1"/>
  <c r="H1494" i="1"/>
  <c r="T1494" i="1"/>
  <c r="H1450" i="1"/>
  <c r="T1450" i="1"/>
  <c r="H1406" i="1"/>
  <c r="T1406" i="1"/>
  <c r="H1384" i="1"/>
  <c r="T1384" i="1"/>
  <c r="H1340" i="1"/>
  <c r="T1340" i="1"/>
  <c r="H1296" i="1"/>
  <c r="T1296" i="1"/>
  <c r="H1274" i="1"/>
  <c r="T1274" i="1"/>
  <c r="H1164" i="1"/>
  <c r="T1164" i="1"/>
  <c r="H1120" i="1"/>
  <c r="T1120" i="1"/>
  <c r="H1076" i="1"/>
  <c r="T1076" i="1"/>
  <c r="H1032" i="1"/>
  <c r="T1032" i="1"/>
  <c r="H1010" i="1"/>
  <c r="T1010" i="1"/>
  <c r="H966" i="1"/>
  <c r="T966" i="1"/>
  <c r="T944" i="1"/>
  <c r="H944" i="1"/>
  <c r="H856" i="1"/>
  <c r="T856" i="1"/>
  <c r="H790" i="1"/>
  <c r="T790" i="1"/>
  <c r="H702" i="1"/>
  <c r="T702" i="1"/>
  <c r="H680" i="1"/>
  <c r="T680" i="1"/>
  <c r="H636" i="1"/>
  <c r="T636" i="1"/>
  <c r="H592" i="1"/>
  <c r="T592" i="1"/>
  <c r="H350" i="1"/>
  <c r="T350" i="1"/>
  <c r="H306" i="1"/>
  <c r="T306" i="1"/>
  <c r="H284" i="1"/>
  <c r="T284" i="1"/>
  <c r="H152" i="1"/>
  <c r="T152" i="1"/>
  <c r="H130" i="1"/>
  <c r="T130" i="1"/>
  <c r="H108" i="1"/>
  <c r="T108" i="1"/>
  <c r="H86" i="1"/>
  <c r="T86" i="1"/>
  <c r="H64" i="1"/>
  <c r="T64" i="1"/>
  <c r="H20" i="1"/>
  <c r="T20" i="1"/>
  <c r="T2177" i="1"/>
  <c r="T1648" i="1"/>
  <c r="T900" i="1"/>
  <c r="T351" i="1"/>
  <c r="H2967" i="1"/>
  <c r="T2967" i="1"/>
  <c r="H2923" i="1"/>
  <c r="T2923" i="1"/>
  <c r="H2813" i="1"/>
  <c r="T2813" i="1"/>
  <c r="H2725" i="1"/>
  <c r="T2725" i="1"/>
  <c r="H2703" i="1"/>
  <c r="T2703" i="1"/>
  <c r="H2637" i="1"/>
  <c r="T2637" i="1"/>
  <c r="H2988" i="1"/>
  <c r="T2988" i="1"/>
  <c r="H2966" i="1"/>
  <c r="T2966" i="1"/>
  <c r="H2944" i="1"/>
  <c r="T2944" i="1"/>
  <c r="H2922" i="1"/>
  <c r="T2922" i="1"/>
  <c r="H2856" i="1"/>
  <c r="T2856" i="1"/>
  <c r="H2812" i="1"/>
  <c r="T2812" i="1"/>
  <c r="H2768" i="1"/>
  <c r="T2768" i="1"/>
  <c r="H2746" i="1"/>
  <c r="T2746" i="1"/>
  <c r="H2724" i="1"/>
  <c r="T2724" i="1"/>
  <c r="H2702" i="1"/>
  <c r="T2702" i="1"/>
  <c r="H2680" i="1"/>
  <c r="T2680" i="1"/>
  <c r="H2658" i="1"/>
  <c r="T2658" i="1"/>
  <c r="T2614" i="1"/>
  <c r="H2614" i="1"/>
  <c r="H2548" i="1"/>
  <c r="T2548" i="1"/>
  <c r="H2526" i="1"/>
  <c r="T2526" i="1"/>
  <c r="H2504" i="1"/>
  <c r="T2504" i="1"/>
  <c r="H2482" i="1"/>
  <c r="T2482" i="1"/>
  <c r="H2460" i="1"/>
  <c r="T2460" i="1"/>
  <c r="H2438" i="1"/>
  <c r="T2438" i="1"/>
  <c r="H2416" i="1"/>
  <c r="T2416" i="1"/>
  <c r="H2372" i="1"/>
  <c r="T2372" i="1"/>
  <c r="H2350" i="1"/>
  <c r="T2350" i="1"/>
  <c r="H2306" i="1"/>
  <c r="T2306" i="1"/>
  <c r="H2284" i="1"/>
  <c r="T2284" i="1"/>
  <c r="H2262" i="1"/>
  <c r="T2262" i="1"/>
  <c r="H2240" i="1"/>
  <c r="T2240" i="1"/>
  <c r="H2196" i="1"/>
  <c r="T2196" i="1"/>
  <c r="H2130" i="1"/>
  <c r="T2130" i="1"/>
  <c r="H2108" i="1"/>
  <c r="T2108" i="1"/>
  <c r="H2086" i="1"/>
  <c r="T2086" i="1"/>
  <c r="H2064" i="1"/>
  <c r="T2064" i="1"/>
  <c r="H2020" i="1"/>
  <c r="T2020" i="1"/>
  <c r="H1998" i="1"/>
  <c r="T1998" i="1"/>
  <c r="H1976" i="1"/>
  <c r="T1976" i="1"/>
  <c r="H1954" i="1"/>
  <c r="T1954" i="1"/>
  <c r="H1932" i="1"/>
  <c r="T1932" i="1"/>
  <c r="H1910" i="1"/>
  <c r="T1910" i="1"/>
  <c r="H1866" i="1"/>
  <c r="T1866" i="1"/>
  <c r="H1822" i="1"/>
  <c r="T1822" i="1"/>
  <c r="T1778" i="1"/>
  <c r="H1778" i="1"/>
  <c r="H1756" i="1"/>
  <c r="T1756" i="1"/>
  <c r="H1734" i="1"/>
  <c r="T1734" i="1"/>
  <c r="H1712" i="1"/>
  <c r="T1712" i="1"/>
  <c r="H1668" i="1"/>
  <c r="T1668" i="1"/>
  <c r="H1646" i="1"/>
  <c r="T1646" i="1"/>
  <c r="H1624" i="1"/>
  <c r="T1624" i="1"/>
  <c r="H1580" i="1"/>
  <c r="T1580" i="1"/>
  <c r="H1558" i="1"/>
  <c r="T1558" i="1"/>
  <c r="H1536" i="1"/>
  <c r="T1536" i="1"/>
  <c r="H1492" i="1"/>
  <c r="T1492" i="1"/>
  <c r="H1470" i="1"/>
  <c r="T1470" i="1"/>
  <c r="H1448" i="1"/>
  <c r="T1448" i="1"/>
  <c r="H1426" i="1"/>
  <c r="T1426" i="1"/>
  <c r="H1404" i="1"/>
  <c r="T1404" i="1"/>
  <c r="H1382" i="1"/>
  <c r="T1382" i="1"/>
  <c r="H1338" i="1"/>
  <c r="T1338" i="1"/>
  <c r="H1316" i="1"/>
  <c r="T1316" i="1"/>
  <c r="H1294" i="1"/>
  <c r="T1294" i="1"/>
  <c r="H1272" i="1"/>
  <c r="T1272" i="1"/>
  <c r="H1250" i="1"/>
  <c r="T1250" i="1"/>
  <c r="H1206" i="1"/>
  <c r="T1206" i="1"/>
  <c r="H1184" i="1"/>
  <c r="T1184" i="1"/>
  <c r="H1162" i="1"/>
  <c r="T1162" i="1"/>
  <c r="H1118" i="1"/>
  <c r="T1118" i="1"/>
  <c r="H1096" i="1"/>
  <c r="T1096" i="1"/>
  <c r="H1052" i="1"/>
  <c r="T1052" i="1"/>
  <c r="H1030" i="1"/>
  <c r="T1030" i="1"/>
  <c r="H1008" i="1"/>
  <c r="T1008" i="1"/>
  <c r="H964" i="1"/>
  <c r="T964" i="1"/>
  <c r="T942" i="1"/>
  <c r="H942" i="1"/>
  <c r="H920" i="1"/>
  <c r="T920" i="1"/>
  <c r="H876" i="1"/>
  <c r="T876" i="1"/>
  <c r="H854" i="1"/>
  <c r="T854" i="1"/>
  <c r="H832" i="1"/>
  <c r="T832" i="1"/>
  <c r="H810" i="1"/>
  <c r="T810" i="1"/>
  <c r="H788" i="1"/>
  <c r="T788" i="1"/>
  <c r="H766" i="1"/>
  <c r="T766" i="1"/>
  <c r="H744" i="1"/>
  <c r="T744" i="1"/>
  <c r="H722" i="1"/>
  <c r="T722" i="1"/>
  <c r="H678" i="1"/>
  <c r="T678" i="1"/>
  <c r="H656" i="1"/>
  <c r="T656" i="1"/>
  <c r="H634" i="1"/>
  <c r="T634" i="1"/>
  <c r="H612" i="1"/>
  <c r="T612" i="1"/>
  <c r="H590" i="1"/>
  <c r="T590" i="1"/>
  <c r="H568" i="1"/>
  <c r="T568" i="1"/>
  <c r="H546" i="1"/>
  <c r="T546" i="1"/>
  <c r="H502" i="1"/>
  <c r="T502" i="1"/>
  <c r="H458" i="1"/>
  <c r="T458" i="1"/>
  <c r="H436" i="1"/>
  <c r="T436" i="1"/>
  <c r="H414" i="1"/>
  <c r="T414" i="1"/>
  <c r="H392" i="1"/>
  <c r="T392" i="1"/>
  <c r="H370" i="1"/>
  <c r="T370" i="1"/>
  <c r="H326" i="1"/>
  <c r="T326" i="1"/>
  <c r="H304" i="1"/>
  <c r="T304" i="1"/>
  <c r="H282" i="1"/>
  <c r="T282" i="1"/>
  <c r="H260" i="1"/>
  <c r="T260" i="1"/>
  <c r="H216" i="1"/>
  <c r="T216" i="1"/>
  <c r="H172" i="1"/>
  <c r="T172" i="1"/>
  <c r="H128" i="1"/>
  <c r="T128" i="1"/>
  <c r="H106" i="1"/>
  <c r="T106" i="1"/>
  <c r="H84" i="1"/>
  <c r="T84" i="1"/>
  <c r="H62" i="1"/>
  <c r="T62" i="1"/>
  <c r="H40" i="1"/>
  <c r="T40" i="1"/>
  <c r="H18" i="1"/>
  <c r="T18" i="1"/>
  <c r="T2770" i="1"/>
  <c r="T2175" i="1"/>
  <c r="T1187" i="1"/>
  <c r="T898" i="1"/>
  <c r="T700" i="1"/>
  <c r="T394" i="1"/>
  <c r="H2239" i="1"/>
  <c r="T2239" i="1"/>
  <c r="H2195" i="1"/>
  <c r="T2195" i="1"/>
  <c r="H2173" i="1"/>
  <c r="T2173" i="1"/>
  <c r="H2129" i="1"/>
  <c r="T2129" i="1"/>
  <c r="H2107" i="1"/>
  <c r="T2107" i="1"/>
  <c r="H2085" i="1"/>
  <c r="T2085" i="1"/>
  <c r="H2063" i="1"/>
  <c r="T2063" i="1"/>
  <c r="H2019" i="1"/>
  <c r="T2019" i="1"/>
  <c r="H1975" i="1"/>
  <c r="T1975" i="1"/>
  <c r="H1953" i="1"/>
  <c r="T1953" i="1"/>
  <c r="H1931" i="1"/>
  <c r="T1931" i="1"/>
  <c r="H1909" i="1"/>
  <c r="T1909" i="1"/>
  <c r="H1865" i="1"/>
  <c r="T1865" i="1"/>
  <c r="H1821" i="1"/>
  <c r="T1821" i="1"/>
  <c r="H1777" i="1"/>
  <c r="T1777" i="1"/>
  <c r="H1755" i="1"/>
  <c r="T1755" i="1"/>
  <c r="H1733" i="1"/>
  <c r="T1733" i="1"/>
  <c r="H1711" i="1"/>
  <c r="T1711" i="1"/>
  <c r="H1667" i="1"/>
  <c r="T1667" i="1"/>
  <c r="H1645" i="1"/>
  <c r="T1645" i="1"/>
  <c r="H1623" i="1"/>
  <c r="T1623" i="1"/>
  <c r="H1579" i="1"/>
  <c r="T1579" i="1"/>
  <c r="H1557" i="1"/>
  <c r="T1557" i="1"/>
  <c r="H1535" i="1"/>
  <c r="T1535" i="1"/>
  <c r="H1491" i="1"/>
  <c r="T1491" i="1"/>
  <c r="H1469" i="1"/>
  <c r="T1469" i="1"/>
  <c r="H1447" i="1"/>
  <c r="T1447" i="1"/>
  <c r="H1425" i="1"/>
  <c r="T1425" i="1"/>
  <c r="H1403" i="1"/>
  <c r="T1403" i="1"/>
  <c r="H1381" i="1"/>
  <c r="T1381" i="1"/>
  <c r="H1337" i="1"/>
  <c r="T1337" i="1"/>
  <c r="H1293" i="1"/>
  <c r="T1293" i="1"/>
  <c r="H1271" i="1"/>
  <c r="T1271" i="1"/>
  <c r="H1249" i="1"/>
  <c r="T1249" i="1"/>
  <c r="H1205" i="1"/>
  <c r="T1205" i="1"/>
  <c r="H1183" i="1"/>
  <c r="T1183" i="1"/>
  <c r="H1161" i="1"/>
  <c r="T1161" i="1"/>
  <c r="H1117" i="1"/>
  <c r="T1117" i="1"/>
  <c r="H1095" i="1"/>
  <c r="T1095" i="1"/>
  <c r="H1051" i="1"/>
  <c r="T1051" i="1"/>
  <c r="H1029" i="1"/>
  <c r="T1029" i="1"/>
  <c r="H1007" i="1"/>
  <c r="T1007" i="1"/>
  <c r="H963" i="1"/>
  <c r="T963" i="1"/>
  <c r="H919" i="1"/>
  <c r="T919" i="1"/>
  <c r="H875" i="1"/>
  <c r="T875" i="1"/>
  <c r="H853" i="1"/>
  <c r="T853" i="1"/>
  <c r="H831" i="1"/>
  <c r="T831" i="1"/>
  <c r="H787" i="1"/>
  <c r="T787" i="1"/>
  <c r="H765" i="1"/>
  <c r="T765" i="1"/>
  <c r="H743" i="1"/>
  <c r="T743" i="1"/>
  <c r="H721" i="1"/>
  <c r="T721" i="1"/>
  <c r="H677" i="1"/>
  <c r="T677" i="1"/>
  <c r="H655" i="1"/>
  <c r="T655" i="1"/>
  <c r="H633" i="1"/>
  <c r="T633" i="1"/>
  <c r="H611" i="1"/>
  <c r="T611" i="1"/>
  <c r="H589" i="1"/>
  <c r="T589" i="1"/>
  <c r="T567" i="1"/>
  <c r="H567" i="1"/>
  <c r="H545" i="1"/>
  <c r="T545" i="1"/>
  <c r="H501" i="1"/>
  <c r="T501" i="1"/>
  <c r="H479" i="1"/>
  <c r="T479" i="1"/>
  <c r="H457" i="1"/>
  <c r="T457" i="1"/>
  <c r="H435" i="1"/>
  <c r="T435" i="1"/>
  <c r="H413" i="1"/>
  <c r="T413" i="1"/>
  <c r="H391" i="1"/>
  <c r="T391" i="1"/>
  <c r="H369" i="1"/>
  <c r="T369" i="1"/>
  <c r="H347" i="1"/>
  <c r="T347" i="1"/>
  <c r="H325" i="1"/>
  <c r="T325" i="1"/>
  <c r="H303" i="1"/>
  <c r="T303" i="1"/>
  <c r="T281" i="1"/>
  <c r="H281" i="1"/>
  <c r="H259" i="1"/>
  <c r="T259" i="1"/>
  <c r="H215" i="1"/>
  <c r="T215" i="1"/>
  <c r="H171" i="1"/>
  <c r="T171" i="1"/>
  <c r="H149" i="1"/>
  <c r="T149" i="1"/>
  <c r="H127" i="1"/>
  <c r="T127" i="1"/>
  <c r="H83" i="1"/>
  <c r="T83" i="1"/>
  <c r="H61" i="1"/>
  <c r="T61" i="1"/>
  <c r="H39" i="1"/>
  <c r="T39" i="1"/>
  <c r="H17" i="1"/>
  <c r="T17" i="1"/>
  <c r="T2769" i="1"/>
  <c r="T2218" i="1"/>
  <c r="T2174" i="1"/>
  <c r="T1693" i="1"/>
  <c r="T1514" i="1"/>
  <c r="T1186" i="1"/>
  <c r="T897" i="1"/>
  <c r="T699" i="1"/>
  <c r="T393" i="1"/>
  <c r="H1771" i="1"/>
  <c r="T1771" i="1"/>
  <c r="H1661" i="1"/>
  <c r="T1661" i="1"/>
  <c r="H1617" i="1"/>
  <c r="T1617" i="1"/>
  <c r="H1529" i="1"/>
  <c r="T1529" i="1"/>
  <c r="H1485" i="1"/>
  <c r="T1485" i="1"/>
  <c r="H1441" i="1"/>
  <c r="T1441" i="1"/>
  <c r="T1353" i="1"/>
  <c r="H1353" i="1"/>
  <c r="H1265" i="1"/>
  <c r="T1265" i="1"/>
  <c r="H1221" i="1"/>
  <c r="T1221" i="1"/>
  <c r="H1177" i="1"/>
  <c r="T1177" i="1"/>
  <c r="H1133" i="1"/>
  <c r="T1133" i="1"/>
  <c r="H1089" i="1"/>
  <c r="T1089" i="1"/>
  <c r="H759" i="1"/>
  <c r="T759" i="1"/>
  <c r="H539" i="1"/>
  <c r="T539" i="1"/>
  <c r="H451" i="1"/>
  <c r="T451" i="1"/>
  <c r="H429" i="1"/>
  <c r="T429" i="1"/>
  <c r="H363" i="1"/>
  <c r="T363" i="1"/>
  <c r="H275" i="1"/>
  <c r="T275" i="1"/>
  <c r="T209" i="1"/>
  <c r="H209" i="1"/>
  <c r="T1419" i="1"/>
  <c r="H2912" i="1"/>
  <c r="T2912" i="1"/>
  <c r="H2868" i="1"/>
  <c r="T2868" i="1"/>
  <c r="H2714" i="1"/>
  <c r="T2714" i="1"/>
  <c r="H2384" i="1"/>
  <c r="T2384" i="1"/>
  <c r="H2252" i="1"/>
  <c r="T2252" i="1"/>
  <c r="H2186" i="1"/>
  <c r="T2186" i="1"/>
  <c r="H2098" i="1"/>
  <c r="T2098" i="1"/>
  <c r="H2010" i="1"/>
  <c r="T2010" i="1"/>
  <c r="H1878" i="1"/>
  <c r="T1878" i="1"/>
  <c r="H1790" i="1"/>
  <c r="T1790" i="1"/>
  <c r="H1702" i="1"/>
  <c r="T1702" i="1"/>
  <c r="H1614" i="1"/>
  <c r="T1614" i="1"/>
  <c r="H1592" i="1"/>
  <c r="T1592" i="1"/>
  <c r="T1548" i="1"/>
  <c r="H1548" i="1"/>
  <c r="H1504" i="1"/>
  <c r="T1504" i="1"/>
  <c r="H1350" i="1"/>
  <c r="T1350" i="1"/>
  <c r="H1306" i="1"/>
  <c r="T1306" i="1"/>
  <c r="H1262" i="1"/>
  <c r="T1262" i="1"/>
  <c r="H1196" i="1"/>
  <c r="T1196" i="1"/>
  <c r="H1152" i="1"/>
  <c r="T1152" i="1"/>
  <c r="H1064" i="1"/>
  <c r="T1064" i="1"/>
  <c r="H1020" i="1"/>
  <c r="T1020" i="1"/>
  <c r="H976" i="1"/>
  <c r="T976" i="1"/>
  <c r="H624" i="1"/>
  <c r="T624" i="1"/>
  <c r="H580" i="1"/>
  <c r="T580" i="1"/>
  <c r="H536" i="1"/>
  <c r="T536" i="1"/>
  <c r="H448" i="1"/>
  <c r="T448" i="1"/>
  <c r="H74" i="1"/>
  <c r="T74" i="1"/>
  <c r="H30" i="1"/>
  <c r="T30" i="1"/>
  <c r="T1218" i="1"/>
  <c r="H2977" i="1"/>
  <c r="T2977" i="1"/>
  <c r="H2911" i="1"/>
  <c r="T2911" i="1"/>
  <c r="H2713" i="1"/>
  <c r="T2713" i="1"/>
  <c r="H2647" i="1"/>
  <c r="T2647" i="1"/>
  <c r="H2515" i="1"/>
  <c r="T2515" i="1"/>
  <c r="H2471" i="1"/>
  <c r="T2471" i="1"/>
  <c r="H2251" i="1"/>
  <c r="T2251" i="1"/>
  <c r="H2207" i="1"/>
  <c r="T2207" i="1"/>
  <c r="H2163" i="1"/>
  <c r="T2163" i="1"/>
  <c r="H2031" i="1"/>
  <c r="T2031" i="1"/>
  <c r="H1943" i="1"/>
  <c r="T1943" i="1"/>
  <c r="H1613" i="1"/>
  <c r="T1613" i="1"/>
  <c r="H1525" i="1"/>
  <c r="T1525" i="1"/>
  <c r="H1415" i="1"/>
  <c r="T1415" i="1"/>
  <c r="H1371" i="1"/>
  <c r="T1371" i="1"/>
  <c r="H1327" i="1"/>
  <c r="T1327" i="1"/>
  <c r="H1195" i="1"/>
  <c r="T1195" i="1"/>
  <c r="H1173" i="1"/>
  <c r="T1173" i="1"/>
  <c r="H1129" i="1"/>
  <c r="T1129" i="1"/>
  <c r="H1019" i="1"/>
  <c r="T1019" i="1"/>
  <c r="H975" i="1"/>
  <c r="T975" i="1"/>
  <c r="H887" i="1"/>
  <c r="T887" i="1"/>
  <c r="H689" i="1"/>
  <c r="T689" i="1"/>
  <c r="H557" i="1"/>
  <c r="T557" i="1"/>
  <c r="H513" i="1"/>
  <c r="T513" i="1"/>
  <c r="H469" i="1"/>
  <c r="T469" i="1"/>
  <c r="H337" i="1"/>
  <c r="T337" i="1"/>
  <c r="H73" i="1"/>
  <c r="T73" i="1"/>
  <c r="H7" i="1"/>
  <c r="T7" i="1"/>
  <c r="T2581" i="1"/>
  <c r="T2383" i="1"/>
  <c r="T1217" i="1"/>
  <c r="T2273" i="1"/>
  <c r="T712" i="1"/>
  <c r="H294" i="1"/>
  <c r="T1331" i="1"/>
  <c r="T671" i="1"/>
  <c r="T250" i="1"/>
  <c r="T205" i="1"/>
  <c r="T2956" i="1"/>
  <c r="T2340" i="1"/>
  <c r="T1746" i="1"/>
  <c r="T1284" i="1"/>
  <c r="T1001" i="1"/>
  <c r="T249" i="1"/>
  <c r="H1705" i="1"/>
  <c r="T2955" i="1"/>
  <c r="T2339" i="1"/>
  <c r="T1745" i="1"/>
  <c r="T1658" i="1"/>
  <c r="T1283" i="1"/>
  <c r="T1243" i="1"/>
  <c r="T1166" i="1"/>
  <c r="T1078" i="1"/>
  <c r="T583" i="1"/>
  <c r="T338" i="1"/>
  <c r="T121" i="1"/>
  <c r="H2971" i="1"/>
  <c r="T2971" i="1"/>
  <c r="H2949" i="1"/>
  <c r="T2949" i="1"/>
  <c r="H2883" i="1"/>
  <c r="T2883" i="1"/>
  <c r="H2817" i="1"/>
  <c r="T2817" i="1"/>
  <c r="H2795" i="1"/>
  <c r="T2795" i="1"/>
  <c r="H2663" i="1"/>
  <c r="T2663" i="1"/>
  <c r="H2641" i="1"/>
  <c r="T2641" i="1"/>
  <c r="H2619" i="1"/>
  <c r="T2619" i="1"/>
  <c r="H2575" i="1"/>
  <c r="T2575" i="1"/>
  <c r="H2553" i="1"/>
  <c r="T2553" i="1"/>
  <c r="H2487" i="1"/>
  <c r="T2487" i="1"/>
  <c r="H2465" i="1"/>
  <c r="T2465" i="1"/>
  <c r="H2377" i="1"/>
  <c r="T2377" i="1"/>
  <c r="H2311" i="1"/>
  <c r="T2311" i="1"/>
  <c r="H2289" i="1"/>
  <c r="T2289" i="1"/>
  <c r="H2223" i="1"/>
  <c r="T2223" i="1"/>
  <c r="H2157" i="1"/>
  <c r="T2157" i="1"/>
  <c r="H2135" i="1"/>
  <c r="T2135" i="1"/>
  <c r="H2091" i="1"/>
  <c r="T2091" i="1"/>
  <c r="H2069" i="1"/>
  <c r="T2069" i="1"/>
  <c r="H2003" i="1"/>
  <c r="T2003" i="1"/>
  <c r="H1981" i="1"/>
  <c r="T1981" i="1"/>
  <c r="H1959" i="1"/>
  <c r="T1959" i="1"/>
  <c r="H1937" i="1"/>
  <c r="T1937" i="1"/>
  <c r="H1915" i="1"/>
  <c r="T1915" i="1"/>
  <c r="H1893" i="1"/>
  <c r="T1893" i="1"/>
  <c r="H1871" i="1"/>
  <c r="T1871" i="1"/>
  <c r="H1849" i="1"/>
  <c r="T1849" i="1"/>
  <c r="H1805" i="1"/>
  <c r="T1805" i="1"/>
  <c r="H1761" i="1"/>
  <c r="T1761" i="1"/>
  <c r="H1739" i="1"/>
  <c r="T1739" i="1"/>
  <c r="H1695" i="1"/>
  <c r="T1695" i="1"/>
  <c r="H1673" i="1"/>
  <c r="T1673" i="1"/>
  <c r="H1629" i="1"/>
  <c r="T1629" i="1"/>
  <c r="H1585" i="1"/>
  <c r="T1585" i="1"/>
  <c r="H1497" i="1"/>
  <c r="T1497" i="1"/>
  <c r="H1475" i="1"/>
  <c r="T1475" i="1"/>
  <c r="H1409" i="1"/>
  <c r="T1409" i="1"/>
  <c r="H1387" i="1"/>
  <c r="T1387" i="1"/>
  <c r="H1343" i="1"/>
  <c r="T1343" i="1"/>
  <c r="H1321" i="1"/>
  <c r="T1321" i="1"/>
  <c r="H1299" i="1"/>
  <c r="T1299" i="1"/>
  <c r="H1233" i="1"/>
  <c r="T1233" i="1"/>
  <c r="H1145" i="1"/>
  <c r="T1145" i="1"/>
  <c r="H1123" i="1"/>
  <c r="T1123" i="1"/>
  <c r="H1057" i="1"/>
  <c r="T1057" i="1"/>
  <c r="H969" i="1"/>
  <c r="T969" i="1"/>
  <c r="H947" i="1"/>
  <c r="T947" i="1"/>
  <c r="H925" i="1"/>
  <c r="T925" i="1"/>
  <c r="H903" i="1"/>
  <c r="T903" i="1"/>
  <c r="H859" i="1"/>
  <c r="T859" i="1"/>
  <c r="H837" i="1"/>
  <c r="T837" i="1"/>
  <c r="H793" i="1"/>
  <c r="T793" i="1"/>
  <c r="H771" i="1"/>
  <c r="T771" i="1"/>
  <c r="H727" i="1"/>
  <c r="T727" i="1"/>
  <c r="H683" i="1"/>
  <c r="T683" i="1"/>
  <c r="H639" i="1"/>
  <c r="T639" i="1"/>
  <c r="H595" i="1"/>
  <c r="T595" i="1"/>
  <c r="H507" i="1"/>
  <c r="T507" i="1"/>
  <c r="H485" i="1"/>
  <c r="T485" i="1"/>
  <c r="H463" i="1"/>
  <c r="T463" i="1"/>
  <c r="H441" i="1"/>
  <c r="T441" i="1"/>
  <c r="H419" i="1"/>
  <c r="T419" i="1"/>
  <c r="H397" i="1"/>
  <c r="T397" i="1"/>
  <c r="H331" i="1"/>
  <c r="T331" i="1"/>
  <c r="H309" i="1"/>
  <c r="T309" i="1"/>
  <c r="H287" i="1"/>
  <c r="T287" i="1"/>
  <c r="H243" i="1"/>
  <c r="T243" i="1"/>
  <c r="H221" i="1"/>
  <c r="T221" i="1"/>
  <c r="H177" i="1"/>
  <c r="T177" i="1"/>
  <c r="H155" i="1"/>
  <c r="T155" i="1"/>
  <c r="H133" i="1"/>
  <c r="T133" i="1"/>
  <c r="H111" i="1"/>
  <c r="T111" i="1"/>
  <c r="H67" i="1"/>
  <c r="T67" i="1"/>
  <c r="H23" i="1"/>
  <c r="T23" i="1"/>
  <c r="T2780" i="1"/>
  <c r="T1657" i="1"/>
  <c r="T1210" i="1"/>
  <c r="T748" i="1"/>
  <c r="T668" i="1"/>
  <c r="T495" i="1"/>
  <c r="T118" i="1"/>
  <c r="H1793" i="1"/>
  <c r="T1793" i="1"/>
  <c r="H1595" i="1"/>
  <c r="T1595" i="1"/>
  <c r="H1551" i="1"/>
  <c r="T1551" i="1"/>
  <c r="H1375" i="1"/>
  <c r="T1375" i="1"/>
  <c r="H1199" i="1"/>
  <c r="T1199" i="1"/>
  <c r="H1111" i="1"/>
  <c r="T1111" i="1"/>
  <c r="H1045" i="1"/>
  <c r="T1045" i="1"/>
  <c r="H913" i="1"/>
  <c r="T913" i="1"/>
  <c r="H869" i="1"/>
  <c r="T869" i="1"/>
  <c r="H825" i="1"/>
  <c r="T825" i="1"/>
  <c r="H737" i="1"/>
  <c r="T737" i="1"/>
  <c r="H715" i="1"/>
  <c r="T715" i="1"/>
  <c r="H649" i="1"/>
  <c r="T649" i="1"/>
  <c r="H561" i="1"/>
  <c r="T561" i="1"/>
  <c r="H385" i="1"/>
  <c r="T385" i="1"/>
  <c r="H253" i="1"/>
  <c r="T253" i="1"/>
  <c r="H187" i="1"/>
  <c r="T187" i="1"/>
  <c r="H165" i="1"/>
  <c r="T165" i="1"/>
  <c r="H143" i="1"/>
  <c r="T143" i="1"/>
  <c r="H99" i="1"/>
  <c r="T99" i="1"/>
  <c r="H77" i="1"/>
  <c r="T77" i="1"/>
  <c r="H33" i="1"/>
  <c r="T33" i="1"/>
  <c r="H11" i="1"/>
  <c r="T11" i="1"/>
  <c r="T1507" i="1"/>
  <c r="T847" i="1"/>
  <c r="T891" i="1"/>
  <c r="T803" i="1"/>
  <c r="T517" i="1"/>
  <c r="T297" i="1"/>
  <c r="H2978" i="1"/>
  <c r="T2978" i="1"/>
  <c r="H2824" i="1"/>
  <c r="T2824" i="1"/>
  <c r="H2736" i="1"/>
  <c r="T2736" i="1"/>
  <c r="H2692" i="1"/>
  <c r="T2692" i="1"/>
  <c r="H2648" i="1"/>
  <c r="T2648" i="1"/>
  <c r="H2582" i="1"/>
  <c r="T2582" i="1"/>
  <c r="H2538" i="1"/>
  <c r="T2538" i="1"/>
  <c r="H2406" i="1"/>
  <c r="T2406" i="1"/>
  <c r="H2362" i="1"/>
  <c r="T2362" i="1"/>
  <c r="H2318" i="1"/>
  <c r="T2318" i="1"/>
  <c r="H2230" i="1"/>
  <c r="T2230" i="1"/>
  <c r="H2208" i="1"/>
  <c r="T2208" i="1"/>
  <c r="H2164" i="1"/>
  <c r="T2164" i="1"/>
  <c r="H2032" i="1"/>
  <c r="T2032" i="1"/>
  <c r="H1944" i="1"/>
  <c r="T1944" i="1"/>
  <c r="H1900" i="1"/>
  <c r="T1900" i="1"/>
  <c r="H1856" i="1"/>
  <c r="T1856" i="1"/>
  <c r="H1680" i="1"/>
  <c r="T1680" i="1"/>
  <c r="H1526" i="1"/>
  <c r="T1526" i="1"/>
  <c r="H1482" i="1"/>
  <c r="T1482" i="1"/>
  <c r="H1438" i="1"/>
  <c r="T1438" i="1"/>
  <c r="H1372" i="1"/>
  <c r="T1372" i="1"/>
  <c r="H1328" i="1"/>
  <c r="T1328" i="1"/>
  <c r="H1130" i="1"/>
  <c r="T1130" i="1"/>
  <c r="H1086" i="1"/>
  <c r="T1086" i="1"/>
  <c r="H1042" i="1"/>
  <c r="T1042" i="1"/>
  <c r="H910" i="1"/>
  <c r="T910" i="1"/>
  <c r="H888" i="1"/>
  <c r="T888" i="1"/>
  <c r="H844" i="1"/>
  <c r="T844" i="1"/>
  <c r="H800" i="1"/>
  <c r="T800" i="1"/>
  <c r="H756" i="1"/>
  <c r="T756" i="1"/>
  <c r="H690" i="1"/>
  <c r="T690" i="1"/>
  <c r="H646" i="1"/>
  <c r="T646" i="1"/>
  <c r="H558" i="1"/>
  <c r="T558" i="1"/>
  <c r="H514" i="1"/>
  <c r="T514" i="1"/>
  <c r="H470" i="1"/>
  <c r="T470" i="1"/>
  <c r="H360" i="1"/>
  <c r="T360" i="1"/>
  <c r="H272" i="1"/>
  <c r="T272" i="1"/>
  <c r="H96" i="1"/>
  <c r="T96" i="1"/>
  <c r="H8" i="1"/>
  <c r="T8" i="1"/>
  <c r="T52" i="1"/>
  <c r="H2867" i="1"/>
  <c r="T2867" i="1"/>
  <c r="H2823" i="1"/>
  <c r="T2823" i="1"/>
  <c r="H2691" i="1"/>
  <c r="T2691" i="1"/>
  <c r="H2537" i="1"/>
  <c r="T2537" i="1"/>
  <c r="H2405" i="1"/>
  <c r="T2405" i="1"/>
  <c r="H2361" i="1"/>
  <c r="T2361" i="1"/>
  <c r="H2317" i="1"/>
  <c r="T2317" i="1"/>
  <c r="H2229" i="1"/>
  <c r="T2229" i="1"/>
  <c r="H2185" i="1"/>
  <c r="T2185" i="1"/>
  <c r="H2097" i="1"/>
  <c r="T2097" i="1"/>
  <c r="H2009" i="1"/>
  <c r="T2009" i="1"/>
  <c r="H1877" i="1"/>
  <c r="T1877" i="1"/>
  <c r="H1833" i="1"/>
  <c r="T1833" i="1"/>
  <c r="H1701" i="1"/>
  <c r="T1701" i="1"/>
  <c r="H1679" i="1"/>
  <c r="T1679" i="1"/>
  <c r="H1591" i="1"/>
  <c r="T1591" i="1"/>
  <c r="H1503" i="1"/>
  <c r="T1503" i="1"/>
  <c r="H1349" i="1"/>
  <c r="T1349" i="1"/>
  <c r="H1305" i="1"/>
  <c r="T1305" i="1"/>
  <c r="H1151" i="1"/>
  <c r="T1151" i="1"/>
  <c r="H1085" i="1"/>
  <c r="T1085" i="1"/>
  <c r="H1041" i="1"/>
  <c r="T1041" i="1"/>
  <c r="H997" i="1"/>
  <c r="T997" i="1"/>
  <c r="H953" i="1"/>
  <c r="T953" i="1"/>
  <c r="H909" i="1"/>
  <c r="T909" i="1"/>
  <c r="H843" i="1"/>
  <c r="T843" i="1"/>
  <c r="H799" i="1"/>
  <c r="T799" i="1"/>
  <c r="H711" i="1"/>
  <c r="T711" i="1"/>
  <c r="H623" i="1"/>
  <c r="T623" i="1"/>
  <c r="H535" i="1"/>
  <c r="T535" i="1"/>
  <c r="H447" i="1"/>
  <c r="T447" i="1"/>
  <c r="H359" i="1"/>
  <c r="T359" i="1"/>
  <c r="H271" i="1"/>
  <c r="T271" i="1"/>
  <c r="H183" i="1"/>
  <c r="T183" i="1"/>
  <c r="H95" i="1"/>
  <c r="T95" i="1"/>
  <c r="H51" i="1"/>
  <c r="T51" i="1"/>
  <c r="H29" i="1"/>
  <c r="T29" i="1"/>
  <c r="T1789" i="1"/>
  <c r="T1416" i="1"/>
  <c r="T755" i="1"/>
  <c r="T2890" i="1"/>
  <c r="T2274" i="1"/>
  <c r="T2054" i="1"/>
  <c r="T1749" i="1"/>
  <c r="T1287" i="1"/>
  <c r="T1174" i="1"/>
  <c r="T2889" i="1"/>
  <c r="T2516" i="1"/>
  <c r="T2450" i="1"/>
  <c r="T2053" i="1"/>
  <c r="T341" i="1"/>
  <c r="T293" i="1"/>
  <c r="T206" i="1"/>
  <c r="T2449" i="1"/>
  <c r="T1899" i="1"/>
  <c r="H2992" i="1"/>
  <c r="T2992" i="1"/>
  <c r="H2970" i="1"/>
  <c r="T2970" i="1"/>
  <c r="H2948" i="1"/>
  <c r="T2948" i="1"/>
  <c r="H2926" i="1"/>
  <c r="T2926" i="1"/>
  <c r="H2904" i="1"/>
  <c r="T2904" i="1"/>
  <c r="H2882" i="1"/>
  <c r="T2882" i="1"/>
  <c r="H2860" i="1"/>
  <c r="T2860" i="1"/>
  <c r="H2838" i="1"/>
  <c r="T2838" i="1"/>
  <c r="H2816" i="1"/>
  <c r="T2816" i="1"/>
  <c r="H2794" i="1"/>
  <c r="T2794" i="1"/>
  <c r="H2772" i="1"/>
  <c r="T2772" i="1"/>
  <c r="H2750" i="1"/>
  <c r="T2750" i="1"/>
  <c r="H2728" i="1"/>
  <c r="T2728" i="1"/>
  <c r="H2706" i="1"/>
  <c r="T2706" i="1"/>
  <c r="H2684" i="1"/>
  <c r="T2684" i="1"/>
  <c r="H2662" i="1"/>
  <c r="T2662" i="1"/>
  <c r="H2640" i="1"/>
  <c r="T2640" i="1"/>
  <c r="H2618" i="1"/>
  <c r="T2618" i="1"/>
  <c r="H2596" i="1"/>
  <c r="T2596" i="1"/>
  <c r="H2574" i="1"/>
  <c r="T2574" i="1"/>
  <c r="H2552" i="1"/>
  <c r="T2552" i="1"/>
  <c r="H2530" i="1"/>
  <c r="T2530" i="1"/>
  <c r="H2508" i="1"/>
  <c r="T2508" i="1"/>
  <c r="H2486" i="1"/>
  <c r="T2486" i="1"/>
  <c r="H2464" i="1"/>
  <c r="T2464" i="1"/>
  <c r="H2442" i="1"/>
  <c r="T2442" i="1"/>
  <c r="H2420" i="1"/>
  <c r="T2420" i="1"/>
  <c r="H2398" i="1"/>
  <c r="T2398" i="1"/>
  <c r="H2376" i="1"/>
  <c r="T2376" i="1"/>
  <c r="H2354" i="1"/>
  <c r="T2354" i="1"/>
  <c r="H2332" i="1"/>
  <c r="T2332" i="1"/>
  <c r="H2310" i="1"/>
  <c r="T2310" i="1"/>
  <c r="H2288" i="1"/>
  <c r="T2288" i="1"/>
  <c r="H2266" i="1"/>
  <c r="T2266" i="1"/>
  <c r="H2244" i="1"/>
  <c r="T2244" i="1"/>
  <c r="H2222" i="1"/>
  <c r="T2222" i="1"/>
  <c r="H2200" i="1"/>
  <c r="T2200" i="1"/>
  <c r="H2178" i="1"/>
  <c r="T2178" i="1"/>
  <c r="H2156" i="1"/>
  <c r="T2156" i="1"/>
  <c r="H2134" i="1"/>
  <c r="T2134" i="1"/>
  <c r="H2112" i="1"/>
  <c r="T2112" i="1"/>
  <c r="H2090" i="1"/>
  <c r="T2090" i="1"/>
  <c r="H2068" i="1"/>
  <c r="T2068" i="1"/>
  <c r="H2046" i="1"/>
  <c r="T2046" i="1"/>
  <c r="H2024" i="1"/>
  <c r="T2024" i="1"/>
  <c r="H2002" i="1"/>
  <c r="T2002" i="1"/>
  <c r="H1980" i="1"/>
  <c r="T1980" i="1"/>
  <c r="H1958" i="1"/>
  <c r="T1958" i="1"/>
  <c r="H1936" i="1"/>
  <c r="T1936" i="1"/>
  <c r="H1914" i="1"/>
  <c r="T1914" i="1"/>
  <c r="H1892" i="1"/>
  <c r="T1892" i="1"/>
  <c r="H1870" i="1"/>
  <c r="T1870" i="1"/>
  <c r="H1848" i="1"/>
  <c r="T1848" i="1"/>
  <c r="H1804" i="1"/>
  <c r="T1804" i="1"/>
  <c r="H1782" i="1"/>
  <c r="T1782" i="1"/>
  <c r="H1672" i="1"/>
  <c r="T1672" i="1"/>
  <c r="H1628" i="1"/>
  <c r="T1628" i="1"/>
  <c r="H1584" i="1"/>
  <c r="T1584" i="1"/>
  <c r="H1562" i="1"/>
  <c r="T1562" i="1"/>
  <c r="H1518" i="1"/>
  <c r="T1518" i="1"/>
  <c r="H1496" i="1"/>
  <c r="T1496" i="1"/>
  <c r="H1474" i="1"/>
  <c r="T1474" i="1"/>
  <c r="H1408" i="1"/>
  <c r="T1408" i="1"/>
  <c r="H1386" i="1"/>
  <c r="T1386" i="1"/>
  <c r="H1364" i="1"/>
  <c r="T1364" i="1"/>
  <c r="H1342" i="1"/>
  <c r="T1342" i="1"/>
  <c r="H1320" i="1"/>
  <c r="T1320" i="1"/>
  <c r="H1298" i="1"/>
  <c r="T1298" i="1"/>
  <c r="H1232" i="1"/>
  <c r="T1232" i="1"/>
  <c r="H1144" i="1"/>
  <c r="T1144" i="1"/>
  <c r="H1122" i="1"/>
  <c r="T1122" i="1"/>
  <c r="H968" i="1"/>
  <c r="T968" i="1"/>
  <c r="H946" i="1"/>
  <c r="T946" i="1"/>
  <c r="H902" i="1"/>
  <c r="T902" i="1"/>
  <c r="H880" i="1"/>
  <c r="T880" i="1"/>
  <c r="H858" i="1"/>
  <c r="T858" i="1"/>
  <c r="H836" i="1"/>
  <c r="T836" i="1"/>
  <c r="H792" i="1"/>
  <c r="T792" i="1"/>
  <c r="H770" i="1"/>
  <c r="T770" i="1"/>
  <c r="H726" i="1"/>
  <c r="T726" i="1"/>
  <c r="H682" i="1"/>
  <c r="T682" i="1"/>
  <c r="H638" i="1"/>
  <c r="T638" i="1"/>
  <c r="H616" i="1"/>
  <c r="T616" i="1"/>
  <c r="H594" i="1"/>
  <c r="T594" i="1"/>
  <c r="H506" i="1"/>
  <c r="T506" i="1"/>
  <c r="H462" i="1"/>
  <c r="T462" i="1"/>
  <c r="H418" i="1"/>
  <c r="T418" i="1"/>
  <c r="H396" i="1"/>
  <c r="T396" i="1"/>
  <c r="H330" i="1"/>
  <c r="T330" i="1"/>
  <c r="H286" i="1"/>
  <c r="T286" i="1"/>
  <c r="H242" i="1"/>
  <c r="T242" i="1"/>
  <c r="H220" i="1"/>
  <c r="T220" i="1"/>
  <c r="H154" i="1"/>
  <c r="T154" i="1"/>
  <c r="H132" i="1"/>
  <c r="T132" i="1"/>
  <c r="H110" i="1"/>
  <c r="T110" i="1"/>
  <c r="H66" i="1"/>
  <c r="T66" i="1"/>
  <c r="H22" i="1"/>
  <c r="T22" i="1"/>
  <c r="H184" i="1"/>
  <c r="T2779" i="1"/>
  <c r="T2120" i="1"/>
  <c r="T1694" i="1"/>
  <c r="T1573" i="1"/>
  <c r="T1437" i="1"/>
  <c r="T998" i="1"/>
  <c r="T957" i="1"/>
  <c r="T822" i="1"/>
  <c r="T667" i="1"/>
  <c r="T579" i="1"/>
  <c r="T407" i="1"/>
  <c r="T117" i="1"/>
  <c r="T2378" i="1"/>
  <c r="T2290" i="1"/>
  <c r="T2004" i="1"/>
  <c r="T2884" i="1"/>
  <c r="T2796" i="1"/>
  <c r="T1740" i="1"/>
  <c r="T1696" i="1"/>
  <c r="T398" i="1"/>
  <c r="T288" i="1"/>
  <c r="T178" i="1"/>
  <c r="H2994" i="1"/>
  <c r="T2994" i="1"/>
  <c r="H2972" i="1"/>
  <c r="T2972" i="1"/>
  <c r="H2818" i="1"/>
  <c r="T2818" i="1"/>
  <c r="H2664" i="1"/>
  <c r="T2664" i="1"/>
  <c r="H2598" i="1"/>
  <c r="T2598" i="1"/>
  <c r="H2576" i="1"/>
  <c r="T2576" i="1"/>
  <c r="H2488" i="1"/>
  <c r="T2488" i="1"/>
  <c r="H2334" i="1"/>
  <c r="T2334" i="1"/>
  <c r="H2312" i="1"/>
  <c r="T2312" i="1"/>
  <c r="H2158" i="1"/>
  <c r="T2158" i="1"/>
  <c r="H2114" i="1"/>
  <c r="T2114" i="1"/>
  <c r="H2092" i="1"/>
  <c r="T2092" i="1"/>
  <c r="H1982" i="1"/>
  <c r="T1982" i="1"/>
  <c r="H1850" i="1"/>
  <c r="T1850" i="1"/>
  <c r="H1806" i="1"/>
  <c r="T1806" i="1"/>
  <c r="H1762" i="1"/>
  <c r="T1762" i="1"/>
  <c r="H1674" i="1"/>
  <c r="T1674" i="1"/>
  <c r="H1652" i="1"/>
  <c r="T1652" i="1"/>
  <c r="H1586" i="1"/>
  <c r="T1586" i="1"/>
  <c r="H1498" i="1"/>
  <c r="T1498" i="1"/>
  <c r="H1476" i="1"/>
  <c r="T1476" i="1"/>
  <c r="H1432" i="1"/>
  <c r="T1432" i="1"/>
  <c r="H1410" i="1"/>
  <c r="T1410" i="1"/>
  <c r="H1322" i="1"/>
  <c r="T1322" i="1"/>
  <c r="H1300" i="1"/>
  <c r="T1300" i="1"/>
  <c r="H1234" i="1"/>
  <c r="T1234" i="1"/>
  <c r="H1146" i="1"/>
  <c r="T1146" i="1"/>
  <c r="H1058" i="1"/>
  <c r="T1058" i="1"/>
  <c r="H992" i="1"/>
  <c r="T992" i="1"/>
  <c r="H948" i="1"/>
  <c r="T948" i="1"/>
  <c r="H926" i="1"/>
  <c r="T926" i="1"/>
  <c r="H816" i="1"/>
  <c r="T816" i="1"/>
  <c r="H772" i="1"/>
  <c r="T772" i="1"/>
  <c r="H706" i="1"/>
  <c r="T706" i="1"/>
  <c r="H640" i="1"/>
  <c r="T640" i="1"/>
  <c r="H596" i="1"/>
  <c r="T596" i="1"/>
  <c r="H530" i="1"/>
  <c r="T530" i="1"/>
  <c r="H486" i="1"/>
  <c r="T486" i="1"/>
  <c r="H464" i="1"/>
  <c r="T464" i="1"/>
  <c r="H442" i="1"/>
  <c r="T442" i="1"/>
  <c r="H420" i="1"/>
  <c r="T420" i="1"/>
  <c r="H332" i="1"/>
  <c r="T332" i="1"/>
  <c r="H310" i="1"/>
  <c r="T310" i="1"/>
  <c r="H244" i="1"/>
  <c r="T244" i="1"/>
  <c r="H156" i="1"/>
  <c r="T156" i="1"/>
  <c r="H68" i="1"/>
  <c r="T68" i="1"/>
  <c r="H24" i="1"/>
  <c r="T24" i="1"/>
  <c r="T2730" i="1"/>
  <c r="T2554" i="1"/>
  <c r="T1872" i="1"/>
  <c r="T1014" i="1"/>
  <c r="T794" i="1"/>
  <c r="T574" i="1"/>
  <c r="H1831" i="1"/>
  <c r="T1831" i="1"/>
  <c r="H1655" i="1"/>
  <c r="T1655" i="1"/>
  <c r="H1501" i="1"/>
  <c r="T1501" i="1"/>
  <c r="H1479" i="1"/>
  <c r="T1479" i="1"/>
  <c r="H1457" i="1"/>
  <c r="T1457" i="1"/>
  <c r="H1325" i="1"/>
  <c r="T1325" i="1"/>
  <c r="H1171" i="1"/>
  <c r="T1171" i="1"/>
  <c r="H995" i="1"/>
  <c r="T995" i="1"/>
  <c r="H973" i="1"/>
  <c r="T973" i="1"/>
  <c r="H819" i="1"/>
  <c r="T819" i="1"/>
  <c r="H665" i="1"/>
  <c r="T665" i="1"/>
  <c r="H511" i="1"/>
  <c r="T511" i="1"/>
  <c r="H489" i="1"/>
  <c r="T489" i="1"/>
  <c r="H335" i="1"/>
  <c r="T335" i="1"/>
  <c r="H159" i="1"/>
  <c r="T159" i="1"/>
  <c r="H27" i="1"/>
  <c r="T27" i="1"/>
  <c r="H5" i="1"/>
  <c r="T5" i="1"/>
  <c r="T2007" i="1"/>
  <c r="T1150" i="1"/>
  <c r="T533" i="1"/>
  <c r="H2644" i="1"/>
  <c r="T2644" i="1"/>
  <c r="H2622" i="1"/>
  <c r="T2622" i="1"/>
  <c r="H2160" i="1"/>
  <c r="T2160" i="1"/>
  <c r="H2138" i="1"/>
  <c r="T2138" i="1"/>
  <c r="H1654" i="1"/>
  <c r="T1654" i="1"/>
  <c r="H1500" i="1"/>
  <c r="T1500" i="1"/>
  <c r="H1456" i="1"/>
  <c r="T1456" i="1"/>
  <c r="H1434" i="1"/>
  <c r="T1434" i="1"/>
  <c r="H1324" i="1"/>
  <c r="T1324" i="1"/>
  <c r="H1148" i="1"/>
  <c r="T1148" i="1"/>
  <c r="H994" i="1"/>
  <c r="T994" i="1"/>
  <c r="H972" i="1"/>
  <c r="T972" i="1"/>
  <c r="H950" i="1"/>
  <c r="T950" i="1"/>
  <c r="H818" i="1"/>
  <c r="T818" i="1"/>
  <c r="H664" i="1"/>
  <c r="T664" i="1"/>
  <c r="H488" i="1"/>
  <c r="T488" i="1"/>
  <c r="H466" i="1"/>
  <c r="T466" i="1"/>
  <c r="H312" i="1"/>
  <c r="T312" i="1"/>
  <c r="H158" i="1"/>
  <c r="T158" i="1"/>
  <c r="H4" i="1"/>
  <c r="T4" i="1"/>
  <c r="T2995" i="1"/>
  <c r="T2842" i="1"/>
  <c r="T2689" i="1"/>
  <c r="T2513" i="1"/>
  <c r="T2360" i="1"/>
  <c r="T2335" i="1"/>
  <c r="T2182" i="1"/>
  <c r="T2006" i="1"/>
  <c r="T1875" i="1"/>
  <c r="T1524" i="1"/>
  <c r="T1149" i="1"/>
  <c r="T885" i="1"/>
  <c r="T798" i="1"/>
  <c r="T708" i="1"/>
  <c r="T622" i="1"/>
  <c r="T532" i="1"/>
  <c r="H2690" i="1"/>
  <c r="T2690" i="1"/>
  <c r="H2668" i="1"/>
  <c r="T2668" i="1"/>
  <c r="H2206" i="1"/>
  <c r="T2206" i="1"/>
  <c r="H2184" i="1"/>
  <c r="T2184" i="1"/>
  <c r="H1832" i="1"/>
  <c r="T1832" i="1"/>
  <c r="H1678" i="1"/>
  <c r="T1678" i="1"/>
  <c r="H1502" i="1"/>
  <c r="T1502" i="1"/>
  <c r="H1480" i="1"/>
  <c r="T1480" i="1"/>
  <c r="H1326" i="1"/>
  <c r="T1326" i="1"/>
  <c r="H1172" i="1"/>
  <c r="T1172" i="1"/>
  <c r="H1018" i="1"/>
  <c r="T1018" i="1"/>
  <c r="H996" i="1"/>
  <c r="T996" i="1"/>
  <c r="H842" i="1"/>
  <c r="T842" i="1"/>
  <c r="H666" i="1"/>
  <c r="T666" i="1"/>
  <c r="H534" i="1"/>
  <c r="T534" i="1"/>
  <c r="H512" i="1"/>
  <c r="T512" i="1"/>
  <c r="H490" i="1"/>
  <c r="T490" i="1"/>
  <c r="H336" i="1"/>
  <c r="T336" i="1"/>
  <c r="H182" i="1"/>
  <c r="T182" i="1"/>
  <c r="H50" i="1"/>
  <c r="T50" i="1"/>
  <c r="H28" i="1"/>
  <c r="T28" i="1"/>
  <c r="H6" i="1"/>
  <c r="T6" i="1"/>
  <c r="T2844" i="1"/>
  <c r="T2008" i="1"/>
  <c r="T710" i="1"/>
  <c r="H2667" i="1"/>
  <c r="T2667" i="1"/>
  <c r="H2645" i="1"/>
  <c r="T2645" i="1"/>
  <c r="H2183" i="1"/>
  <c r="T2183" i="1"/>
  <c r="H2161" i="1"/>
  <c r="T2161" i="1"/>
  <c r="T2843" i="1"/>
  <c r="T2514" i="1"/>
  <c r="T1876" i="1"/>
  <c r="T886" i="1"/>
  <c r="T709" i="1"/>
  <c r="H2621" i="1"/>
  <c r="T2621" i="1"/>
  <c r="H2599" i="1"/>
  <c r="T2599" i="1"/>
  <c r="H2137" i="1"/>
  <c r="T2137" i="1"/>
  <c r="H2115" i="1"/>
  <c r="T2115" i="1"/>
  <c r="H1851" i="1"/>
  <c r="T1851" i="1"/>
  <c r="H1829" i="1"/>
  <c r="T1829" i="1"/>
  <c r="H1807" i="1"/>
  <c r="T1807" i="1"/>
  <c r="H1785" i="1"/>
  <c r="T1785" i="1"/>
  <c r="H1763" i="1"/>
  <c r="T1763" i="1"/>
  <c r="H1741" i="1"/>
  <c r="T1741" i="1"/>
  <c r="H1719" i="1"/>
  <c r="T1719" i="1"/>
  <c r="H1697" i="1"/>
  <c r="T1697" i="1"/>
  <c r="H1675" i="1"/>
  <c r="T1675" i="1"/>
  <c r="H1653" i="1"/>
  <c r="T1653" i="1"/>
  <c r="H1631" i="1"/>
  <c r="T1631" i="1"/>
  <c r="H1609" i="1"/>
  <c r="T1609" i="1"/>
  <c r="H1587" i="1"/>
  <c r="T1587" i="1"/>
  <c r="H1565" i="1"/>
  <c r="T1565" i="1"/>
  <c r="H1543" i="1"/>
  <c r="T1543" i="1"/>
  <c r="H1521" i="1"/>
  <c r="T1521" i="1"/>
  <c r="H1499" i="1"/>
  <c r="T1499" i="1"/>
  <c r="H1477" i="1"/>
  <c r="T1477" i="1"/>
  <c r="H1455" i="1"/>
  <c r="T1455" i="1"/>
  <c r="H1433" i="1"/>
  <c r="T1433" i="1"/>
  <c r="H1411" i="1"/>
  <c r="T1411" i="1"/>
  <c r="H1389" i="1"/>
  <c r="T1389" i="1"/>
  <c r="H1367" i="1"/>
  <c r="T1367" i="1"/>
  <c r="H1345" i="1"/>
  <c r="T1345" i="1"/>
  <c r="H1323" i="1"/>
  <c r="T1323" i="1"/>
  <c r="H1301" i="1"/>
  <c r="T1301" i="1"/>
  <c r="H1279" i="1"/>
  <c r="T1279" i="1"/>
  <c r="H1257" i="1"/>
  <c r="T1257" i="1"/>
  <c r="H1235" i="1"/>
  <c r="T1235" i="1"/>
  <c r="H1213" i="1"/>
  <c r="T1213" i="1"/>
  <c r="H1191" i="1"/>
  <c r="T1191" i="1"/>
  <c r="H1169" i="1"/>
  <c r="T1169" i="1"/>
  <c r="H1147" i="1"/>
  <c r="T1147" i="1"/>
  <c r="H1125" i="1"/>
  <c r="T1125" i="1"/>
  <c r="H1103" i="1"/>
  <c r="T1103" i="1"/>
  <c r="H1081" i="1"/>
  <c r="T1081" i="1"/>
  <c r="H1059" i="1"/>
  <c r="T1059" i="1"/>
  <c r="H1037" i="1"/>
  <c r="T1037" i="1"/>
  <c r="H1015" i="1"/>
  <c r="T1015" i="1"/>
  <c r="H993" i="1"/>
  <c r="T993" i="1"/>
  <c r="H971" i="1"/>
  <c r="T971" i="1"/>
  <c r="H949" i="1"/>
  <c r="T949" i="1"/>
  <c r="H927" i="1"/>
  <c r="T927" i="1"/>
  <c r="H905" i="1"/>
  <c r="T905" i="1"/>
  <c r="H883" i="1"/>
  <c r="T883" i="1"/>
  <c r="H861" i="1"/>
  <c r="T861" i="1"/>
  <c r="H839" i="1"/>
  <c r="T839" i="1"/>
  <c r="H817" i="1"/>
  <c r="T817" i="1"/>
  <c r="H795" i="1"/>
  <c r="T795" i="1"/>
  <c r="H773" i="1"/>
  <c r="T773" i="1"/>
  <c r="H751" i="1"/>
  <c r="T751" i="1"/>
  <c r="H729" i="1"/>
  <c r="T729" i="1"/>
  <c r="H707" i="1"/>
  <c r="T707" i="1"/>
  <c r="H685" i="1"/>
  <c r="T685" i="1"/>
  <c r="H663" i="1"/>
  <c r="T663" i="1"/>
  <c r="H641" i="1"/>
  <c r="T641" i="1"/>
  <c r="H619" i="1"/>
  <c r="T619" i="1"/>
  <c r="H597" i="1"/>
  <c r="T597" i="1"/>
  <c r="H575" i="1"/>
  <c r="T575" i="1"/>
  <c r="H553" i="1"/>
  <c r="T553" i="1"/>
  <c r="H531" i="1"/>
  <c r="T531" i="1"/>
  <c r="H509" i="1"/>
  <c r="T509" i="1"/>
  <c r="H487" i="1"/>
  <c r="T487" i="1"/>
  <c r="H465" i="1"/>
  <c r="T465" i="1"/>
  <c r="H443" i="1"/>
  <c r="T443" i="1"/>
  <c r="H421" i="1"/>
  <c r="T421" i="1"/>
  <c r="H399" i="1"/>
  <c r="T399" i="1"/>
  <c r="H377" i="1"/>
  <c r="T377" i="1"/>
  <c r="H355" i="1"/>
  <c r="T355" i="1"/>
  <c r="H333" i="1"/>
  <c r="T333" i="1"/>
  <c r="H311" i="1"/>
  <c r="T311" i="1"/>
  <c r="H289" i="1"/>
  <c r="T289" i="1"/>
  <c r="H267" i="1"/>
  <c r="T267" i="1"/>
  <c r="H245" i="1"/>
  <c r="T245" i="1"/>
  <c r="H223" i="1"/>
  <c r="T223" i="1"/>
  <c r="H201" i="1"/>
  <c r="T201" i="1"/>
  <c r="H179" i="1"/>
  <c r="T179" i="1"/>
  <c r="H157" i="1"/>
  <c r="T157" i="1"/>
  <c r="H135" i="1"/>
  <c r="T135" i="1"/>
  <c r="H113" i="1"/>
  <c r="T113" i="1"/>
  <c r="H91" i="1"/>
  <c r="T91" i="1"/>
  <c r="H69" i="1"/>
  <c r="T69" i="1"/>
  <c r="H47" i="1"/>
  <c r="T47" i="1"/>
  <c r="H25" i="1"/>
  <c r="T25" i="1"/>
  <c r="H3" i="1"/>
  <c r="T3" i="1"/>
  <c r="T2866" i="1"/>
  <c r="T2841" i="1"/>
  <c r="T2688" i="1"/>
  <c r="T2512" i="1"/>
  <c r="T2359" i="1"/>
  <c r="T2181" i="1"/>
  <c r="T2030" i="1"/>
  <c r="T2005" i="1"/>
  <c r="T1874" i="1"/>
  <c r="T1700" i="1"/>
  <c r="T1523" i="1"/>
  <c r="T974" i="1"/>
  <c r="T884" i="1"/>
  <c r="T797" i="1"/>
  <c r="T621" i="1"/>
  <c r="T358" i="1"/>
  <c r="T181" i="1"/>
  <c r="T94" i="1"/>
  <c r="H1594" i="1"/>
  <c r="T1594" i="1"/>
  <c r="H1572" i="1"/>
  <c r="T1572" i="1"/>
  <c r="H1110" i="1"/>
  <c r="T1110" i="1"/>
  <c r="H1088" i="1"/>
  <c r="T1088" i="1"/>
  <c r="H604" i="1"/>
  <c r="T604" i="1"/>
  <c r="H142" i="1"/>
  <c r="T142" i="1"/>
  <c r="H120" i="1"/>
  <c r="T120" i="1"/>
  <c r="H2253" i="1"/>
  <c r="T2760" i="1"/>
  <c r="T2737" i="1"/>
  <c r="T2276" i="1"/>
  <c r="T1857" i="1"/>
  <c r="T1704" i="1"/>
  <c r="T1528" i="1"/>
  <c r="T1197" i="1"/>
  <c r="T1021" i="1"/>
  <c r="T868" i="1"/>
  <c r="T361" i="1"/>
  <c r="T208" i="1"/>
  <c r="T32" i="1"/>
  <c r="H1571" i="1"/>
  <c r="T1571" i="1"/>
  <c r="H1549" i="1"/>
  <c r="T1549" i="1"/>
  <c r="H1087" i="1"/>
  <c r="T1087" i="1"/>
  <c r="H603" i="1"/>
  <c r="T603" i="1"/>
  <c r="H581" i="1"/>
  <c r="T581" i="1"/>
  <c r="H119" i="1"/>
  <c r="T119" i="1"/>
  <c r="H97" i="1"/>
  <c r="T97" i="1"/>
  <c r="T2782" i="1"/>
  <c r="T2759" i="1"/>
  <c r="T2298" i="1"/>
  <c r="T2275" i="1"/>
  <c r="T1880" i="1"/>
  <c r="T1527" i="1"/>
  <c r="T867" i="1"/>
  <c r="T714" i="1"/>
  <c r="T538" i="1"/>
  <c r="T207" i="1"/>
  <c r="T31" i="1"/>
</calcChain>
</file>

<file path=xl/sharedStrings.xml><?xml version="1.0" encoding="utf-8"?>
<sst xmlns="http://schemas.openxmlformats.org/spreadsheetml/2006/main" count="20999" uniqueCount="3044">
  <si>
    <t>Price</t>
  </si>
  <si>
    <t>City</t>
  </si>
  <si>
    <t>Zipcode</t>
  </si>
  <si>
    <t>State</t>
  </si>
  <si>
    <t>Bedrooms</t>
  </si>
  <si>
    <t>Bathrooms</t>
  </si>
  <si>
    <t>Year Built</t>
  </si>
  <si>
    <t>Days on Market</t>
  </si>
  <si>
    <t>Property Type</t>
  </si>
  <si>
    <t>MLS ID</t>
  </si>
  <si>
    <t>Listing Agent</t>
  </si>
  <si>
    <t>Status</t>
  </si>
  <si>
    <t>San Diego</t>
  </si>
  <si>
    <t>CA</t>
  </si>
  <si>
    <t>Townhouse</t>
  </si>
  <si>
    <t>Z104635</t>
  </si>
  <si>
    <t>For Sale</t>
  </si>
  <si>
    <t>Fresno</t>
  </si>
  <si>
    <t>IL</t>
  </si>
  <si>
    <t>Apartment</t>
  </si>
  <si>
    <t>Z535721</t>
  </si>
  <si>
    <t>Sold</t>
  </si>
  <si>
    <t>Sacramento</t>
  </si>
  <si>
    <t>TX</t>
  </si>
  <si>
    <t>Z900458</t>
  </si>
  <si>
    <t>Z318589</t>
  </si>
  <si>
    <t>Pending</t>
  </si>
  <si>
    <t>Los Angeles</t>
  </si>
  <si>
    <t>Z899716</t>
  </si>
  <si>
    <t>NY</t>
  </si>
  <si>
    <t>Multi-Family</t>
  </si>
  <si>
    <t>Z865468</t>
  </si>
  <si>
    <t>Z689873</t>
  </si>
  <si>
    <t>Z329631</t>
  </si>
  <si>
    <t>San Francisco</t>
  </si>
  <si>
    <t>FL</t>
  </si>
  <si>
    <t>Z839936</t>
  </si>
  <si>
    <t>Z264011</t>
  </si>
  <si>
    <t>Z298501</t>
  </si>
  <si>
    <t>Z282442</t>
  </si>
  <si>
    <t>Condo</t>
  </si>
  <si>
    <t>Z855977</t>
  </si>
  <si>
    <t>Z166677</t>
  </si>
  <si>
    <t>Z751795</t>
  </si>
  <si>
    <t>Z325594</t>
  </si>
  <si>
    <t>Z502987</t>
  </si>
  <si>
    <t>Z726231</t>
  </si>
  <si>
    <t>Z302684</t>
  </si>
  <si>
    <t>Z879412</t>
  </si>
  <si>
    <t>Z433130</t>
  </si>
  <si>
    <t>Z835234</t>
  </si>
  <si>
    <t>Z310222</t>
  </si>
  <si>
    <t>Single Family</t>
  </si>
  <si>
    <t>Z166756</t>
  </si>
  <si>
    <t>Z574837</t>
  </si>
  <si>
    <t>Z227123</t>
  </si>
  <si>
    <t>Z964910</t>
  </si>
  <si>
    <t>Z275900</t>
  </si>
  <si>
    <t>Z313548</t>
  </si>
  <si>
    <t>Z747104</t>
  </si>
  <si>
    <t>Z131077</t>
  </si>
  <si>
    <t>Z713668</t>
  </si>
  <si>
    <t>Z221816</t>
  </si>
  <si>
    <t>Z231590</t>
  </si>
  <si>
    <t>Z326594</t>
  </si>
  <si>
    <t>Z651394</t>
  </si>
  <si>
    <t>Z163650</t>
  </si>
  <si>
    <t>Z669827</t>
  </si>
  <si>
    <t>Z730220</t>
  </si>
  <si>
    <t>Z599881</t>
  </si>
  <si>
    <t>Z483947</t>
  </si>
  <si>
    <t>Z136454</t>
  </si>
  <si>
    <t>Z337688</t>
  </si>
  <si>
    <t>Z830009</t>
  </si>
  <si>
    <t>Z946321</t>
  </si>
  <si>
    <t>Z966437</t>
  </si>
  <si>
    <t>Z939241</t>
  </si>
  <si>
    <t>Z390811</t>
  </si>
  <si>
    <t>Z300717</t>
  </si>
  <si>
    <t>Z980388</t>
  </si>
  <si>
    <t>Z133221</t>
  </si>
  <si>
    <t>Z145933</t>
  </si>
  <si>
    <t>Z362904</t>
  </si>
  <si>
    <t>Z764655</t>
  </si>
  <si>
    <t>Z140940</t>
  </si>
  <si>
    <t>Z995727</t>
  </si>
  <si>
    <t>Z348439</t>
  </si>
  <si>
    <t>Z524275</t>
  </si>
  <si>
    <t>Z390055</t>
  </si>
  <si>
    <t>Z262315</t>
  </si>
  <si>
    <t>Z855466</t>
  </si>
  <si>
    <t>Z679889</t>
  </si>
  <si>
    <t>Z742779</t>
  </si>
  <si>
    <t>Z816201</t>
  </si>
  <si>
    <t>Z524082</t>
  </si>
  <si>
    <t>Z448583</t>
  </si>
  <si>
    <t>Z235580</t>
  </si>
  <si>
    <t>Z989654</t>
  </si>
  <si>
    <t>Z620042</t>
  </si>
  <si>
    <t>Z449768</t>
  </si>
  <si>
    <t>Z738821</t>
  </si>
  <si>
    <t>Z328126</t>
  </si>
  <si>
    <t>Z193241</t>
  </si>
  <si>
    <t>Z142018</t>
  </si>
  <si>
    <t>Z997581</t>
  </si>
  <si>
    <t>Z763768</t>
  </si>
  <si>
    <t>Z869944</t>
  </si>
  <si>
    <t>Z148977</t>
  </si>
  <si>
    <t>Z842773</t>
  </si>
  <si>
    <t>Z318081</t>
  </si>
  <si>
    <t>Z397159</t>
  </si>
  <si>
    <t>Z977398</t>
  </si>
  <si>
    <t>Z684717</t>
  </si>
  <si>
    <t>Z233641</t>
  </si>
  <si>
    <t>Z290319</t>
  </si>
  <si>
    <t>Z231870</t>
  </si>
  <si>
    <t>Z682312</t>
  </si>
  <si>
    <t>Z339506</t>
  </si>
  <si>
    <t>Z394602</t>
  </si>
  <si>
    <t>Z234529</t>
  </si>
  <si>
    <t>Z164322</t>
  </si>
  <si>
    <t>Z301609</t>
  </si>
  <si>
    <t>Z564259</t>
  </si>
  <si>
    <t>Z638431</t>
  </si>
  <si>
    <t>Z162140</t>
  </si>
  <si>
    <t>Z931659</t>
  </si>
  <si>
    <t>Z817902</t>
  </si>
  <si>
    <t>Z525763</t>
  </si>
  <si>
    <t>Z342636</t>
  </si>
  <si>
    <t>Z717722</t>
  </si>
  <si>
    <t>Z643800</t>
  </si>
  <si>
    <t>Z112914</t>
  </si>
  <si>
    <t>Z789934</t>
  </si>
  <si>
    <t>Z833664</t>
  </si>
  <si>
    <t>Z496728</t>
  </si>
  <si>
    <t>Z994774</t>
  </si>
  <si>
    <t>Z780138</t>
  </si>
  <si>
    <t>Z538065</t>
  </si>
  <si>
    <t>Z390085</t>
  </si>
  <si>
    <t>Z390961</t>
  </si>
  <si>
    <t>Z779303</t>
  </si>
  <si>
    <t>Z587830</t>
  </si>
  <si>
    <t>Z685882</t>
  </si>
  <si>
    <t>Z451420</t>
  </si>
  <si>
    <t>Z599335</t>
  </si>
  <si>
    <t>Z899336</t>
  </si>
  <si>
    <t>Z161703</t>
  </si>
  <si>
    <t>Z865226</t>
  </si>
  <si>
    <t>Z667921</t>
  </si>
  <si>
    <t>Z585705</t>
  </si>
  <si>
    <t>Z917501</t>
  </si>
  <si>
    <t>Z634496</t>
  </si>
  <si>
    <t>Z463975</t>
  </si>
  <si>
    <t>Z359735</t>
  </si>
  <si>
    <t>Z406763</t>
  </si>
  <si>
    <t>Z389002</t>
  </si>
  <si>
    <t>Z862980</t>
  </si>
  <si>
    <t>Z214122</t>
  </si>
  <si>
    <t>Z258075</t>
  </si>
  <si>
    <t>Z805629</t>
  </si>
  <si>
    <t>Z516300</t>
  </si>
  <si>
    <t>Z658626</t>
  </si>
  <si>
    <t>Z501809</t>
  </si>
  <si>
    <t>Z183363</t>
  </si>
  <si>
    <t>Z577065</t>
  </si>
  <si>
    <t>Z683856</t>
  </si>
  <si>
    <t>Z284002</t>
  </si>
  <si>
    <t>Z121731</t>
  </si>
  <si>
    <t>Z238874</t>
  </si>
  <si>
    <t>Z175452</t>
  </si>
  <si>
    <t>Z266179</t>
  </si>
  <si>
    <t>Z187704</t>
  </si>
  <si>
    <t>Z196514</t>
  </si>
  <si>
    <t>Z255382</t>
  </si>
  <si>
    <t>Z263730</t>
  </si>
  <si>
    <t>Z696107</t>
  </si>
  <si>
    <t>Z864815</t>
  </si>
  <si>
    <t>Z646579</t>
  </si>
  <si>
    <t>Z416621</t>
  </si>
  <si>
    <t>Z935760</t>
  </si>
  <si>
    <t>Z570340</t>
  </si>
  <si>
    <t>Z974190</t>
  </si>
  <si>
    <t>Z676423</t>
  </si>
  <si>
    <t>Z462158</t>
  </si>
  <si>
    <t>Z309599</t>
  </si>
  <si>
    <t>Z297205</t>
  </si>
  <si>
    <t>Z470152</t>
  </si>
  <si>
    <t>Z985415</t>
  </si>
  <si>
    <t>Z776273</t>
  </si>
  <si>
    <t>Z243082</t>
  </si>
  <si>
    <t>Z570437</t>
  </si>
  <si>
    <t>Z746198</t>
  </si>
  <si>
    <t>Z870749</t>
  </si>
  <si>
    <t>Z177113</t>
  </si>
  <si>
    <t>Z119856</t>
  </si>
  <si>
    <t>Z379606</t>
  </si>
  <si>
    <t>Z689755</t>
  </si>
  <si>
    <t>Z371880</t>
  </si>
  <si>
    <t>Z262829</t>
  </si>
  <si>
    <t>Z656060</t>
  </si>
  <si>
    <t>Z962395</t>
  </si>
  <si>
    <t>Z921723</t>
  </si>
  <si>
    <t>Z936998</t>
  </si>
  <si>
    <t>Z988784</t>
  </si>
  <si>
    <t>Z814879</t>
  </si>
  <si>
    <t>Z950492</t>
  </si>
  <si>
    <t>Z765326</t>
  </si>
  <si>
    <t>Z944020</t>
  </si>
  <si>
    <t>Z898311</t>
  </si>
  <si>
    <t>Z842333</t>
  </si>
  <si>
    <t>Z384988</t>
  </si>
  <si>
    <t>Z107372</t>
  </si>
  <si>
    <t>Z232920</t>
  </si>
  <si>
    <t>Z972091</t>
  </si>
  <si>
    <t>Z528745</t>
  </si>
  <si>
    <t>Z376339</t>
  </si>
  <si>
    <t>Z110411</t>
  </si>
  <si>
    <t>Z116849</t>
  </si>
  <si>
    <t>Z657215</t>
  </si>
  <si>
    <t>Z102238</t>
  </si>
  <si>
    <t>Z322685</t>
  </si>
  <si>
    <t>Z272372</t>
  </si>
  <si>
    <t>Z573946</t>
  </si>
  <si>
    <t>Z336937</t>
  </si>
  <si>
    <t>Z638010</t>
  </si>
  <si>
    <t>Z515422</t>
  </si>
  <si>
    <t>Z118418</t>
  </si>
  <si>
    <t>Z147878</t>
  </si>
  <si>
    <t>Z912413</t>
  </si>
  <si>
    <t>Z877306</t>
  </si>
  <si>
    <t>Z651375</t>
  </si>
  <si>
    <t>Z893394</t>
  </si>
  <si>
    <t>Z408115</t>
  </si>
  <si>
    <t>Z307664</t>
  </si>
  <si>
    <t>Z540795</t>
  </si>
  <si>
    <t>Z358205</t>
  </si>
  <si>
    <t>Z154957</t>
  </si>
  <si>
    <t>Z384719</t>
  </si>
  <si>
    <t>Z903323</t>
  </si>
  <si>
    <t>Z767438</t>
  </si>
  <si>
    <t>Z683490</t>
  </si>
  <si>
    <t>Z848050</t>
  </si>
  <si>
    <t>Z281083</t>
  </si>
  <si>
    <t>Z125003</t>
  </si>
  <si>
    <t>Z825915</t>
  </si>
  <si>
    <t>Z540956</t>
  </si>
  <si>
    <t>Z723909</t>
  </si>
  <si>
    <t>Z724741</t>
  </si>
  <si>
    <t>Z314343</t>
  </si>
  <si>
    <t>Z209789</t>
  </si>
  <si>
    <t>Z999964</t>
  </si>
  <si>
    <t>Z739678</t>
  </si>
  <si>
    <t>Z378952</t>
  </si>
  <si>
    <t>Z965755</t>
  </si>
  <si>
    <t>Z374124</t>
  </si>
  <si>
    <t>Z856614</t>
  </si>
  <si>
    <t>Z799381</t>
  </si>
  <si>
    <t>Z119872</t>
  </si>
  <si>
    <t>Z165689</t>
  </si>
  <si>
    <t>Z289935</t>
  </si>
  <si>
    <t>Z967602</t>
  </si>
  <si>
    <t>Z515391</t>
  </si>
  <si>
    <t>Z659893</t>
  </si>
  <si>
    <t>Z819742</t>
  </si>
  <si>
    <t>Z525928</t>
  </si>
  <si>
    <t>Z312018</t>
  </si>
  <si>
    <t>Z834095</t>
  </si>
  <si>
    <t>Z906426</t>
  </si>
  <si>
    <t>Z566056</t>
  </si>
  <si>
    <t>Z439388</t>
  </si>
  <si>
    <t>Z661992</t>
  </si>
  <si>
    <t>Z402448</t>
  </si>
  <si>
    <t>Z806877</t>
  </si>
  <si>
    <t>Z165146</t>
  </si>
  <si>
    <t>Z234211</t>
  </si>
  <si>
    <t>Z701098</t>
  </si>
  <si>
    <t>Z932333</t>
  </si>
  <si>
    <t>Z597871</t>
  </si>
  <si>
    <t>Z604384</t>
  </si>
  <si>
    <t>Z771228</t>
  </si>
  <si>
    <t>Z877499</t>
  </si>
  <si>
    <t>Z243021</t>
  </si>
  <si>
    <t>Z706747</t>
  </si>
  <si>
    <t>Z396035</t>
  </si>
  <si>
    <t>Z588790</t>
  </si>
  <si>
    <t>Z258554</t>
  </si>
  <si>
    <t>Z250306</t>
  </si>
  <si>
    <t>Z576755</t>
  </si>
  <si>
    <t>Z132195</t>
  </si>
  <si>
    <t>Z245402</t>
  </si>
  <si>
    <t>Z244022</t>
  </si>
  <si>
    <t>Z110431</t>
  </si>
  <si>
    <t>Z833635</t>
  </si>
  <si>
    <t>Z555531</t>
  </si>
  <si>
    <t>Z355318</t>
  </si>
  <si>
    <t>Z185469</t>
  </si>
  <si>
    <t>Z311877</t>
  </si>
  <si>
    <t>Z231335</t>
  </si>
  <si>
    <t>Z386035</t>
  </si>
  <si>
    <t>Z762393</t>
  </si>
  <si>
    <t>Z496236</t>
  </si>
  <si>
    <t>Z198021</t>
  </si>
  <si>
    <t>Z617531</t>
  </si>
  <si>
    <t>Z328755</t>
  </si>
  <si>
    <t>Z967843</t>
  </si>
  <si>
    <t>Z812378</t>
  </si>
  <si>
    <t>Z588255</t>
  </si>
  <si>
    <t>Z158637</t>
  </si>
  <si>
    <t>Z902537</t>
  </si>
  <si>
    <t>Z684839</t>
  </si>
  <si>
    <t>Z489649</t>
  </si>
  <si>
    <t>Z797213</t>
  </si>
  <si>
    <t>Z438657</t>
  </si>
  <si>
    <t>Z961917</t>
  </si>
  <si>
    <t>Z846365</t>
  </si>
  <si>
    <t>Z760671</t>
  </si>
  <si>
    <t>Z689262</t>
  </si>
  <si>
    <t>Z667089</t>
  </si>
  <si>
    <t>Z754711</t>
  </si>
  <si>
    <t>Z305142</t>
  </si>
  <si>
    <t>Z752665</t>
  </si>
  <si>
    <t>Z545472</t>
  </si>
  <si>
    <t>Z204328</t>
  </si>
  <si>
    <t>Z669376</t>
  </si>
  <si>
    <t>Z270133</t>
  </si>
  <si>
    <t>Z619633</t>
  </si>
  <si>
    <t>Z524598</t>
  </si>
  <si>
    <t>Z586918</t>
  </si>
  <si>
    <t>Z786131</t>
  </si>
  <si>
    <t>Z351405</t>
  </si>
  <si>
    <t>Z847985</t>
  </si>
  <si>
    <t>Z772577</t>
  </si>
  <si>
    <t>Z191723</t>
  </si>
  <si>
    <t>Z149453</t>
  </si>
  <si>
    <t>Z294707</t>
  </si>
  <si>
    <t>Z259320</t>
  </si>
  <si>
    <t>Z370507</t>
  </si>
  <si>
    <t>Z693708</t>
  </si>
  <si>
    <t>Z142183</t>
  </si>
  <si>
    <t>Z440422</t>
  </si>
  <si>
    <t>Z679853</t>
  </si>
  <si>
    <t>Z611354</t>
  </si>
  <si>
    <t>Z348110</t>
  </si>
  <si>
    <t>Z873927</t>
  </si>
  <si>
    <t>Z820094</t>
  </si>
  <si>
    <t>Z825709</t>
  </si>
  <si>
    <t>Z847613</t>
  </si>
  <si>
    <t>Z788934</t>
  </si>
  <si>
    <t>Z991301</t>
  </si>
  <si>
    <t>Z358313</t>
  </si>
  <si>
    <t>Z429230</t>
  </si>
  <si>
    <t>Z756126</t>
  </si>
  <si>
    <t>Z395167</t>
  </si>
  <si>
    <t>Z119727</t>
  </si>
  <si>
    <t>Z155128</t>
  </si>
  <si>
    <t>Z731935</t>
  </si>
  <si>
    <t>Z172786</t>
  </si>
  <si>
    <t>Z398847</t>
  </si>
  <si>
    <t>Z881907</t>
  </si>
  <si>
    <t>Z507135</t>
  </si>
  <si>
    <t>Z128562</t>
  </si>
  <si>
    <t>Z299863</t>
  </si>
  <si>
    <t>Z551193</t>
  </si>
  <si>
    <t>Z359502</t>
  </si>
  <si>
    <t>Z475563</t>
  </si>
  <si>
    <t>Z175247</t>
  </si>
  <si>
    <t>Z448704</t>
  </si>
  <si>
    <t>Z470769</t>
  </si>
  <si>
    <t>Z182090</t>
  </si>
  <si>
    <t>Z167293</t>
  </si>
  <si>
    <t>Z818762</t>
  </si>
  <si>
    <t>Z644355</t>
  </si>
  <si>
    <t>Z425345</t>
  </si>
  <si>
    <t>Z821626</t>
  </si>
  <si>
    <t>Z213229</t>
  </si>
  <si>
    <t>Z722416</t>
  </si>
  <si>
    <t>Z896464</t>
  </si>
  <si>
    <t>Z610640</t>
  </si>
  <si>
    <t>Z502509</t>
  </si>
  <si>
    <t>Z651808</t>
  </si>
  <si>
    <t>Z235270</t>
  </si>
  <si>
    <t>Z598945</t>
  </si>
  <si>
    <t>Z910228</t>
  </si>
  <si>
    <t>Z440307</t>
  </si>
  <si>
    <t>Z299587</t>
  </si>
  <si>
    <t>Z644770</t>
  </si>
  <si>
    <t>Z815178</t>
  </si>
  <si>
    <t>Z212786</t>
  </si>
  <si>
    <t>Z868381</t>
  </si>
  <si>
    <t>Z236320</t>
  </si>
  <si>
    <t>Z318792</t>
  </si>
  <si>
    <t>Z218651</t>
  </si>
  <si>
    <t>Z256038</t>
  </si>
  <si>
    <t>Z477296</t>
  </si>
  <si>
    <t>Z613387</t>
  </si>
  <si>
    <t>Z661811</t>
  </si>
  <si>
    <t>Z349508</t>
  </si>
  <si>
    <t>Z561453</t>
  </si>
  <si>
    <t>Z629938</t>
  </si>
  <si>
    <t>Z591348</t>
  </si>
  <si>
    <t>Z428654</t>
  </si>
  <si>
    <t>Z348107</t>
  </si>
  <si>
    <t>Z147650</t>
  </si>
  <si>
    <t>Z529332</t>
  </si>
  <si>
    <t>Z517856</t>
  </si>
  <si>
    <t>Z422364</t>
  </si>
  <si>
    <t>Z638632</t>
  </si>
  <si>
    <t>Z386116</t>
  </si>
  <si>
    <t>Z834008</t>
  </si>
  <si>
    <t>Z659564</t>
  </si>
  <si>
    <t>Z430398</t>
  </si>
  <si>
    <t>Z265346</t>
  </si>
  <si>
    <t>Z666971</t>
  </si>
  <si>
    <t>Z924446</t>
  </si>
  <si>
    <t>Z640147</t>
  </si>
  <si>
    <t>Z617476</t>
  </si>
  <si>
    <t>Z469417</t>
  </si>
  <si>
    <t>Z169775</t>
  </si>
  <si>
    <t>Z505545</t>
  </si>
  <si>
    <t>Z318931</t>
  </si>
  <si>
    <t>Z707204</t>
  </si>
  <si>
    <t>Z726295</t>
  </si>
  <si>
    <t>Z906041</t>
  </si>
  <si>
    <t>Z208659</t>
  </si>
  <si>
    <t>Z893122</t>
  </si>
  <si>
    <t>Z143953</t>
  </si>
  <si>
    <t>Z384596</t>
  </si>
  <si>
    <t>Z901428</t>
  </si>
  <si>
    <t>Z142970</t>
  </si>
  <si>
    <t>Z490042</t>
  </si>
  <si>
    <t>Z228863</t>
  </si>
  <si>
    <t>Z482058</t>
  </si>
  <si>
    <t>Z367349</t>
  </si>
  <si>
    <t>Z675883</t>
  </si>
  <si>
    <t>Z874135</t>
  </si>
  <si>
    <t>Z195974</t>
  </si>
  <si>
    <t>Z424601</t>
  </si>
  <si>
    <t>Z176050</t>
  </si>
  <si>
    <t>Z769880</t>
  </si>
  <si>
    <t>Z584839</t>
  </si>
  <si>
    <t>Z595467</t>
  </si>
  <si>
    <t>Z800625</t>
  </si>
  <si>
    <t>Z769619</t>
  </si>
  <si>
    <t>Z448326</t>
  </si>
  <si>
    <t>Z879249</t>
  </si>
  <si>
    <t>Z197999</t>
  </si>
  <si>
    <t>Z245330</t>
  </si>
  <si>
    <t>Z800590</t>
  </si>
  <si>
    <t>Z599306</t>
  </si>
  <si>
    <t>Z568569</t>
  </si>
  <si>
    <t>Z302593</t>
  </si>
  <si>
    <t>Z473998</t>
  </si>
  <si>
    <t>Z114533</t>
  </si>
  <si>
    <t>Z483461</t>
  </si>
  <si>
    <t>Z401157</t>
  </si>
  <si>
    <t>Z150752</t>
  </si>
  <si>
    <t>Z485940</t>
  </si>
  <si>
    <t>Z736786</t>
  </si>
  <si>
    <t>Z498135</t>
  </si>
  <si>
    <t>Z873224</t>
  </si>
  <si>
    <t>Z976384</t>
  </si>
  <si>
    <t>Z995130</t>
  </si>
  <si>
    <t>Z541309</t>
  </si>
  <si>
    <t>Z646745</t>
  </si>
  <si>
    <t>Z167402</t>
  </si>
  <si>
    <t>Z943472</t>
  </si>
  <si>
    <t>Z875589</t>
  </si>
  <si>
    <t>Z490476</t>
  </si>
  <si>
    <t>Z923872</t>
  </si>
  <si>
    <t>Z337103</t>
  </si>
  <si>
    <t>Z959491</t>
  </si>
  <si>
    <t>Z915289</t>
  </si>
  <si>
    <t>Z694666</t>
  </si>
  <si>
    <t>Z182909</t>
  </si>
  <si>
    <t>Z453165</t>
  </si>
  <si>
    <t>Z153860</t>
  </si>
  <si>
    <t>Z455076</t>
  </si>
  <si>
    <t>Z546175</t>
  </si>
  <si>
    <t>Z532776</t>
  </si>
  <si>
    <t>Z620045</t>
  </si>
  <si>
    <t>Z971023</t>
  </si>
  <si>
    <t>Z142568</t>
  </si>
  <si>
    <t>Z376009</t>
  </si>
  <si>
    <t>Z247058</t>
  </si>
  <si>
    <t>Z804319</t>
  </si>
  <si>
    <t>Z461548</t>
  </si>
  <si>
    <t>Z222656</t>
  </si>
  <si>
    <t>Z855300</t>
  </si>
  <si>
    <t>Z712361</t>
  </si>
  <si>
    <t>Z328505</t>
  </si>
  <si>
    <t>Z238965</t>
  </si>
  <si>
    <t>Z812944</t>
  </si>
  <si>
    <t>Z490810</t>
  </si>
  <si>
    <t>Z916101</t>
  </si>
  <si>
    <t>Z357367</t>
  </si>
  <si>
    <t>Z121296</t>
  </si>
  <si>
    <t>Z443025</t>
  </si>
  <si>
    <t>Z445969</t>
  </si>
  <si>
    <t>Z109846</t>
  </si>
  <si>
    <t>Z912996</t>
  </si>
  <si>
    <t>Z378111</t>
  </si>
  <si>
    <t>Z332539</t>
  </si>
  <si>
    <t>Z864143</t>
  </si>
  <si>
    <t>Z710935</t>
  </si>
  <si>
    <t>Z174547</t>
  </si>
  <si>
    <t>Z393567</t>
  </si>
  <si>
    <t>Z815149</t>
  </si>
  <si>
    <t>Z960069</t>
  </si>
  <si>
    <t>Z472338</t>
  </si>
  <si>
    <t>Z571938</t>
  </si>
  <si>
    <t>Z591666</t>
  </si>
  <si>
    <t>Z178333</t>
  </si>
  <si>
    <t>Z395094</t>
  </si>
  <si>
    <t>Z785389</t>
  </si>
  <si>
    <t>Z611296</t>
  </si>
  <si>
    <t>Z663269</t>
  </si>
  <si>
    <t>Z685300</t>
  </si>
  <si>
    <t>Z593800</t>
  </si>
  <si>
    <t>Z289956</t>
  </si>
  <si>
    <t>Z534793</t>
  </si>
  <si>
    <t>Z919668</t>
  </si>
  <si>
    <t>Z416880</t>
  </si>
  <si>
    <t>Z390968</t>
  </si>
  <si>
    <t>Z624870</t>
  </si>
  <si>
    <t>Z627865</t>
  </si>
  <si>
    <t>Z926631</t>
  </si>
  <si>
    <t>Z717138</t>
  </si>
  <si>
    <t>Z498013</t>
  </si>
  <si>
    <t>Z583065</t>
  </si>
  <si>
    <t>Z416850</t>
  </si>
  <si>
    <t>Z191738</t>
  </si>
  <si>
    <t>Z286352</t>
  </si>
  <si>
    <t>Z626740</t>
  </si>
  <si>
    <t>Z297571</t>
  </si>
  <si>
    <t>Z232684</t>
  </si>
  <si>
    <t>Z741075</t>
  </si>
  <si>
    <t>Z457597</t>
  </si>
  <si>
    <t>Z178018</t>
  </si>
  <si>
    <t>Z241264</t>
  </si>
  <si>
    <t>Z588153</t>
  </si>
  <si>
    <t>Z885063</t>
  </si>
  <si>
    <t>Z345861</t>
  </si>
  <si>
    <t>Z144414</t>
  </si>
  <si>
    <t>Z287608</t>
  </si>
  <si>
    <t>Z955591</t>
  </si>
  <si>
    <t>Z633492</t>
  </si>
  <si>
    <t>Z842287</t>
  </si>
  <si>
    <t>Z363515</t>
  </si>
  <si>
    <t>Z735459</t>
  </si>
  <si>
    <t>Z514415</t>
  </si>
  <si>
    <t>Z656128</t>
  </si>
  <si>
    <t>Z344919</t>
  </si>
  <si>
    <t>Z904983</t>
  </si>
  <si>
    <t>Z956631</t>
  </si>
  <si>
    <t>Z345225</t>
  </si>
  <si>
    <t>Z624860</t>
  </si>
  <si>
    <t>Z584345</t>
  </si>
  <si>
    <t>Z289879</t>
  </si>
  <si>
    <t>Z772371</t>
  </si>
  <si>
    <t>Z958177</t>
  </si>
  <si>
    <t>Z722513</t>
  </si>
  <si>
    <t>Z767523</t>
  </si>
  <si>
    <t>Z292472</t>
  </si>
  <si>
    <t>Z581059</t>
  </si>
  <si>
    <t>Z835217</t>
  </si>
  <si>
    <t>Z472380</t>
  </si>
  <si>
    <t>Z160134</t>
  </si>
  <si>
    <t>Z858277</t>
  </si>
  <si>
    <t>Z886315</t>
  </si>
  <si>
    <t>Z393725</t>
  </si>
  <si>
    <t>Z707817</t>
  </si>
  <si>
    <t>Z339811</t>
  </si>
  <si>
    <t>Z190634</t>
  </si>
  <si>
    <t>Z271922</t>
  </si>
  <si>
    <t>Z430989</t>
  </si>
  <si>
    <t>Z458631</t>
  </si>
  <si>
    <t>Z760496</t>
  </si>
  <si>
    <t>Z177196</t>
  </si>
  <si>
    <t>Z967649</t>
  </si>
  <si>
    <t>Z434100</t>
  </si>
  <si>
    <t>Z603705</t>
  </si>
  <si>
    <t>Z198406</t>
  </si>
  <si>
    <t>Z450051</t>
  </si>
  <si>
    <t>Z685698</t>
  </si>
  <si>
    <t>Z112551</t>
  </si>
  <si>
    <t>Z556039</t>
  </si>
  <si>
    <t>Z540076</t>
  </si>
  <si>
    <t>Z950709</t>
  </si>
  <si>
    <t>Z723137</t>
  </si>
  <si>
    <t>Z632180</t>
  </si>
  <si>
    <t>Z592854</t>
  </si>
  <si>
    <t>Z930711</t>
  </si>
  <si>
    <t>Z747779</t>
  </si>
  <si>
    <t>Z652171</t>
  </si>
  <si>
    <t>Z393568</t>
  </si>
  <si>
    <t>Z499141</t>
  </si>
  <si>
    <t>Z978737</t>
  </si>
  <si>
    <t>Z123396</t>
  </si>
  <si>
    <t>Z966505</t>
  </si>
  <si>
    <t>Z802108</t>
  </si>
  <si>
    <t>Z717656</t>
  </si>
  <si>
    <t>Z694800</t>
  </si>
  <si>
    <t>Z578726</t>
  </si>
  <si>
    <t>Z415973</t>
  </si>
  <si>
    <t>Z360647</t>
  </si>
  <si>
    <t>Z688333</t>
  </si>
  <si>
    <t>Z445734</t>
  </si>
  <si>
    <t>Z875362</t>
  </si>
  <si>
    <t>Z683277</t>
  </si>
  <si>
    <t>Z660306</t>
  </si>
  <si>
    <t>Z835130</t>
  </si>
  <si>
    <t>Z992084</t>
  </si>
  <si>
    <t>Z154183</t>
  </si>
  <si>
    <t>Z843103</t>
  </si>
  <si>
    <t>Z833781</t>
  </si>
  <si>
    <t>Z494455</t>
  </si>
  <si>
    <t>Z720462</t>
  </si>
  <si>
    <t>Z595684</t>
  </si>
  <si>
    <t>Z362482</t>
  </si>
  <si>
    <t>Z474980</t>
  </si>
  <si>
    <t>Z255843</t>
  </si>
  <si>
    <t>Z161309</t>
  </si>
  <si>
    <t>Z333745</t>
  </si>
  <si>
    <t>Z191856</t>
  </si>
  <si>
    <t>Z996792</t>
  </si>
  <si>
    <t>Z686211</t>
  </si>
  <si>
    <t>Z470916</t>
  </si>
  <si>
    <t>Z525155</t>
  </si>
  <si>
    <t>Z285939</t>
  </si>
  <si>
    <t>Z958868</t>
  </si>
  <si>
    <t>Z752210</t>
  </si>
  <si>
    <t>Z841314</t>
  </si>
  <si>
    <t>Z802885</t>
  </si>
  <si>
    <t>Z398934</t>
  </si>
  <si>
    <t>Z898364</t>
  </si>
  <si>
    <t>Z894148</t>
  </si>
  <si>
    <t>Z851783</t>
  </si>
  <si>
    <t>Z160447</t>
  </si>
  <si>
    <t>Z841432</t>
  </si>
  <si>
    <t>Z531194</t>
  </si>
  <si>
    <t>Z766765</t>
  </si>
  <si>
    <t>Z697828</t>
  </si>
  <si>
    <t>Z847408</t>
  </si>
  <si>
    <t>Z315471</t>
  </si>
  <si>
    <t>Z668549</t>
  </si>
  <si>
    <t>Z151563</t>
  </si>
  <si>
    <t>Z409254</t>
  </si>
  <si>
    <t>Z685111</t>
  </si>
  <si>
    <t>Z987168</t>
  </si>
  <si>
    <t>Z729834</t>
  </si>
  <si>
    <t>Z323990</t>
  </si>
  <si>
    <t>Z528338</t>
  </si>
  <si>
    <t>Z185189</t>
  </si>
  <si>
    <t>Z335022</t>
  </si>
  <si>
    <t>Z581498</t>
  </si>
  <si>
    <t>Z997007</t>
  </si>
  <si>
    <t>Z797834</t>
  </si>
  <si>
    <t>Z306381</t>
  </si>
  <si>
    <t>Z659459</t>
  </si>
  <si>
    <t>Z658348</t>
  </si>
  <si>
    <t>Z245462</t>
  </si>
  <si>
    <t>Z861847</t>
  </si>
  <si>
    <t>Z562610</t>
  </si>
  <si>
    <t>Z270651</t>
  </si>
  <si>
    <t>Z504898</t>
  </si>
  <si>
    <t>Z669562</t>
  </si>
  <si>
    <t>Z956416</t>
  </si>
  <si>
    <t>Z145700</t>
  </si>
  <si>
    <t>Z858388</t>
  </si>
  <si>
    <t>Z566692</t>
  </si>
  <si>
    <t>Z243228</t>
  </si>
  <si>
    <t>Z203748</t>
  </si>
  <si>
    <t>Z328958</t>
  </si>
  <si>
    <t>Z250525</t>
  </si>
  <si>
    <t>Z465096</t>
  </si>
  <si>
    <t>Z823289</t>
  </si>
  <si>
    <t>Z634850</t>
  </si>
  <si>
    <t>Z417065</t>
  </si>
  <si>
    <t>Z564701</t>
  </si>
  <si>
    <t>Z604749</t>
  </si>
  <si>
    <t>Z812360</t>
  </si>
  <si>
    <t>Z336759</t>
  </si>
  <si>
    <t>Z821405</t>
  </si>
  <si>
    <t>Z477589</t>
  </si>
  <si>
    <t>Z338064</t>
  </si>
  <si>
    <t>Z162399</t>
  </si>
  <si>
    <t>Z542394</t>
  </si>
  <si>
    <t>Z200632</t>
  </si>
  <si>
    <t>Z225103</t>
  </si>
  <si>
    <t>Z846030</t>
  </si>
  <si>
    <t>Z915075</t>
  </si>
  <si>
    <t>Z778284</t>
  </si>
  <si>
    <t>Z687298</t>
  </si>
  <si>
    <t>Z163203</t>
  </si>
  <si>
    <t>Z887562</t>
  </si>
  <si>
    <t>Z841661</t>
  </si>
  <si>
    <t>Z522681</t>
  </si>
  <si>
    <t>Z226145</t>
  </si>
  <si>
    <t>Z244944</t>
  </si>
  <si>
    <t>Z436857</t>
  </si>
  <si>
    <t>Z604655</t>
  </si>
  <si>
    <t>Z647450</t>
  </si>
  <si>
    <t>Z125803</t>
  </si>
  <si>
    <t>Z746908</t>
  </si>
  <si>
    <t>Z945878</t>
  </si>
  <si>
    <t>Z341042</t>
  </si>
  <si>
    <t>Z583203</t>
  </si>
  <si>
    <t>Z236241</t>
  </si>
  <si>
    <t>Z885423</t>
  </si>
  <si>
    <t>Z401987</t>
  </si>
  <si>
    <t>Z527931</t>
  </si>
  <si>
    <t>Z972811</t>
  </si>
  <si>
    <t>Z905643</t>
  </si>
  <si>
    <t>Z379793</t>
  </si>
  <si>
    <t>Z274077</t>
  </si>
  <si>
    <t>Z827480</t>
  </si>
  <si>
    <t>Z312593</t>
  </si>
  <si>
    <t>Z399042</t>
  </si>
  <si>
    <t>Z481889</t>
  </si>
  <si>
    <t>Z286558</t>
  </si>
  <si>
    <t>Z257118</t>
  </si>
  <si>
    <t>Z685266</t>
  </si>
  <si>
    <t>Z876960</t>
  </si>
  <si>
    <t>Z634947</t>
  </si>
  <si>
    <t>Z534020</t>
  </si>
  <si>
    <t>Z378326</t>
  </si>
  <si>
    <t>Z563211</t>
  </si>
  <si>
    <t>Z194810</t>
  </si>
  <si>
    <t>Z394570</t>
  </si>
  <si>
    <t>Z597685</t>
  </si>
  <si>
    <t>Z200591</t>
  </si>
  <si>
    <t>Z211151</t>
  </si>
  <si>
    <t>Z847977</t>
  </si>
  <si>
    <t>Z309255</t>
  </si>
  <si>
    <t>Z579829</t>
  </si>
  <si>
    <t>Z593038</t>
  </si>
  <si>
    <t>Z728295</t>
  </si>
  <si>
    <t>Z457353</t>
  </si>
  <si>
    <t>Z468551</t>
  </si>
  <si>
    <t>Z618055</t>
  </si>
  <si>
    <t>Z731341</t>
  </si>
  <si>
    <t>Z509879</t>
  </si>
  <si>
    <t>Z965843</t>
  </si>
  <si>
    <t>Z800858</t>
  </si>
  <si>
    <t>Z726873</t>
  </si>
  <si>
    <t>Z252183</t>
  </si>
  <si>
    <t>Z344969</t>
  </si>
  <si>
    <t>Z729485</t>
  </si>
  <si>
    <t>Z672760</t>
  </si>
  <si>
    <t>Z744596</t>
  </si>
  <si>
    <t>Z466286</t>
  </si>
  <si>
    <t>Z637990</t>
  </si>
  <si>
    <t>Z310195</t>
  </si>
  <si>
    <t>Z759014</t>
  </si>
  <si>
    <t>Z433274</t>
  </si>
  <si>
    <t>Z486132</t>
  </si>
  <si>
    <t>Z930905</t>
  </si>
  <si>
    <t>Z334106</t>
  </si>
  <si>
    <t>Z889155</t>
  </si>
  <si>
    <t>Z284091</t>
  </si>
  <si>
    <t>Z453308</t>
  </si>
  <si>
    <t>Z178139</t>
  </si>
  <si>
    <t>Z735393</t>
  </si>
  <si>
    <t>Z976085</t>
  </si>
  <si>
    <t>Z863870</t>
  </si>
  <si>
    <t>Z787292</t>
  </si>
  <si>
    <t>Z839741</t>
  </si>
  <si>
    <t>Z259281</t>
  </si>
  <si>
    <t>Z190259</t>
  </si>
  <si>
    <t>Z761808</t>
  </si>
  <si>
    <t>Z866228</t>
  </si>
  <si>
    <t>Z710217</t>
  </si>
  <si>
    <t>Z496240</t>
  </si>
  <si>
    <t>Z455221</t>
  </si>
  <si>
    <t>Z920665</t>
  </si>
  <si>
    <t>Z980310</t>
  </si>
  <si>
    <t>Z727740</t>
  </si>
  <si>
    <t>Z507343</t>
  </si>
  <si>
    <t>Z140506</t>
  </si>
  <si>
    <t>Z821189</t>
  </si>
  <si>
    <t>Z733280</t>
  </si>
  <si>
    <t>Z359963</t>
  </si>
  <si>
    <t>Z752073</t>
  </si>
  <si>
    <t>Z125810</t>
  </si>
  <si>
    <t>Z346951</t>
  </si>
  <si>
    <t>Z465737</t>
  </si>
  <si>
    <t>Z653170</t>
  </si>
  <si>
    <t>Z529280</t>
  </si>
  <si>
    <t>Z585676</t>
  </si>
  <si>
    <t>Z784042</t>
  </si>
  <si>
    <t>Z117542</t>
  </si>
  <si>
    <t>Z353167</t>
  </si>
  <si>
    <t>Z514683</t>
  </si>
  <si>
    <t>Z830700</t>
  </si>
  <si>
    <t>Z134502</t>
  </si>
  <si>
    <t>Z782736</t>
  </si>
  <si>
    <t>Z834701</t>
  </si>
  <si>
    <t>Z375599</t>
  </si>
  <si>
    <t>Z544349</t>
  </si>
  <si>
    <t>Z161631</t>
  </si>
  <si>
    <t>Z242960</t>
  </si>
  <si>
    <t>Z504458</t>
  </si>
  <si>
    <t>Z175804</t>
  </si>
  <si>
    <t>Z828705</t>
  </si>
  <si>
    <t>Z283936</t>
  </si>
  <si>
    <t>Z469345</t>
  </si>
  <si>
    <t>Z706589</t>
  </si>
  <si>
    <t>Z437341</t>
  </si>
  <si>
    <t>Z647702</t>
  </si>
  <si>
    <t>Z197871</t>
  </si>
  <si>
    <t>Z542462</t>
  </si>
  <si>
    <t>Z110651</t>
  </si>
  <si>
    <t>Z917739</t>
  </si>
  <si>
    <t>Z984118</t>
  </si>
  <si>
    <t>Z980751</t>
  </si>
  <si>
    <t>Z695781</t>
  </si>
  <si>
    <t>Z656092</t>
  </si>
  <si>
    <t>Z812626</t>
  </si>
  <si>
    <t>Z864909</t>
  </si>
  <si>
    <t>Z349076</t>
  </si>
  <si>
    <t>Z147021</t>
  </si>
  <si>
    <t>Z801993</t>
  </si>
  <si>
    <t>Z196054</t>
  </si>
  <si>
    <t>Z463990</t>
  </si>
  <si>
    <t>Z505052</t>
  </si>
  <si>
    <t>Z835869</t>
  </si>
  <si>
    <t>Z529830</t>
  </si>
  <si>
    <t>Z278605</t>
  </si>
  <si>
    <t>Z326844</t>
  </si>
  <si>
    <t>Z176504</t>
  </si>
  <si>
    <t>Z651516</t>
  </si>
  <si>
    <t>Z720835</t>
  </si>
  <si>
    <t>Z657911</t>
  </si>
  <si>
    <t>Z420855</t>
  </si>
  <si>
    <t>Z346684</t>
  </si>
  <si>
    <t>Z985632</t>
  </si>
  <si>
    <t>Z601628</t>
  </si>
  <si>
    <t>Z736540</t>
  </si>
  <si>
    <t>Z143519</t>
  </si>
  <si>
    <t>Z993105</t>
  </si>
  <si>
    <t>Z513279</t>
  </si>
  <si>
    <t>Z193154</t>
  </si>
  <si>
    <t>Z241698</t>
  </si>
  <si>
    <t>Z637417</t>
  </si>
  <si>
    <t>Z728420</t>
  </si>
  <si>
    <t>Z511427</t>
  </si>
  <si>
    <t>Z954129</t>
  </si>
  <si>
    <t>Z800170</t>
  </si>
  <si>
    <t>Z596501</t>
  </si>
  <si>
    <t>Z416164</t>
  </si>
  <si>
    <t>Z154909</t>
  </si>
  <si>
    <t>Z424872</t>
  </si>
  <si>
    <t>Z954668</t>
  </si>
  <si>
    <t>Z367066</t>
  </si>
  <si>
    <t>Z925601</t>
  </si>
  <si>
    <t>Z245199</t>
  </si>
  <si>
    <t>Z187321</t>
  </si>
  <si>
    <t>Z311105</t>
  </si>
  <si>
    <t>Z784603</t>
  </si>
  <si>
    <t>Z338458</t>
  </si>
  <si>
    <t>Z281132</t>
  </si>
  <si>
    <t>Z167041</t>
  </si>
  <si>
    <t>Z962157</t>
  </si>
  <si>
    <t>Z282731</t>
  </si>
  <si>
    <t>Z463266</t>
  </si>
  <si>
    <t>Z710434</t>
  </si>
  <si>
    <t>Z579805</t>
  </si>
  <si>
    <t>Z934639</t>
  </si>
  <si>
    <t>Z441673</t>
  </si>
  <si>
    <t>Z764423</t>
  </si>
  <si>
    <t>Z557110</t>
  </si>
  <si>
    <t>Z625485</t>
  </si>
  <si>
    <t>Z550214</t>
  </si>
  <si>
    <t>Z513343</t>
  </si>
  <si>
    <t>Z221217</t>
  </si>
  <si>
    <t>Z237507</t>
  </si>
  <si>
    <t>Z647013</t>
  </si>
  <si>
    <t>Z826524</t>
  </si>
  <si>
    <t>Z539871</t>
  </si>
  <si>
    <t>Z291396</t>
  </si>
  <si>
    <t>Z160878</t>
  </si>
  <si>
    <t>Z227379</t>
  </si>
  <si>
    <t>Z385554</t>
  </si>
  <si>
    <t>Z895132</t>
  </si>
  <si>
    <t>Z329052</t>
  </si>
  <si>
    <t>Z851475</t>
  </si>
  <si>
    <t>Z421990</t>
  </si>
  <si>
    <t>Z297688</t>
  </si>
  <si>
    <t>Z553223</t>
  </si>
  <si>
    <t>Z993330</t>
  </si>
  <si>
    <t>Z620921</t>
  </si>
  <si>
    <t>Z985852</t>
  </si>
  <si>
    <t>Z426139</t>
  </si>
  <si>
    <t>Z365864</t>
  </si>
  <si>
    <t>Z671708</t>
  </si>
  <si>
    <t>Z450554</t>
  </si>
  <si>
    <t>Z612036</t>
  </si>
  <si>
    <t>Z298574</t>
  </si>
  <si>
    <t>Z686634</t>
  </si>
  <si>
    <t>Z588789</t>
  </si>
  <si>
    <t>Z100830</t>
  </si>
  <si>
    <t>Z614744</t>
  </si>
  <si>
    <t>Z928518</t>
  </si>
  <si>
    <t>Z451754</t>
  </si>
  <si>
    <t>Z828553</t>
  </si>
  <si>
    <t>Z842532</t>
  </si>
  <si>
    <t>Z581199</t>
  </si>
  <si>
    <t>Z210579</t>
  </si>
  <si>
    <t>Z563573</t>
  </si>
  <si>
    <t>Z389206</t>
  </si>
  <si>
    <t>Z228440</t>
  </si>
  <si>
    <t>Z802390</t>
  </si>
  <si>
    <t>Z678839</t>
  </si>
  <si>
    <t>Z904724</t>
  </si>
  <si>
    <t>Z580825</t>
  </si>
  <si>
    <t>Z996820</t>
  </si>
  <si>
    <t>Z570572</t>
  </si>
  <si>
    <t>Z899466</t>
  </si>
  <si>
    <t>Z364332</t>
  </si>
  <si>
    <t>Z281885</t>
  </si>
  <si>
    <t>Z313562</t>
  </si>
  <si>
    <t>Z439454</t>
  </si>
  <si>
    <t>Z497909</t>
  </si>
  <si>
    <t>Z680208</t>
  </si>
  <si>
    <t>Z463718</t>
  </si>
  <si>
    <t>Z469562</t>
  </si>
  <si>
    <t>Z907444</t>
  </si>
  <si>
    <t>Z353027</t>
  </si>
  <si>
    <t>Z261320</t>
  </si>
  <si>
    <t>Z613746</t>
  </si>
  <si>
    <t>Z757006</t>
  </si>
  <si>
    <t>Z414965</t>
  </si>
  <si>
    <t>Z844992</t>
  </si>
  <si>
    <t>Z502537</t>
  </si>
  <si>
    <t>Z494817</t>
  </si>
  <si>
    <t>Z358439</t>
  </si>
  <si>
    <t>Z459075</t>
  </si>
  <si>
    <t>Z616710</t>
  </si>
  <si>
    <t>Z242291</t>
  </si>
  <si>
    <t>Z417233</t>
  </si>
  <si>
    <t>Z857440</t>
  </si>
  <si>
    <t>Z677660</t>
  </si>
  <si>
    <t>Z682168</t>
  </si>
  <si>
    <t>Z828737</t>
  </si>
  <si>
    <t>Z809758</t>
  </si>
  <si>
    <t>Z563790</t>
  </si>
  <si>
    <t>Z229875</t>
  </si>
  <si>
    <t>Z374407</t>
  </si>
  <si>
    <t>Z806003</t>
  </si>
  <si>
    <t>Z671481</t>
  </si>
  <si>
    <t>Z893157</t>
  </si>
  <si>
    <t>Z475595</t>
  </si>
  <si>
    <t>Z975994</t>
  </si>
  <si>
    <t>Z831849</t>
  </si>
  <si>
    <t>Z416653</t>
  </si>
  <si>
    <t>Z916032</t>
  </si>
  <si>
    <t>Z522522</t>
  </si>
  <si>
    <t>Z370201</t>
  </si>
  <si>
    <t>Z998311</t>
  </si>
  <si>
    <t>Z669789</t>
  </si>
  <si>
    <t>Z505643</t>
  </si>
  <si>
    <t>Z696637</t>
  </si>
  <si>
    <t>Z652115</t>
  </si>
  <si>
    <t>Z866470</t>
  </si>
  <si>
    <t>Z778079</t>
  </si>
  <si>
    <t>Z781840</t>
  </si>
  <si>
    <t>Z720045</t>
  </si>
  <si>
    <t>Z648809</t>
  </si>
  <si>
    <t>Z468864</t>
  </si>
  <si>
    <t>Z964864</t>
  </si>
  <si>
    <t>Z371285</t>
  </si>
  <si>
    <t>Z483389</t>
  </si>
  <si>
    <t>Z977488</t>
  </si>
  <si>
    <t>Z595313</t>
  </si>
  <si>
    <t>Z370294</t>
  </si>
  <si>
    <t>Z799423</t>
  </si>
  <si>
    <t>Z173396</t>
  </si>
  <si>
    <t>Z631313</t>
  </si>
  <si>
    <t>Z805377</t>
  </si>
  <si>
    <t>Z908858</t>
  </si>
  <si>
    <t>Z129960</t>
  </si>
  <si>
    <t>Z344708</t>
  </si>
  <si>
    <t>Z574768</t>
  </si>
  <si>
    <t>Z139942</t>
  </si>
  <si>
    <t>Z999685</t>
  </si>
  <si>
    <t>Z725419</t>
  </si>
  <si>
    <t>Z198017</t>
  </si>
  <si>
    <t>Z133645</t>
  </si>
  <si>
    <t>Z448434</t>
  </si>
  <si>
    <t>Z915313</t>
  </si>
  <si>
    <t>Z312051</t>
  </si>
  <si>
    <t>Z665850</t>
  </si>
  <si>
    <t>Z419502</t>
  </si>
  <si>
    <t>Z837372</t>
  </si>
  <si>
    <t>Z911853</t>
  </si>
  <si>
    <t>Z218178</t>
  </si>
  <si>
    <t>Z748389</t>
  </si>
  <si>
    <t>Z125281</t>
  </si>
  <si>
    <t>Z891211</t>
  </si>
  <si>
    <t>Z330812</t>
  </si>
  <si>
    <t>Z999145</t>
  </si>
  <si>
    <t>Z628682</t>
  </si>
  <si>
    <t>Z727018</t>
  </si>
  <si>
    <t>Z718772</t>
  </si>
  <si>
    <t>Z255644</t>
  </si>
  <si>
    <t>Z350634</t>
  </si>
  <si>
    <t>Z317717</t>
  </si>
  <si>
    <t>Z793604</t>
  </si>
  <si>
    <t>Z990219</t>
  </si>
  <si>
    <t>Z567760</t>
  </si>
  <si>
    <t>Z387681</t>
  </si>
  <si>
    <t>Z468526</t>
  </si>
  <si>
    <t>Z978340</t>
  </si>
  <si>
    <t>Z638021</t>
  </si>
  <si>
    <t>Z897511</t>
  </si>
  <si>
    <t>Z119620</t>
  </si>
  <si>
    <t>Z807204</t>
  </si>
  <si>
    <t>Z350745</t>
  </si>
  <si>
    <t>Z871329</t>
  </si>
  <si>
    <t>Z465326</t>
  </si>
  <si>
    <t>Z408213</t>
  </si>
  <si>
    <t>Z261171</t>
  </si>
  <si>
    <t>Z262758</t>
  </si>
  <si>
    <t>Z521520</t>
  </si>
  <si>
    <t>Z839154</t>
  </si>
  <si>
    <t>Z309084</t>
  </si>
  <si>
    <t>Z220229</t>
  </si>
  <si>
    <t>Z923511</t>
  </si>
  <si>
    <t>Z898987</t>
  </si>
  <si>
    <t>Z946875</t>
  </si>
  <si>
    <t>Z689745</t>
  </si>
  <si>
    <t>Z507102</t>
  </si>
  <si>
    <t>Z499319</t>
  </si>
  <si>
    <t>Z627171</t>
  </si>
  <si>
    <t>Z980020</t>
  </si>
  <si>
    <t>Z299877</t>
  </si>
  <si>
    <t>Z116211</t>
  </si>
  <si>
    <t>Z657205</t>
  </si>
  <si>
    <t>Z863860</t>
  </si>
  <si>
    <t>Z995192</t>
  </si>
  <si>
    <t>Z727986</t>
  </si>
  <si>
    <t>Z502044</t>
  </si>
  <si>
    <t>Z277998</t>
  </si>
  <si>
    <t>Z841673</t>
  </si>
  <si>
    <t>Z222379</t>
  </si>
  <si>
    <t>Z449013</t>
  </si>
  <si>
    <t>Z771953</t>
  </si>
  <si>
    <t>Z684878</t>
  </si>
  <si>
    <t>Z951930</t>
  </si>
  <si>
    <t>Z718750</t>
  </si>
  <si>
    <t>Z169739</t>
  </si>
  <si>
    <t>Z613703</t>
  </si>
  <si>
    <t>Z285624</t>
  </si>
  <si>
    <t>Z210140</t>
  </si>
  <si>
    <t>Z118601</t>
  </si>
  <si>
    <t>Z249287</t>
  </si>
  <si>
    <t>Z886506</t>
  </si>
  <si>
    <t>Z674909</t>
  </si>
  <si>
    <t>Z274071</t>
  </si>
  <si>
    <t>Z754449</t>
  </si>
  <si>
    <t>Z712450</t>
  </si>
  <si>
    <t>Z114552</t>
  </si>
  <si>
    <t>Z462875</t>
  </si>
  <si>
    <t>Z112753</t>
  </si>
  <si>
    <t>Z850483</t>
  </si>
  <si>
    <t>Z309949</t>
  </si>
  <si>
    <t>Z278609</t>
  </si>
  <si>
    <t>Z431277</t>
  </si>
  <si>
    <t>Z207431</t>
  </si>
  <si>
    <t>Z650473</t>
  </si>
  <si>
    <t>Z944541</t>
  </si>
  <si>
    <t>Z153912</t>
  </si>
  <si>
    <t>Z824490</t>
  </si>
  <si>
    <t>Z521404</t>
  </si>
  <si>
    <t>Z506086</t>
  </si>
  <si>
    <t>Z131536</t>
  </si>
  <si>
    <t>Z491034</t>
  </si>
  <si>
    <t>Z248231</t>
  </si>
  <si>
    <t>Z154932</t>
  </si>
  <si>
    <t>Z293685</t>
  </si>
  <si>
    <t>Z737039</t>
  </si>
  <si>
    <t>Z791719</t>
  </si>
  <si>
    <t>Z198280</t>
  </si>
  <si>
    <t>Z630113</t>
  </si>
  <si>
    <t>Z217826</t>
  </si>
  <si>
    <t>Z890773</t>
  </si>
  <si>
    <t>Z258566</t>
  </si>
  <si>
    <t>Z149245</t>
  </si>
  <si>
    <t>Z366304</t>
  </si>
  <si>
    <t>Z728967</t>
  </si>
  <si>
    <t>Z631871</t>
  </si>
  <si>
    <t>Z544389</t>
  </si>
  <si>
    <t>Z473897</t>
  </si>
  <si>
    <t>Z852599</t>
  </si>
  <si>
    <t>Z810009</t>
  </si>
  <si>
    <t>Z620746</t>
  </si>
  <si>
    <t>Z584131</t>
  </si>
  <si>
    <t>Z581280</t>
  </si>
  <si>
    <t>Z934378</t>
  </si>
  <si>
    <t>Z837272</t>
  </si>
  <si>
    <t>Z652600</t>
  </si>
  <si>
    <t>Z461417</t>
  </si>
  <si>
    <t>Z762344</t>
  </si>
  <si>
    <t>Z173338</t>
  </si>
  <si>
    <t>Z890235</t>
  </si>
  <si>
    <t>Z750668</t>
  </si>
  <si>
    <t>Z294572</t>
  </si>
  <si>
    <t>Z762412</t>
  </si>
  <si>
    <t>Z676812</t>
  </si>
  <si>
    <t>Z392755</t>
  </si>
  <si>
    <t>Z630892</t>
  </si>
  <si>
    <t>Z862179</t>
  </si>
  <si>
    <t>Z698917</t>
  </si>
  <si>
    <t>Z196614</t>
  </si>
  <si>
    <t>Z706187</t>
  </si>
  <si>
    <t>Z873504</t>
  </si>
  <si>
    <t>Z877362</t>
  </si>
  <si>
    <t>Z678810</t>
  </si>
  <si>
    <t>Z402885</t>
  </si>
  <si>
    <t>Z941563</t>
  </si>
  <si>
    <t>Z249824</t>
  </si>
  <si>
    <t>Z797153</t>
  </si>
  <si>
    <t>Z607096</t>
  </si>
  <si>
    <t>Z299062</t>
  </si>
  <si>
    <t>Z878212</t>
  </si>
  <si>
    <t>Z573582</t>
  </si>
  <si>
    <t>Z807460</t>
  </si>
  <si>
    <t>Z497292</t>
  </si>
  <si>
    <t>Z515517</t>
  </si>
  <si>
    <t>Z818472</t>
  </si>
  <si>
    <t>Z564207</t>
  </si>
  <si>
    <t>Z500221</t>
  </si>
  <si>
    <t>Z881616</t>
  </si>
  <si>
    <t>Z517925</t>
  </si>
  <si>
    <t>Z662901</t>
  </si>
  <si>
    <t>Z160219</t>
  </si>
  <si>
    <t>Z870127</t>
  </si>
  <si>
    <t>Z683816</t>
  </si>
  <si>
    <t>Z958806</t>
  </si>
  <si>
    <t>Z744769</t>
  </si>
  <si>
    <t>Z315900</t>
  </si>
  <si>
    <t>Z727483</t>
  </si>
  <si>
    <t>Z311397</t>
  </si>
  <si>
    <t>Z942395</t>
  </si>
  <si>
    <t>Z335412</t>
  </si>
  <si>
    <t>Z307261</t>
  </si>
  <si>
    <t>Z835211</t>
  </si>
  <si>
    <t>Z476425</t>
  </si>
  <si>
    <t>Z516873</t>
  </si>
  <si>
    <t>Z904103</t>
  </si>
  <si>
    <t>Z343009</t>
  </si>
  <si>
    <t>Z345371</t>
  </si>
  <si>
    <t>Z407176</t>
  </si>
  <si>
    <t>Z474534</t>
  </si>
  <si>
    <t>Z440724</t>
  </si>
  <si>
    <t>Z564373</t>
  </si>
  <si>
    <t>Z795098</t>
  </si>
  <si>
    <t>Z649746</t>
  </si>
  <si>
    <t>Z405903</t>
  </si>
  <si>
    <t>Z450721</t>
  </si>
  <si>
    <t>Z194413</t>
  </si>
  <si>
    <t>Z298998</t>
  </si>
  <si>
    <t>Z677120</t>
  </si>
  <si>
    <t>Z242637</t>
  </si>
  <si>
    <t>Z354246</t>
  </si>
  <si>
    <t>Z668038</t>
  </si>
  <si>
    <t>Z807045</t>
  </si>
  <si>
    <t>Z339574</t>
  </si>
  <si>
    <t>Z563702</t>
  </si>
  <si>
    <t>Z581706</t>
  </si>
  <si>
    <t>Z630250</t>
  </si>
  <si>
    <t>Z789730</t>
  </si>
  <si>
    <t>Z760446</t>
  </si>
  <si>
    <t>Z821668</t>
  </si>
  <si>
    <t>Z803841</t>
  </si>
  <si>
    <t>Z898293</t>
  </si>
  <si>
    <t>Z507638</t>
  </si>
  <si>
    <t>Z140684</t>
  </si>
  <si>
    <t>Z709741</t>
  </si>
  <si>
    <t>Z959421</t>
  </si>
  <si>
    <t>Z414968</t>
  </si>
  <si>
    <t>Z645267</t>
  </si>
  <si>
    <t>Z566580</t>
  </si>
  <si>
    <t>Z758880</t>
  </si>
  <si>
    <t>Z748055</t>
  </si>
  <si>
    <t>Z813976</t>
  </si>
  <si>
    <t>Z742107</t>
  </si>
  <si>
    <t>Z769155</t>
  </si>
  <si>
    <t>Z844417</t>
  </si>
  <si>
    <t>Z223792</t>
  </si>
  <si>
    <t>Z770564</t>
  </si>
  <si>
    <t>Z481390</t>
  </si>
  <si>
    <t>Z768210</t>
  </si>
  <si>
    <t>Z856210</t>
  </si>
  <si>
    <t>Z133371</t>
  </si>
  <si>
    <t>Z533012</t>
  </si>
  <si>
    <t>Z715796</t>
  </si>
  <si>
    <t>Z347481</t>
  </si>
  <si>
    <t>Z107813</t>
  </si>
  <si>
    <t>Z822170</t>
  </si>
  <si>
    <t>Z137738</t>
  </si>
  <si>
    <t>Z304396</t>
  </si>
  <si>
    <t>Z576180</t>
  </si>
  <si>
    <t>Z420035</t>
  </si>
  <si>
    <t>Z245260</t>
  </si>
  <si>
    <t>Z283179</t>
  </si>
  <si>
    <t>Z484638</t>
  </si>
  <si>
    <t>Z806580</t>
  </si>
  <si>
    <t>Z936363</t>
  </si>
  <si>
    <t>Z966831</t>
  </si>
  <si>
    <t>Z822228</t>
  </si>
  <si>
    <t>Z308707</t>
  </si>
  <si>
    <t>Z580942</t>
  </si>
  <si>
    <t>Z554312</t>
  </si>
  <si>
    <t>Z239739</t>
  </si>
  <si>
    <t>Z244718</t>
  </si>
  <si>
    <t>Z632446</t>
  </si>
  <si>
    <t>Z948701</t>
  </si>
  <si>
    <t>Z260586</t>
  </si>
  <si>
    <t>Z224294</t>
  </si>
  <si>
    <t>Z663904</t>
  </si>
  <si>
    <t>Z775353</t>
  </si>
  <si>
    <t>Z820433</t>
  </si>
  <si>
    <t>Z420325</t>
  </si>
  <si>
    <t>Z463740</t>
  </si>
  <si>
    <t>Z923785</t>
  </si>
  <si>
    <t>Z822126</t>
  </si>
  <si>
    <t>Z977327</t>
  </si>
  <si>
    <t>Z361544</t>
  </si>
  <si>
    <t>Z220485</t>
  </si>
  <si>
    <t>Z403080</t>
  </si>
  <si>
    <t>Z251104</t>
  </si>
  <si>
    <t>Z635639</t>
  </si>
  <si>
    <t>Z157313</t>
  </si>
  <si>
    <t>Z292510</t>
  </si>
  <si>
    <t>Z411358</t>
  </si>
  <si>
    <t>Z749264</t>
  </si>
  <si>
    <t>Z326095</t>
  </si>
  <si>
    <t>Z649322</t>
  </si>
  <si>
    <t>Z274541</t>
  </si>
  <si>
    <t>Z746142</t>
  </si>
  <si>
    <t>Z695954</t>
  </si>
  <si>
    <t>Z395903</t>
  </si>
  <si>
    <t>Z768023</t>
  </si>
  <si>
    <t>Z401039</t>
  </si>
  <si>
    <t>Z249867</t>
  </si>
  <si>
    <t>Z648669</t>
  </si>
  <si>
    <t>Z524665</t>
  </si>
  <si>
    <t>Z480296</t>
  </si>
  <si>
    <t>Z110077</t>
  </si>
  <si>
    <t>Z891791</t>
  </si>
  <si>
    <t>Z638274</t>
  </si>
  <si>
    <t>Z533813</t>
  </si>
  <si>
    <t>Z138111</t>
  </si>
  <si>
    <t>Z120123</t>
  </si>
  <si>
    <t>Z319583</t>
  </si>
  <si>
    <t>Z684218</t>
  </si>
  <si>
    <t>Z974343</t>
  </si>
  <si>
    <t>Z911510</t>
  </si>
  <si>
    <t>Z441484</t>
  </si>
  <si>
    <t>Z750700</t>
  </si>
  <si>
    <t>Z592365</t>
  </si>
  <si>
    <t>Z323174</t>
  </si>
  <si>
    <t>Z139011</t>
  </si>
  <si>
    <t>Z841768</t>
  </si>
  <si>
    <t>Z197444</t>
  </si>
  <si>
    <t>Z651432</t>
  </si>
  <si>
    <t>Z632291</t>
  </si>
  <si>
    <t>Z829708</t>
  </si>
  <si>
    <t>Z165030</t>
  </si>
  <si>
    <t>Z320567</t>
  </si>
  <si>
    <t>Z228168</t>
  </si>
  <si>
    <t>Z885937</t>
  </si>
  <si>
    <t>Z658039</t>
  </si>
  <si>
    <t>Z817597</t>
  </si>
  <si>
    <t>Z133679</t>
  </si>
  <si>
    <t>Z660617</t>
  </si>
  <si>
    <t>Z946646</t>
  </si>
  <si>
    <t>Z843433</t>
  </si>
  <si>
    <t>Z162099</t>
  </si>
  <si>
    <t>Z117970</t>
  </si>
  <si>
    <t>Z448783</t>
  </si>
  <si>
    <t>Z747912</t>
  </si>
  <si>
    <t>Z878286</t>
  </si>
  <si>
    <t>Z399934</t>
  </si>
  <si>
    <t>Z918076</t>
  </si>
  <si>
    <t>Z317567</t>
  </si>
  <si>
    <t>Z347151</t>
  </si>
  <si>
    <t>Z481440</t>
  </si>
  <si>
    <t>Z517365</t>
  </si>
  <si>
    <t>Z809289</t>
  </si>
  <si>
    <t>Z846015</t>
  </si>
  <si>
    <t>Z318125</t>
  </si>
  <si>
    <t>Z657806</t>
  </si>
  <si>
    <t>Z355692</t>
  </si>
  <si>
    <t>Z759616</t>
  </si>
  <si>
    <t>Z583519</t>
  </si>
  <si>
    <t>Z456253</t>
  </si>
  <si>
    <t>Z624266</t>
  </si>
  <si>
    <t>Z541475</t>
  </si>
  <si>
    <t>Z180043</t>
  </si>
  <si>
    <t>Z133784</t>
  </si>
  <si>
    <t>Z162385</t>
  </si>
  <si>
    <t>Z410154</t>
  </si>
  <si>
    <t>Z426299</t>
  </si>
  <si>
    <t>Z455785</t>
  </si>
  <si>
    <t>Z763762</t>
  </si>
  <si>
    <t>Z576850</t>
  </si>
  <si>
    <t>Z188846</t>
  </si>
  <si>
    <t>Z938332</t>
  </si>
  <si>
    <t>Z851614</t>
  </si>
  <si>
    <t>Z451761</t>
  </si>
  <si>
    <t>Z725262</t>
  </si>
  <si>
    <t>Z921588</t>
  </si>
  <si>
    <t>Z247446</t>
  </si>
  <si>
    <t>Z568014</t>
  </si>
  <si>
    <t>Z260793</t>
  </si>
  <si>
    <t>Z549861</t>
  </si>
  <si>
    <t>Z935344</t>
  </si>
  <si>
    <t>Z114025</t>
  </si>
  <si>
    <t>Z907094</t>
  </si>
  <si>
    <t>Z647648</t>
  </si>
  <si>
    <t>Z697431</t>
  </si>
  <si>
    <t>Z322201</t>
  </si>
  <si>
    <t>Z284590</t>
  </si>
  <si>
    <t>Z410592</t>
  </si>
  <si>
    <t>Z167597</t>
  </si>
  <si>
    <t>Z999619</t>
  </si>
  <si>
    <t>Z958873</t>
  </si>
  <si>
    <t>Z336518</t>
  </si>
  <si>
    <t>Z583825</t>
  </si>
  <si>
    <t>Z520314</t>
  </si>
  <si>
    <t>Z163297</t>
  </si>
  <si>
    <t>Z510372</t>
  </si>
  <si>
    <t>Z857264</t>
  </si>
  <si>
    <t>Z382714</t>
  </si>
  <si>
    <t>Z493298</t>
  </si>
  <si>
    <t>Z775159</t>
  </si>
  <si>
    <t>Z498834</t>
  </si>
  <si>
    <t>Z586731</t>
  </si>
  <si>
    <t>Z318363</t>
  </si>
  <si>
    <t>Z731413</t>
  </si>
  <si>
    <t>Z364003</t>
  </si>
  <si>
    <t>Z533666</t>
  </si>
  <si>
    <t>Z828912</t>
  </si>
  <si>
    <t>Z109548</t>
  </si>
  <si>
    <t>Z291166</t>
  </si>
  <si>
    <t>Z637177</t>
  </si>
  <si>
    <t>Z562008</t>
  </si>
  <si>
    <t>Z385249</t>
  </si>
  <si>
    <t>Z556183</t>
  </si>
  <si>
    <t>Z155164</t>
  </si>
  <si>
    <t>Z902598</t>
  </si>
  <si>
    <t>Z623417</t>
  </si>
  <si>
    <t>Z933597</t>
  </si>
  <si>
    <t>Z860497</t>
  </si>
  <si>
    <t>Z134117</t>
  </si>
  <si>
    <t>Z751369</t>
  </si>
  <si>
    <t>Z256769</t>
  </si>
  <si>
    <t>Z109226</t>
  </si>
  <si>
    <t>Z838502</t>
  </si>
  <si>
    <t>Z610841</t>
  </si>
  <si>
    <t>Z498077</t>
  </si>
  <si>
    <t>Z672081</t>
  </si>
  <si>
    <t>Z160336</t>
  </si>
  <si>
    <t>Z506795</t>
  </si>
  <si>
    <t>Z223392</t>
  </si>
  <si>
    <t>Z957117</t>
  </si>
  <si>
    <t>Z439706</t>
  </si>
  <si>
    <t>Z200194</t>
  </si>
  <si>
    <t>Z730370</t>
  </si>
  <si>
    <t>Z621075</t>
  </si>
  <si>
    <t>Z551973</t>
  </si>
  <si>
    <t>Z145771</t>
  </si>
  <si>
    <t>Z854076</t>
  </si>
  <si>
    <t>Z466906</t>
  </si>
  <si>
    <t>Z760998</t>
  </si>
  <si>
    <t>Z449046</t>
  </si>
  <si>
    <t>Z879801</t>
  </si>
  <si>
    <t>Z850827</t>
  </si>
  <si>
    <t>Z322347</t>
  </si>
  <si>
    <t>Z583280</t>
  </si>
  <si>
    <t>Z855124</t>
  </si>
  <si>
    <t>Z644034</t>
  </si>
  <si>
    <t>Z857555</t>
  </si>
  <si>
    <t>Z372530</t>
  </si>
  <si>
    <t>Z247965</t>
  </si>
  <si>
    <t>Z683332</t>
  </si>
  <si>
    <t>Z996390</t>
  </si>
  <si>
    <t>Z424450</t>
  </si>
  <si>
    <t>Z869823</t>
  </si>
  <si>
    <t>Z540483</t>
  </si>
  <si>
    <t>Z138106</t>
  </si>
  <si>
    <t>Z709901</t>
  </si>
  <si>
    <t>Z412447</t>
  </si>
  <si>
    <t>Z815888</t>
  </si>
  <si>
    <t>Z151863</t>
  </si>
  <si>
    <t>Z230201</t>
  </si>
  <si>
    <t>Z900695</t>
  </si>
  <si>
    <t>Z683261</t>
  </si>
  <si>
    <t>Z236707</t>
  </si>
  <si>
    <t>Z293311</t>
  </si>
  <si>
    <t>Z808235</t>
  </si>
  <si>
    <t>Z164399</t>
  </si>
  <si>
    <t>Z470162</t>
  </si>
  <si>
    <t>Z612003</t>
  </si>
  <si>
    <t>Z759632</t>
  </si>
  <si>
    <t>Z192925</t>
  </si>
  <si>
    <t>Z311984</t>
  </si>
  <si>
    <t>Z888525</t>
  </si>
  <si>
    <t>Z673332</t>
  </si>
  <si>
    <t>Z777814</t>
  </si>
  <si>
    <t>Z843669</t>
  </si>
  <si>
    <t>Z368116</t>
  </si>
  <si>
    <t>Z881538</t>
  </si>
  <si>
    <t>Z231382</t>
  </si>
  <si>
    <t>Z848736</t>
  </si>
  <si>
    <t>Z526427</t>
  </si>
  <si>
    <t>Z132054</t>
  </si>
  <si>
    <t>Z693314</t>
  </si>
  <si>
    <t>Z620466</t>
  </si>
  <si>
    <t>Z607557</t>
  </si>
  <si>
    <t>Z664361</t>
  </si>
  <si>
    <t>Z696908</t>
  </si>
  <si>
    <t>Z129666</t>
  </si>
  <si>
    <t>Z161013</t>
  </si>
  <si>
    <t>Z731399</t>
  </si>
  <si>
    <t>Z454448</t>
  </si>
  <si>
    <t>Z113330</t>
  </si>
  <si>
    <t>Z649595</t>
  </si>
  <si>
    <t>Z227679</t>
  </si>
  <si>
    <t>Z969351</t>
  </si>
  <si>
    <t>Z125952</t>
  </si>
  <si>
    <t>Z618238</t>
  </si>
  <si>
    <t>Z815061</t>
  </si>
  <si>
    <t>Z969907</t>
  </si>
  <si>
    <t>Z379514</t>
  </si>
  <si>
    <t>Z206323</t>
  </si>
  <si>
    <t>Z383697</t>
  </si>
  <si>
    <t>Z891262</t>
  </si>
  <si>
    <t>Z955965</t>
  </si>
  <si>
    <t>Z588524</t>
  </si>
  <si>
    <t>Z841888</t>
  </si>
  <si>
    <t>Z768018</t>
  </si>
  <si>
    <t>Z145971</t>
  </si>
  <si>
    <t>Z239217</t>
  </si>
  <si>
    <t>Z244493</t>
  </si>
  <si>
    <t>Z626768</t>
  </si>
  <si>
    <t>Z949445</t>
  </si>
  <si>
    <t>Z353355</t>
  </si>
  <si>
    <t>Z244619</t>
  </si>
  <si>
    <t>Z102417</t>
  </si>
  <si>
    <t>Z506752</t>
  </si>
  <si>
    <t>Z363604</t>
  </si>
  <si>
    <t>Z933835</t>
  </si>
  <si>
    <t>Z603819</t>
  </si>
  <si>
    <t>Z576804</t>
  </si>
  <si>
    <t>Z602747</t>
  </si>
  <si>
    <t>Z121444</t>
  </si>
  <si>
    <t>Z971536</t>
  </si>
  <si>
    <t>Z215537</t>
  </si>
  <si>
    <t>Z520403</t>
  </si>
  <si>
    <t>Z811864</t>
  </si>
  <si>
    <t>Z348326</t>
  </si>
  <si>
    <t>Z976639</t>
  </si>
  <si>
    <t>Z556321</t>
  </si>
  <si>
    <t>Z335923</t>
  </si>
  <si>
    <t>Z480303</t>
  </si>
  <si>
    <t>Z669008</t>
  </si>
  <si>
    <t>Z699079</t>
  </si>
  <si>
    <t>Z523878</t>
  </si>
  <si>
    <t>Z718642</t>
  </si>
  <si>
    <t>Z836052</t>
  </si>
  <si>
    <t>Z381554</t>
  </si>
  <si>
    <t>Z384635</t>
  </si>
  <si>
    <t>Z408626</t>
  </si>
  <si>
    <t>Z584485</t>
  </si>
  <si>
    <t>Z660980</t>
  </si>
  <si>
    <t>Z821315</t>
  </si>
  <si>
    <t>Z152070</t>
  </si>
  <si>
    <t>Z922929</t>
  </si>
  <si>
    <t>Z463561</t>
  </si>
  <si>
    <t>Z533889</t>
  </si>
  <si>
    <t>Z650599</t>
  </si>
  <si>
    <t>Z250580</t>
  </si>
  <si>
    <t>Z528963</t>
  </si>
  <si>
    <t>Z495468</t>
  </si>
  <si>
    <t>Z652104</t>
  </si>
  <si>
    <t>Z461227</t>
  </si>
  <si>
    <t>Z105335</t>
  </si>
  <si>
    <t>Z479558</t>
  </si>
  <si>
    <t>Z184034</t>
  </si>
  <si>
    <t>Z816713</t>
  </si>
  <si>
    <t>Z100893</t>
  </si>
  <si>
    <t>Z722154</t>
  </si>
  <si>
    <t>Z722041</t>
  </si>
  <si>
    <t>Z463458</t>
  </si>
  <si>
    <t>Z297200</t>
  </si>
  <si>
    <t>Z176495</t>
  </si>
  <si>
    <t>Z443344</t>
  </si>
  <si>
    <t>Z778409</t>
  </si>
  <si>
    <t>Z480250</t>
  </si>
  <si>
    <t>Z961910</t>
  </si>
  <si>
    <t>Z900609</t>
  </si>
  <si>
    <t>Z227791</t>
  </si>
  <si>
    <t>Z672625</t>
  </si>
  <si>
    <t>Z119632</t>
  </si>
  <si>
    <t>Z842194</t>
  </si>
  <si>
    <t>Z824497</t>
  </si>
  <si>
    <t>Z115088</t>
  </si>
  <si>
    <t>Z224469</t>
  </si>
  <si>
    <t>Z998804</t>
  </si>
  <si>
    <t>Z416674</t>
  </si>
  <si>
    <t>Z592395</t>
  </si>
  <si>
    <t>Z624194</t>
  </si>
  <si>
    <t>Z451502</t>
  </si>
  <si>
    <t>Z287035</t>
  </si>
  <si>
    <t>Z756024</t>
  </si>
  <si>
    <t>Z120515</t>
  </si>
  <si>
    <t>Z916655</t>
  </si>
  <si>
    <t>Z315003</t>
  </si>
  <si>
    <t>Z914262</t>
  </si>
  <si>
    <t>Z205737</t>
  </si>
  <si>
    <t>Z478658</t>
  </si>
  <si>
    <t>Z338381</t>
  </si>
  <si>
    <t>Z521564</t>
  </si>
  <si>
    <t>Z570990</t>
  </si>
  <si>
    <t>Z133144</t>
  </si>
  <si>
    <t>Z497028</t>
  </si>
  <si>
    <t>Z505930</t>
  </si>
  <si>
    <t>Z971906</t>
  </si>
  <si>
    <t>Z640845</t>
  </si>
  <si>
    <t>Z143856</t>
  </si>
  <si>
    <t>Z122652</t>
  </si>
  <si>
    <t>Z413306</t>
  </si>
  <si>
    <t>Z556197</t>
  </si>
  <si>
    <t>Z472325</t>
  </si>
  <si>
    <t>Z915441</t>
  </si>
  <si>
    <t>Z375650</t>
  </si>
  <si>
    <t>Z103938</t>
  </si>
  <si>
    <t>Z878397</t>
  </si>
  <si>
    <t>Z835257</t>
  </si>
  <si>
    <t>Z983517</t>
  </si>
  <si>
    <t>Z383229</t>
  </si>
  <si>
    <t>Z780614</t>
  </si>
  <si>
    <t>Z976088</t>
  </si>
  <si>
    <t>Z341457</t>
  </si>
  <si>
    <t>Z313912</t>
  </si>
  <si>
    <t>Z569109</t>
  </si>
  <si>
    <t>Z799721</t>
  </si>
  <si>
    <t>Z897496</t>
  </si>
  <si>
    <t>Z450292</t>
  </si>
  <si>
    <t>Z561723</t>
  </si>
  <si>
    <t>Z961185</t>
  </si>
  <si>
    <t>Z797886</t>
  </si>
  <si>
    <t>Z730345</t>
  </si>
  <si>
    <t>Z425896</t>
  </si>
  <si>
    <t>Z550507</t>
  </si>
  <si>
    <t>Z314758</t>
  </si>
  <si>
    <t>Z643681</t>
  </si>
  <si>
    <t>Z696020</t>
  </si>
  <si>
    <t>Z465660</t>
  </si>
  <si>
    <t>Z657461</t>
  </si>
  <si>
    <t>Z163880</t>
  </si>
  <si>
    <t>Z918415</t>
  </si>
  <si>
    <t>Z632701</t>
  </si>
  <si>
    <t>Z145694</t>
  </si>
  <si>
    <t>Z531075</t>
  </si>
  <si>
    <t>Z377603</t>
  </si>
  <si>
    <t>Z567212</t>
  </si>
  <si>
    <t>Z170874</t>
  </si>
  <si>
    <t>Z861255</t>
  </si>
  <si>
    <t>Z583927</t>
  </si>
  <si>
    <t>Z568508</t>
  </si>
  <si>
    <t>Z690164</t>
  </si>
  <si>
    <t>Z294465</t>
  </si>
  <si>
    <t>Z487807</t>
  </si>
  <si>
    <t>Z142052</t>
  </si>
  <si>
    <t>Z581731</t>
  </si>
  <si>
    <t>Z208328</t>
  </si>
  <si>
    <t>Z176642</t>
  </si>
  <si>
    <t>Z201834</t>
  </si>
  <si>
    <t>Z973362</t>
  </si>
  <si>
    <t>Z599931</t>
  </si>
  <si>
    <t>Z602216</t>
  </si>
  <si>
    <t>Z638158</t>
  </si>
  <si>
    <t>Z809126</t>
  </si>
  <si>
    <t>Z180175</t>
  </si>
  <si>
    <t>Z581982</t>
  </si>
  <si>
    <t>Z496539</t>
  </si>
  <si>
    <t>Z379210</t>
  </si>
  <si>
    <t>Z773122</t>
  </si>
  <si>
    <t>Z761465</t>
  </si>
  <si>
    <t>Z858156</t>
  </si>
  <si>
    <t>Z683168</t>
  </si>
  <si>
    <t>Z299872</t>
  </si>
  <si>
    <t>Z947550</t>
  </si>
  <si>
    <t>Z977922</t>
  </si>
  <si>
    <t>Z274922</t>
  </si>
  <si>
    <t>Z910428</t>
  </si>
  <si>
    <t>Z177376</t>
  </si>
  <si>
    <t>Z915693</t>
  </si>
  <si>
    <t>Z161194</t>
  </si>
  <si>
    <t>Z705245</t>
  </si>
  <si>
    <t>Z353329</t>
  </si>
  <si>
    <t>Z443373</t>
  </si>
  <si>
    <t>Z951085</t>
  </si>
  <si>
    <t>Z791440</t>
  </si>
  <si>
    <t>Z237687</t>
  </si>
  <si>
    <t>Z211841</t>
  </si>
  <si>
    <t>Z920180</t>
  </si>
  <si>
    <t>Z892325</t>
  </si>
  <si>
    <t>Z264480</t>
  </si>
  <si>
    <t>Z288912</t>
  </si>
  <si>
    <t>Z923382</t>
  </si>
  <si>
    <t>Z406372</t>
  </si>
  <si>
    <t>Z517072</t>
  </si>
  <si>
    <t>Z879240</t>
  </si>
  <si>
    <t>Z522049</t>
  </si>
  <si>
    <t>Z931895</t>
  </si>
  <si>
    <t>Z834504</t>
  </si>
  <si>
    <t>Z380223</t>
  </si>
  <si>
    <t>Z139692</t>
  </si>
  <si>
    <t>Z516947</t>
  </si>
  <si>
    <t>Z591903</t>
  </si>
  <si>
    <t>Z428329</t>
  </si>
  <si>
    <t>Z604176</t>
  </si>
  <si>
    <t>Z135034</t>
  </si>
  <si>
    <t>Z654255</t>
  </si>
  <si>
    <t>Z638327</t>
  </si>
  <si>
    <t>Z991442</t>
  </si>
  <si>
    <t>Z992053</t>
  </si>
  <si>
    <t>Z493643</t>
  </si>
  <si>
    <t>Z610542</t>
  </si>
  <si>
    <t>Z588451</t>
  </si>
  <si>
    <t>Z353204</t>
  </si>
  <si>
    <t>Z878881</t>
  </si>
  <si>
    <t>Z408425</t>
  </si>
  <si>
    <t>Z246979</t>
  </si>
  <si>
    <t>Z217131</t>
  </si>
  <si>
    <t>Z569838</t>
  </si>
  <si>
    <t>Z404306</t>
  </si>
  <si>
    <t>Z425158</t>
  </si>
  <si>
    <t>Z408549</t>
  </si>
  <si>
    <t>Z992313</t>
  </si>
  <si>
    <t>Z661069</t>
  </si>
  <si>
    <t>Z333954</t>
  </si>
  <si>
    <t>Z381804</t>
  </si>
  <si>
    <t>Z376735</t>
  </si>
  <si>
    <t>Z682892</t>
  </si>
  <si>
    <t>Z117550</t>
  </si>
  <si>
    <t>Z670212</t>
  </si>
  <si>
    <t>Z448025</t>
  </si>
  <si>
    <t>Z182790</t>
  </si>
  <si>
    <t>Z780787</t>
  </si>
  <si>
    <t>Z479066</t>
  </si>
  <si>
    <t>Z886521</t>
  </si>
  <si>
    <t>Z159536</t>
  </si>
  <si>
    <t>Z590213</t>
  </si>
  <si>
    <t>Z561249</t>
  </si>
  <si>
    <t>Z234200</t>
  </si>
  <si>
    <t>Z615126</t>
  </si>
  <si>
    <t>Z117252</t>
  </si>
  <si>
    <t>Z381542</t>
  </si>
  <si>
    <t>Z240706</t>
  </si>
  <si>
    <t>Z479990</t>
  </si>
  <si>
    <t>Z675616</t>
  </si>
  <si>
    <t>Z498353</t>
  </si>
  <si>
    <t>Z511175</t>
  </si>
  <si>
    <t>Z472169</t>
  </si>
  <si>
    <t>Z515306</t>
  </si>
  <si>
    <t>Z443470</t>
  </si>
  <si>
    <t>Z447635</t>
  </si>
  <si>
    <t>Z497506</t>
  </si>
  <si>
    <t>Z575271</t>
  </si>
  <si>
    <t>Z528459</t>
  </si>
  <si>
    <t>Z615885</t>
  </si>
  <si>
    <t>Z420308</t>
  </si>
  <si>
    <t>Z675967</t>
  </si>
  <si>
    <t>Z987134</t>
  </si>
  <si>
    <t>Z558821</t>
  </si>
  <si>
    <t>Z432007</t>
  </si>
  <si>
    <t>Z565120</t>
  </si>
  <si>
    <t>Z521411</t>
  </si>
  <si>
    <t>Z930793</t>
  </si>
  <si>
    <t>Z494269</t>
  </si>
  <si>
    <t>Z251729</t>
  </si>
  <si>
    <t>Z440774</t>
  </si>
  <si>
    <t>Z472103</t>
  </si>
  <si>
    <t>Z587819</t>
  </si>
  <si>
    <t>Z878554</t>
  </si>
  <si>
    <t>Z273727</t>
  </si>
  <si>
    <t>Z653505</t>
  </si>
  <si>
    <t>Z291020</t>
  </si>
  <si>
    <t>Z172814</t>
  </si>
  <si>
    <t>Z665039</t>
  </si>
  <si>
    <t>Z835243</t>
  </si>
  <si>
    <t>Z732396</t>
  </si>
  <si>
    <t>Z653588</t>
  </si>
  <si>
    <t>Z459041</t>
  </si>
  <si>
    <t>Z500619</t>
  </si>
  <si>
    <t>Z734877</t>
  </si>
  <si>
    <t>Z980010</t>
  </si>
  <si>
    <t>Z262202</t>
  </si>
  <si>
    <t>Z858086</t>
  </si>
  <si>
    <t>Z527398</t>
  </si>
  <si>
    <t>Z876013</t>
  </si>
  <si>
    <t>Z200665</t>
  </si>
  <si>
    <t>Z599130</t>
  </si>
  <si>
    <t>Z742527</t>
  </si>
  <si>
    <t>Z625730</t>
  </si>
  <si>
    <t>Z322262</t>
  </si>
  <si>
    <t>Z491272</t>
  </si>
  <si>
    <t>Z929312</t>
  </si>
  <si>
    <t>Z808637</t>
  </si>
  <si>
    <t>Z187638</t>
  </si>
  <si>
    <t>Z999219</t>
  </si>
  <si>
    <t>Z917763</t>
  </si>
  <si>
    <t>Z476392</t>
  </si>
  <si>
    <t>Z187409</t>
  </si>
  <si>
    <t>Z212911</t>
  </si>
  <si>
    <t>Z853349</t>
  </si>
  <si>
    <t>Z676740</t>
  </si>
  <si>
    <t>Z724635</t>
  </si>
  <si>
    <t>Z170701</t>
  </si>
  <si>
    <t>Z670083</t>
  </si>
  <si>
    <t>Z840918</t>
  </si>
  <si>
    <t>Z621392</t>
  </si>
  <si>
    <t>Z460779</t>
  </si>
  <si>
    <t>Z745373</t>
  </si>
  <si>
    <t>Z569418</t>
  </si>
  <si>
    <t>Z637508</t>
  </si>
  <si>
    <t>Z715979</t>
  </si>
  <si>
    <t>Z860278</t>
  </si>
  <si>
    <t>Z505680</t>
  </si>
  <si>
    <t>Z793775</t>
  </si>
  <si>
    <t>Z405643</t>
  </si>
  <si>
    <t>Z873316</t>
  </si>
  <si>
    <t>Z233534</t>
  </si>
  <si>
    <t>Z475845</t>
  </si>
  <si>
    <t>Z215215</t>
  </si>
  <si>
    <t>Z330692</t>
  </si>
  <si>
    <t>Z578298</t>
  </si>
  <si>
    <t>Z194824</t>
  </si>
  <si>
    <t>Z410074</t>
  </si>
  <si>
    <t>Z404604</t>
  </si>
  <si>
    <t>Z716530</t>
  </si>
  <si>
    <t>Z660765</t>
  </si>
  <si>
    <t>Z924991</t>
  </si>
  <si>
    <t>Z699890</t>
  </si>
  <si>
    <t>Z223974</t>
  </si>
  <si>
    <t>Z630680</t>
  </si>
  <si>
    <t>Z927921</t>
  </si>
  <si>
    <t>Z880747</t>
  </si>
  <si>
    <t>Z824509</t>
  </si>
  <si>
    <t>Z212179</t>
  </si>
  <si>
    <t>Z608860</t>
  </si>
  <si>
    <t>Z688510</t>
  </si>
  <si>
    <t>Z271071</t>
  </si>
  <si>
    <t>Z925060</t>
  </si>
  <si>
    <t>Z424130</t>
  </si>
  <si>
    <t>Z948673</t>
  </si>
  <si>
    <t>Z642500</t>
  </si>
  <si>
    <t>Z640122</t>
  </si>
  <si>
    <t>Z382066</t>
  </si>
  <si>
    <t>Z729534</t>
  </si>
  <si>
    <t>Z338371</t>
  </si>
  <si>
    <t>Z660803</t>
  </si>
  <si>
    <t>Z952911</t>
  </si>
  <si>
    <t>Z513174</t>
  </si>
  <si>
    <t>Z457263</t>
  </si>
  <si>
    <t>Z327836</t>
  </si>
  <si>
    <t>Z958469</t>
  </si>
  <si>
    <t>Z371307</t>
  </si>
  <si>
    <t>Z961699</t>
  </si>
  <si>
    <t>Z676708</t>
  </si>
  <si>
    <t>Z689651</t>
  </si>
  <si>
    <t>Z598961</t>
  </si>
  <si>
    <t>Z616231</t>
  </si>
  <si>
    <t>Z609683</t>
  </si>
  <si>
    <t>Z548993</t>
  </si>
  <si>
    <t>Z789657</t>
  </si>
  <si>
    <t>Z479571</t>
  </si>
  <si>
    <t>Z554680</t>
  </si>
  <si>
    <t>Z193365</t>
  </si>
  <si>
    <t>Z331755</t>
  </si>
  <si>
    <t>Z974030</t>
  </si>
  <si>
    <t>Z165458</t>
  </si>
  <si>
    <t>Z669323</t>
  </si>
  <si>
    <t>Z336626</t>
  </si>
  <si>
    <t>Z546765</t>
  </si>
  <si>
    <t>Z913245</t>
  </si>
  <si>
    <t>Z488767</t>
  </si>
  <si>
    <t>Z272760</t>
  </si>
  <si>
    <t>Z511607</t>
  </si>
  <si>
    <t>Z913364</t>
  </si>
  <si>
    <t>Z906264</t>
  </si>
  <si>
    <t>Z907386</t>
  </si>
  <si>
    <t>Z859468</t>
  </si>
  <si>
    <t>Z195442</t>
  </si>
  <si>
    <t>Z681110</t>
  </si>
  <si>
    <t>Z624905</t>
  </si>
  <si>
    <t>Z509971</t>
  </si>
  <si>
    <t>Z750784</t>
  </si>
  <si>
    <t>Z715284</t>
  </si>
  <si>
    <t>Z933832</t>
  </si>
  <si>
    <t>Z853555</t>
  </si>
  <si>
    <t>Z389447</t>
  </si>
  <si>
    <t>Z299425</t>
  </si>
  <si>
    <t>Z510113</t>
  </si>
  <si>
    <t>Z266062</t>
  </si>
  <si>
    <t>Z262554</t>
  </si>
  <si>
    <t>Z667970</t>
  </si>
  <si>
    <t>Z211468</t>
  </si>
  <si>
    <t>Z797982</t>
  </si>
  <si>
    <t>Z102149</t>
  </si>
  <si>
    <t>Z951203</t>
  </si>
  <si>
    <t>Z343023</t>
  </si>
  <si>
    <t>Z432210</t>
  </si>
  <si>
    <t>Z992768</t>
  </si>
  <si>
    <t>Z481289</t>
  </si>
  <si>
    <t>Z297574</t>
  </si>
  <si>
    <t>Z634765</t>
  </si>
  <si>
    <t>Z768516</t>
  </si>
  <si>
    <t>Z277959</t>
  </si>
  <si>
    <t>Z462583</t>
  </si>
  <si>
    <t>Z408209</t>
  </si>
  <si>
    <t>Z623609</t>
  </si>
  <si>
    <t>Z326970</t>
  </si>
  <si>
    <t>Z526584</t>
  </si>
  <si>
    <t>Z177075</t>
  </si>
  <si>
    <t>Z548205</t>
  </si>
  <si>
    <t>Z366418</t>
  </si>
  <si>
    <t>Z778473</t>
  </si>
  <si>
    <t>Z691043</t>
  </si>
  <si>
    <t>Z105488</t>
  </si>
  <si>
    <t>Z329607</t>
  </si>
  <si>
    <t>Z850551</t>
  </si>
  <si>
    <t>Z144220</t>
  </si>
  <si>
    <t>Z806761</t>
  </si>
  <si>
    <t>Z909237</t>
  </si>
  <si>
    <t>Z746150</t>
  </si>
  <si>
    <t>Z473742</t>
  </si>
  <si>
    <t>Z285282</t>
  </si>
  <si>
    <t>Z558539</t>
  </si>
  <si>
    <t>Z328149</t>
  </si>
  <si>
    <t>Z878451</t>
  </si>
  <si>
    <t>Z363327</t>
  </si>
  <si>
    <t>Z580885</t>
  </si>
  <si>
    <t>Z573815</t>
  </si>
  <si>
    <t>Z612493</t>
  </si>
  <si>
    <t>Z906240</t>
  </si>
  <si>
    <t>Z491465</t>
  </si>
  <si>
    <t>Z145284</t>
  </si>
  <si>
    <t>Z973026</t>
  </si>
  <si>
    <t>Z417921</t>
  </si>
  <si>
    <t>Z341725</t>
  </si>
  <si>
    <t>Z222586</t>
  </si>
  <si>
    <t>Z991868</t>
  </si>
  <si>
    <t>Z743786</t>
  </si>
  <si>
    <t>Z799823</t>
  </si>
  <si>
    <t>Z346117</t>
  </si>
  <si>
    <t>Z439297</t>
  </si>
  <si>
    <t>Z796658</t>
  </si>
  <si>
    <t>Z295934</t>
  </si>
  <si>
    <t>Z660897</t>
  </si>
  <si>
    <t>Z405944</t>
  </si>
  <si>
    <t>Z560838</t>
  </si>
  <si>
    <t>Z281404</t>
  </si>
  <si>
    <t>Z584332</t>
  </si>
  <si>
    <t>Z279674</t>
  </si>
  <si>
    <t>Z325195</t>
  </si>
  <si>
    <t>Z249398</t>
  </si>
  <si>
    <t>Z428626</t>
  </si>
  <si>
    <t>Z488395</t>
  </si>
  <si>
    <t>Z373544</t>
  </si>
  <si>
    <t>Z651626</t>
  </si>
  <si>
    <t>Z542567</t>
  </si>
  <si>
    <t>Z678639</t>
  </si>
  <si>
    <t>Z597703</t>
  </si>
  <si>
    <t>Z477580</t>
  </si>
  <si>
    <t>Z363473</t>
  </si>
  <si>
    <t>Z962957</t>
  </si>
  <si>
    <t>Z812700</t>
  </si>
  <si>
    <t>Z774905</t>
  </si>
  <si>
    <t>Z238405</t>
  </si>
  <si>
    <t>Z615545</t>
  </si>
  <si>
    <t>Z841050</t>
  </si>
  <si>
    <t>Z469833</t>
  </si>
  <si>
    <t>Z338256</t>
  </si>
  <si>
    <t>Z634890</t>
  </si>
  <si>
    <t>Z122586</t>
  </si>
  <si>
    <t>Z235747</t>
  </si>
  <si>
    <t>Z581640</t>
  </si>
  <si>
    <t>Z613833</t>
  </si>
  <si>
    <t>Z116611</t>
  </si>
  <si>
    <t>Z789467</t>
  </si>
  <si>
    <t>Z539950</t>
  </si>
  <si>
    <t>Z178776</t>
  </si>
  <si>
    <t>Z250212</t>
  </si>
  <si>
    <t>Z862784</t>
  </si>
  <si>
    <t>Z189115</t>
  </si>
  <si>
    <t>Z186649</t>
  </si>
  <si>
    <t>Z668070</t>
  </si>
  <si>
    <t>Z456095</t>
  </si>
  <si>
    <t>Z379658</t>
  </si>
  <si>
    <t>Z145202</t>
  </si>
  <si>
    <t>Z941605</t>
  </si>
  <si>
    <t>Z833889</t>
  </si>
  <si>
    <t>Z353328</t>
  </si>
  <si>
    <t>Z980659</t>
  </si>
  <si>
    <t>Z909819</t>
  </si>
  <si>
    <t>Z422667</t>
  </si>
  <si>
    <t>Z656637</t>
  </si>
  <si>
    <t>Z313848</t>
  </si>
  <si>
    <t>Z665915</t>
  </si>
  <si>
    <t>Z818196</t>
  </si>
  <si>
    <t>Z823642</t>
  </si>
  <si>
    <t>Z441862</t>
  </si>
  <si>
    <t>Z679736</t>
  </si>
  <si>
    <t>Z206213</t>
  </si>
  <si>
    <t>Z493657</t>
  </si>
  <si>
    <t>Z499961</t>
  </si>
  <si>
    <t>Z617342</t>
  </si>
  <si>
    <t>Z436265</t>
  </si>
  <si>
    <t>Z818583</t>
  </si>
  <si>
    <t>Z452259</t>
  </si>
  <si>
    <t>Z321244</t>
  </si>
  <si>
    <t>Z204471</t>
  </si>
  <si>
    <t>Z846549</t>
  </si>
  <si>
    <t>Z608622</t>
  </si>
  <si>
    <t>Z541579</t>
  </si>
  <si>
    <t>Z571077</t>
  </si>
  <si>
    <t>Z703941</t>
  </si>
  <si>
    <t>Z984897</t>
  </si>
  <si>
    <t>Z585877</t>
  </si>
  <si>
    <t>Z381046</t>
  </si>
  <si>
    <t>Z891668</t>
  </si>
  <si>
    <t>Z286375</t>
  </si>
  <si>
    <t>Z728771</t>
  </si>
  <si>
    <t>Z298227</t>
  </si>
  <si>
    <t>Z428002</t>
  </si>
  <si>
    <t>Z227584</t>
  </si>
  <si>
    <t>Z543621</t>
  </si>
  <si>
    <t>Z772480</t>
  </si>
  <si>
    <t>Z354716</t>
  </si>
  <si>
    <t>Z680418</t>
  </si>
  <si>
    <t>Z695741</t>
  </si>
  <si>
    <t>Z912771</t>
  </si>
  <si>
    <t>Z533134</t>
  </si>
  <si>
    <t>Z539784</t>
  </si>
  <si>
    <t>Z635454</t>
  </si>
  <si>
    <t>Z719482</t>
  </si>
  <si>
    <t>Z157222</t>
  </si>
  <si>
    <t>Z485860</t>
  </si>
  <si>
    <t>Z201098</t>
  </si>
  <si>
    <t>Z289988</t>
  </si>
  <si>
    <t>Z118219</t>
  </si>
  <si>
    <t>Z249035</t>
  </si>
  <si>
    <t>Z379722</t>
  </si>
  <si>
    <t>Z823302</t>
  </si>
  <si>
    <t>Z924358</t>
  </si>
  <si>
    <t>Z803495</t>
  </si>
  <si>
    <t>Z691405</t>
  </si>
  <si>
    <t>Z564732</t>
  </si>
  <si>
    <t>Z241330</t>
  </si>
  <si>
    <t>Z442726</t>
  </si>
  <si>
    <t>Z397367</t>
  </si>
  <si>
    <t>Z171542</t>
  </si>
  <si>
    <t>Z682472</t>
  </si>
  <si>
    <t>Z412890</t>
  </si>
  <si>
    <t>Z224203</t>
  </si>
  <si>
    <t>Z400432</t>
  </si>
  <si>
    <t>Z168752</t>
  </si>
  <si>
    <t>Z565063</t>
  </si>
  <si>
    <t>Z128538</t>
  </si>
  <si>
    <t>Z350791</t>
  </si>
  <si>
    <t>Z141948</t>
  </si>
  <si>
    <t>Z405912</t>
  </si>
  <si>
    <t>Z158548</t>
  </si>
  <si>
    <t>Z868857</t>
  </si>
  <si>
    <t>Z952378</t>
  </si>
  <si>
    <t>Z480995</t>
  </si>
  <si>
    <t>Z276417</t>
  </si>
  <si>
    <t>Z755965</t>
  </si>
  <si>
    <t>Z671236</t>
  </si>
  <si>
    <t>Z169824</t>
  </si>
  <si>
    <t>Z700511</t>
  </si>
  <si>
    <t>Z113412</t>
  </si>
  <si>
    <t>Z237422</t>
  </si>
  <si>
    <t>Z608855</t>
  </si>
  <si>
    <t>Z679547</t>
  </si>
  <si>
    <t>Z777293</t>
  </si>
  <si>
    <t>Z947617</t>
  </si>
  <si>
    <t>Z615166</t>
  </si>
  <si>
    <t>Z406236</t>
  </si>
  <si>
    <t>Z478989</t>
  </si>
  <si>
    <t>Z323192</t>
  </si>
  <si>
    <t>Z855827</t>
  </si>
  <si>
    <t>Z595921</t>
  </si>
  <si>
    <t>Z154651</t>
  </si>
  <si>
    <t>Z816409</t>
  </si>
  <si>
    <t>Z455911</t>
  </si>
  <si>
    <t>Z643339</t>
  </si>
  <si>
    <t>Z547377</t>
  </si>
  <si>
    <t>Z265094</t>
  </si>
  <si>
    <t>Z554742</t>
  </si>
  <si>
    <t>Z837028</t>
  </si>
  <si>
    <t>Z726315</t>
  </si>
  <si>
    <t>Z364063</t>
  </si>
  <si>
    <t>Z526686</t>
  </si>
  <si>
    <t>Z646521</t>
  </si>
  <si>
    <t>Z830637</t>
  </si>
  <si>
    <t>Z985316</t>
  </si>
  <si>
    <t>Z569498</t>
  </si>
  <si>
    <t>Z466279</t>
  </si>
  <si>
    <t>Z247105</t>
  </si>
  <si>
    <t>Z244129</t>
  </si>
  <si>
    <t>Z894271</t>
  </si>
  <si>
    <t>Z784548</t>
  </si>
  <si>
    <t>Z101091</t>
  </si>
  <si>
    <t>Z889901</t>
  </si>
  <si>
    <t>Z734885</t>
  </si>
  <si>
    <t>Z560604</t>
  </si>
  <si>
    <t>Z616206</t>
  </si>
  <si>
    <t>Z174670</t>
  </si>
  <si>
    <t>Z329370</t>
  </si>
  <si>
    <t>Z666456</t>
  </si>
  <si>
    <t>Z129806</t>
  </si>
  <si>
    <t>Z246419</t>
  </si>
  <si>
    <t>Z741686</t>
  </si>
  <si>
    <t>Z198044</t>
  </si>
  <si>
    <t>Z647563</t>
  </si>
  <si>
    <t>Z620351</t>
  </si>
  <si>
    <t>Z541602</t>
  </si>
  <si>
    <t>Z297104</t>
  </si>
  <si>
    <t>Z167897</t>
  </si>
  <si>
    <t>Z792153</t>
  </si>
  <si>
    <t>Z451086</t>
  </si>
  <si>
    <t>Z498212</t>
  </si>
  <si>
    <t>Z641875</t>
  </si>
  <si>
    <t>Z533460</t>
  </si>
  <si>
    <t>Z585925</t>
  </si>
  <si>
    <t>Z173417</t>
  </si>
  <si>
    <t>Z149908</t>
  </si>
  <si>
    <t>Z920940</t>
  </si>
  <si>
    <t>Z565678</t>
  </si>
  <si>
    <t>Z679456</t>
  </si>
  <si>
    <t>Z648562</t>
  </si>
  <si>
    <t>Z717291</t>
  </si>
  <si>
    <t>Z304000</t>
  </si>
  <si>
    <t>Z935638</t>
  </si>
  <si>
    <t>Z426408</t>
  </si>
  <si>
    <t>Z118787</t>
  </si>
  <si>
    <t>Z992986</t>
  </si>
  <si>
    <t>Z275223</t>
  </si>
  <si>
    <t>Z149947</t>
  </si>
  <si>
    <t>Z636420</t>
  </si>
  <si>
    <t>Z399279</t>
  </si>
  <si>
    <t>Z757569</t>
  </si>
  <si>
    <t>Z647716</t>
  </si>
  <si>
    <t>Z823021</t>
  </si>
  <si>
    <t>Z336190</t>
  </si>
  <si>
    <t>Z240444</t>
  </si>
  <si>
    <t>Z779391</t>
  </si>
  <si>
    <t>Z556243</t>
  </si>
  <si>
    <t>Z645087</t>
  </si>
  <si>
    <t>Z734272</t>
  </si>
  <si>
    <t>Z194216</t>
  </si>
  <si>
    <t>Z350146</t>
  </si>
  <si>
    <t>Z167913</t>
  </si>
  <si>
    <t>Z701252</t>
  </si>
  <si>
    <t>Z284305</t>
  </si>
  <si>
    <t>Z792648</t>
  </si>
  <si>
    <t>Z791470</t>
  </si>
  <si>
    <t>Z723052</t>
  </si>
  <si>
    <t>Z663718</t>
  </si>
  <si>
    <t>Z344560</t>
  </si>
  <si>
    <t>Z366137</t>
  </si>
  <si>
    <t>Z576345</t>
  </si>
  <si>
    <t>Z619547</t>
  </si>
  <si>
    <t>Z346321</t>
  </si>
  <si>
    <t>Z469777</t>
  </si>
  <si>
    <t>Z595522</t>
  </si>
  <si>
    <t>Z111353</t>
  </si>
  <si>
    <t>Z580024</t>
  </si>
  <si>
    <t>Z470183</t>
  </si>
  <si>
    <t>Z636710</t>
  </si>
  <si>
    <t>Z666187</t>
  </si>
  <si>
    <t>Z574469</t>
  </si>
  <si>
    <t>Z525520</t>
  </si>
  <si>
    <t>Z665001</t>
  </si>
  <si>
    <t>Z360111</t>
  </si>
  <si>
    <t>Z190217</t>
  </si>
  <si>
    <t>Z923344</t>
  </si>
  <si>
    <t>Z615295</t>
  </si>
  <si>
    <t>Z254612</t>
  </si>
  <si>
    <t>Z749391</t>
  </si>
  <si>
    <t>Z726908</t>
  </si>
  <si>
    <t>Z316992</t>
  </si>
  <si>
    <t>Z898196</t>
  </si>
  <si>
    <t>Z729296</t>
  </si>
  <si>
    <t>Z193195</t>
  </si>
  <si>
    <t>Z815620</t>
  </si>
  <si>
    <t>Z410084</t>
  </si>
  <si>
    <t>Z532652</t>
  </si>
  <si>
    <t>Z264822</t>
  </si>
  <si>
    <t>Z100492</t>
  </si>
  <si>
    <t>Z156440</t>
  </si>
  <si>
    <t>Z246604</t>
  </si>
  <si>
    <t>Z325508</t>
  </si>
  <si>
    <t>Z160592</t>
  </si>
  <si>
    <t>Z333547</t>
  </si>
  <si>
    <t>Z367885</t>
  </si>
  <si>
    <t>Z482289</t>
  </si>
  <si>
    <t>Z851685</t>
  </si>
  <si>
    <t>Z525402</t>
  </si>
  <si>
    <t>Z907698</t>
  </si>
  <si>
    <t>Z346705</t>
  </si>
  <si>
    <t>Z124763</t>
  </si>
  <si>
    <t>Z916963</t>
  </si>
  <si>
    <t>Z508075</t>
  </si>
  <si>
    <t>Z966187</t>
  </si>
  <si>
    <t>Z969420</t>
  </si>
  <si>
    <t>Z662202</t>
  </si>
  <si>
    <t>Z508041</t>
  </si>
  <si>
    <t>Z229012</t>
  </si>
  <si>
    <t>Z878943</t>
  </si>
  <si>
    <t>Z540957</t>
  </si>
  <si>
    <t>Z641159</t>
  </si>
  <si>
    <t>Z583474</t>
  </si>
  <si>
    <t>Z790150</t>
  </si>
  <si>
    <t>Z985015</t>
  </si>
  <si>
    <t>Z593656</t>
  </si>
  <si>
    <t>Z440160</t>
  </si>
  <si>
    <t>Z915054</t>
  </si>
  <si>
    <t>Z931722</t>
  </si>
  <si>
    <t>Z731736</t>
  </si>
  <si>
    <t>Z825765</t>
  </si>
  <si>
    <t>Z128180</t>
  </si>
  <si>
    <t>Z118656</t>
  </si>
  <si>
    <t>Z893538</t>
  </si>
  <si>
    <t>Z862150</t>
  </si>
  <si>
    <t>Z576614</t>
  </si>
  <si>
    <t>Z902701</t>
  </si>
  <si>
    <t>Z686281</t>
  </si>
  <si>
    <t>Z788531</t>
  </si>
  <si>
    <t>Z547138</t>
  </si>
  <si>
    <t>Z127492</t>
  </si>
  <si>
    <t>Z543937</t>
  </si>
  <si>
    <t>Z639400</t>
  </si>
  <si>
    <t>Z441197</t>
  </si>
  <si>
    <t>Z853407</t>
  </si>
  <si>
    <t>Z990535</t>
  </si>
  <si>
    <t>Z510616</t>
  </si>
  <si>
    <t>Z391795</t>
  </si>
  <si>
    <t>Z198336</t>
  </si>
  <si>
    <t>Z123696</t>
  </si>
  <si>
    <t>Z748351</t>
  </si>
  <si>
    <t>Z514060</t>
  </si>
  <si>
    <t>Z312614</t>
  </si>
  <si>
    <t>Z852100</t>
  </si>
  <si>
    <t>Z692590</t>
  </si>
  <si>
    <t>Z180598</t>
  </si>
  <si>
    <t>Z252621</t>
  </si>
  <si>
    <t>Z170148</t>
  </si>
  <si>
    <t>Z304413</t>
  </si>
  <si>
    <t>Z151300</t>
  </si>
  <si>
    <t>Z660006</t>
  </si>
  <si>
    <t>Z281106</t>
  </si>
  <si>
    <t>Z612400</t>
  </si>
  <si>
    <t>Z268678</t>
  </si>
  <si>
    <t>Z227945</t>
  </si>
  <si>
    <t>Z604412</t>
  </si>
  <si>
    <t>Z602636</t>
  </si>
  <si>
    <t>Z526181</t>
  </si>
  <si>
    <t>Z649249</t>
  </si>
  <si>
    <t>Z653861</t>
  </si>
  <si>
    <t>Z433515</t>
  </si>
  <si>
    <t>Z207061</t>
  </si>
  <si>
    <t>Z259330</t>
  </si>
  <si>
    <t>Z628296</t>
  </si>
  <si>
    <t>Z333912</t>
  </si>
  <si>
    <t>Z442996</t>
  </si>
  <si>
    <t>Z566173</t>
  </si>
  <si>
    <t>Z474186</t>
  </si>
  <si>
    <t>Z972110</t>
  </si>
  <si>
    <t>Z626281</t>
  </si>
  <si>
    <t>Z561363</t>
  </si>
  <si>
    <t>Z211812</t>
  </si>
  <si>
    <t>Z479810</t>
  </si>
  <si>
    <t>Z384523</t>
  </si>
  <si>
    <t>Z759953</t>
  </si>
  <si>
    <t>Z984822</t>
  </si>
  <si>
    <t>Z624938</t>
  </si>
  <si>
    <t>Z349151</t>
  </si>
  <si>
    <t>Z730807</t>
  </si>
  <si>
    <t>Z427356</t>
  </si>
  <si>
    <t>Z480608</t>
  </si>
  <si>
    <t>Z637986</t>
  </si>
  <si>
    <t>Z915062</t>
  </si>
  <si>
    <t>Z934670</t>
  </si>
  <si>
    <t>Z816629</t>
  </si>
  <si>
    <t>Z408526</t>
  </si>
  <si>
    <t>Z229226</t>
  </si>
  <si>
    <t>Z282542</t>
  </si>
  <si>
    <t>Z738522</t>
  </si>
  <si>
    <t>Z437782</t>
  </si>
  <si>
    <t>Z668812</t>
  </si>
  <si>
    <t>Z129844</t>
  </si>
  <si>
    <t>Z984302</t>
  </si>
  <si>
    <t>Z873025</t>
  </si>
  <si>
    <t>Z750351</t>
  </si>
  <si>
    <t>Z599686</t>
  </si>
  <si>
    <t>Z942870</t>
  </si>
  <si>
    <t>Z621106</t>
  </si>
  <si>
    <t>Z172859</t>
  </si>
  <si>
    <t>Z756123</t>
  </si>
  <si>
    <t>Z468130</t>
  </si>
  <si>
    <t>Z927857</t>
  </si>
  <si>
    <t>Z427007</t>
  </si>
  <si>
    <t>Z319609</t>
  </si>
  <si>
    <t>Z113075</t>
  </si>
  <si>
    <t>Z682694</t>
  </si>
  <si>
    <t>Z261913</t>
  </si>
  <si>
    <t>Z212498</t>
  </si>
  <si>
    <t>Z301445</t>
  </si>
  <si>
    <t>Z294646</t>
  </si>
  <si>
    <t>Z317239</t>
  </si>
  <si>
    <t>Z773529</t>
  </si>
  <si>
    <t>Z456726</t>
  </si>
  <si>
    <t>Z992407</t>
  </si>
  <si>
    <t>Z795855</t>
  </si>
  <si>
    <t>Z115213</t>
  </si>
  <si>
    <t>Z133089</t>
  </si>
  <si>
    <t>Z191315</t>
  </si>
  <si>
    <t>Z857849</t>
  </si>
  <si>
    <t>Z501531</t>
  </si>
  <si>
    <t>Z161191</t>
  </si>
  <si>
    <t>Z915845</t>
  </si>
  <si>
    <t>Z946286</t>
  </si>
  <si>
    <t>Z472605</t>
  </si>
  <si>
    <t>Z376312</t>
  </si>
  <si>
    <t>Z360282</t>
  </si>
  <si>
    <t>Z652094</t>
  </si>
  <si>
    <t>Z415142</t>
  </si>
  <si>
    <t>Z457877</t>
  </si>
  <si>
    <t>Z866439</t>
  </si>
  <si>
    <t>Z655346</t>
  </si>
  <si>
    <t>Z656158</t>
  </si>
  <si>
    <t>Z129175</t>
  </si>
  <si>
    <t>Z844757</t>
  </si>
  <si>
    <t>Z877979</t>
  </si>
  <si>
    <t>Z756981</t>
  </si>
  <si>
    <t>Z126024</t>
  </si>
  <si>
    <t>Z854434</t>
  </si>
  <si>
    <t>Z269111</t>
  </si>
  <si>
    <t>Z936435</t>
  </si>
  <si>
    <t>Z372814</t>
  </si>
  <si>
    <t>Z663221</t>
  </si>
  <si>
    <t>Z591444</t>
  </si>
  <si>
    <t>Z183827</t>
  </si>
  <si>
    <t>Z466579</t>
  </si>
  <si>
    <t>Z541423</t>
  </si>
  <si>
    <t>Z758232</t>
  </si>
  <si>
    <t>Z776581</t>
  </si>
  <si>
    <t>Z610452</t>
  </si>
  <si>
    <t>Z705413</t>
  </si>
  <si>
    <t>Z921488</t>
  </si>
  <si>
    <t>Z544314</t>
  </si>
  <si>
    <t>Z648618</t>
  </si>
  <si>
    <t>Z552139</t>
  </si>
  <si>
    <t>Z509283</t>
  </si>
  <si>
    <t>Z548687</t>
  </si>
  <si>
    <t>Z698774</t>
  </si>
  <si>
    <t>Z669677</t>
  </si>
  <si>
    <t>Z921697</t>
  </si>
  <si>
    <t>Z591096</t>
  </si>
  <si>
    <t>Z213349</t>
  </si>
  <si>
    <t>Z968666</t>
  </si>
  <si>
    <t>Z372865</t>
  </si>
  <si>
    <t>Z111710</t>
  </si>
  <si>
    <t>Z631780</t>
  </si>
  <si>
    <t>Z338903</t>
  </si>
  <si>
    <t>Z952011</t>
  </si>
  <si>
    <t>Z765001</t>
  </si>
  <si>
    <t>Z520028</t>
  </si>
  <si>
    <t>Z777843</t>
  </si>
  <si>
    <t>Z696829</t>
  </si>
  <si>
    <t>Z749000</t>
  </si>
  <si>
    <t>Z497569</t>
  </si>
  <si>
    <t>Z882888</t>
  </si>
  <si>
    <t>Z795850</t>
  </si>
  <si>
    <t>Z597315</t>
  </si>
  <si>
    <t>Z137742</t>
  </si>
  <si>
    <t>Z891821</t>
  </si>
  <si>
    <t>Z428714</t>
  </si>
  <si>
    <t>Z120801</t>
  </si>
  <si>
    <t>Z176389</t>
  </si>
  <si>
    <t>Z504014</t>
  </si>
  <si>
    <t>Z829582</t>
  </si>
  <si>
    <t>Z410017</t>
  </si>
  <si>
    <t>Z382313</t>
  </si>
  <si>
    <t>Z169704</t>
  </si>
  <si>
    <t>Z227864</t>
  </si>
  <si>
    <t>Z429419</t>
  </si>
  <si>
    <t>Z431909</t>
  </si>
  <si>
    <t>Z507356</t>
  </si>
  <si>
    <t>Z317055</t>
  </si>
  <si>
    <t>Z269129</t>
  </si>
  <si>
    <t>Z755426</t>
  </si>
  <si>
    <t>Z647892</t>
  </si>
  <si>
    <t>Z898448</t>
  </si>
  <si>
    <t>Z567447</t>
  </si>
  <si>
    <t>Z282017</t>
  </si>
  <si>
    <t>Z690248</t>
  </si>
  <si>
    <t>Z226671</t>
  </si>
  <si>
    <t>Z452757</t>
  </si>
  <si>
    <t>Z789572</t>
  </si>
  <si>
    <t>Z106136</t>
  </si>
  <si>
    <t>Z353739</t>
  </si>
  <si>
    <t>Z347648</t>
  </si>
  <si>
    <t>Z514677</t>
  </si>
  <si>
    <t>Z156767</t>
  </si>
  <si>
    <t>Z487785</t>
  </si>
  <si>
    <t>Z679079</t>
  </si>
  <si>
    <t>Z261109</t>
  </si>
  <si>
    <t>Z506073</t>
  </si>
  <si>
    <t>Z372904</t>
  </si>
  <si>
    <t>Z795479</t>
  </si>
  <si>
    <t>Z344090</t>
  </si>
  <si>
    <t>Z823106</t>
  </si>
  <si>
    <t>Z614891</t>
  </si>
  <si>
    <t>Z476920</t>
  </si>
  <si>
    <t>Z385354</t>
  </si>
  <si>
    <t>Z134474</t>
  </si>
  <si>
    <t>Z860682</t>
  </si>
  <si>
    <t>Z984138</t>
  </si>
  <si>
    <t>Z927320</t>
  </si>
  <si>
    <t>Z618653</t>
  </si>
  <si>
    <t>Z934184</t>
  </si>
  <si>
    <t>Z549373</t>
  </si>
  <si>
    <t>Z261610</t>
  </si>
  <si>
    <t>Z200909</t>
  </si>
  <si>
    <t>Z687337</t>
  </si>
  <si>
    <t>Z225124</t>
  </si>
  <si>
    <t>Z486338</t>
  </si>
  <si>
    <t>Z822439</t>
  </si>
  <si>
    <t>Z684675</t>
  </si>
  <si>
    <t>Z815649</t>
  </si>
  <si>
    <t>Z682240</t>
  </si>
  <si>
    <t>Z361235</t>
  </si>
  <si>
    <t>Z869739</t>
  </si>
  <si>
    <t>Z874554</t>
  </si>
  <si>
    <t>Z318405</t>
  </si>
  <si>
    <t>Z738329</t>
  </si>
  <si>
    <t>Z218691</t>
  </si>
  <si>
    <t>Z786781</t>
  </si>
  <si>
    <t>Z143125</t>
  </si>
  <si>
    <t>Z191047</t>
  </si>
  <si>
    <t>Z438363</t>
  </si>
  <si>
    <t>Z243299</t>
  </si>
  <si>
    <t>Z880375</t>
  </si>
  <si>
    <t>Z986069</t>
  </si>
  <si>
    <t>Z553759</t>
  </si>
  <si>
    <t>Z858525</t>
  </si>
  <si>
    <t>Z616259</t>
  </si>
  <si>
    <t>Z445256</t>
  </si>
  <si>
    <t>Z515277</t>
  </si>
  <si>
    <t>Z439524</t>
  </si>
  <si>
    <t>Z439883</t>
  </si>
  <si>
    <t>Z491194</t>
  </si>
  <si>
    <t>Z663323</t>
  </si>
  <si>
    <t>Z202579</t>
  </si>
  <si>
    <t>Z238350</t>
  </si>
  <si>
    <t>Z981742</t>
  </si>
  <si>
    <t>Z873758</t>
  </si>
  <si>
    <t>Z419403</t>
  </si>
  <si>
    <t>Z724498</t>
  </si>
  <si>
    <t>Z603872</t>
  </si>
  <si>
    <t>Z997109</t>
  </si>
  <si>
    <t>Z415835</t>
  </si>
  <si>
    <t>Z172476</t>
  </si>
  <si>
    <t>Z142178</t>
  </si>
  <si>
    <t>Z896313</t>
  </si>
  <si>
    <t>Z635957</t>
  </si>
  <si>
    <t>Z398392</t>
  </si>
  <si>
    <t>Z662685</t>
  </si>
  <si>
    <t>Z479907</t>
  </si>
  <si>
    <t>Z723957</t>
  </si>
  <si>
    <t>Z628012</t>
  </si>
  <si>
    <t>Z812711</t>
  </si>
  <si>
    <t>Z587568</t>
  </si>
  <si>
    <t>Z257316</t>
  </si>
  <si>
    <t>Z360135</t>
  </si>
  <si>
    <t>Z270159</t>
  </si>
  <si>
    <t>Z740782</t>
  </si>
  <si>
    <t>Z956815</t>
  </si>
  <si>
    <t>Z587882</t>
  </si>
  <si>
    <t>Z188750</t>
  </si>
  <si>
    <t>Z802044</t>
  </si>
  <si>
    <t>Z195769</t>
  </si>
  <si>
    <t>Z973273</t>
  </si>
  <si>
    <t>Z924590</t>
  </si>
  <si>
    <t>Z210533</t>
  </si>
  <si>
    <t>Z336485</t>
  </si>
  <si>
    <t>Z154838</t>
  </si>
  <si>
    <t>Z131161</t>
  </si>
  <si>
    <t>Z252192</t>
  </si>
  <si>
    <t>Z472891</t>
  </si>
  <si>
    <t>Z442719</t>
  </si>
  <si>
    <t>Z588586</t>
  </si>
  <si>
    <t>Z130873</t>
  </si>
  <si>
    <t>Z882034</t>
  </si>
  <si>
    <t>Z106074</t>
  </si>
  <si>
    <t>Z117415</t>
  </si>
  <si>
    <t>Z188052</t>
  </si>
  <si>
    <t>Z992296</t>
  </si>
  <si>
    <t>Z337007</t>
  </si>
  <si>
    <t>Z551203</t>
  </si>
  <si>
    <t>Z809273</t>
  </si>
  <si>
    <t>Z240619</t>
  </si>
  <si>
    <t>Z481212</t>
  </si>
  <si>
    <t>Z759646</t>
  </si>
  <si>
    <t>Z929200</t>
  </si>
  <si>
    <t>Z492965</t>
  </si>
  <si>
    <t>Z827565</t>
  </si>
  <si>
    <t>Z682889</t>
  </si>
  <si>
    <t>Z266092</t>
  </si>
  <si>
    <t>Z557064</t>
  </si>
  <si>
    <t>Z145937</t>
  </si>
  <si>
    <t>Z861394</t>
  </si>
  <si>
    <t>Z956733</t>
  </si>
  <si>
    <t>Z528505</t>
  </si>
  <si>
    <t>Z881104</t>
  </si>
  <si>
    <t>Z870123</t>
  </si>
  <si>
    <t>Z391109</t>
  </si>
  <si>
    <t>Z694956</t>
  </si>
  <si>
    <t>Z128019</t>
  </si>
  <si>
    <t>Z848465</t>
  </si>
  <si>
    <t>Z140691</t>
  </si>
  <si>
    <t>Z989955</t>
  </si>
  <si>
    <t>Z357348</t>
  </si>
  <si>
    <t>Z224895</t>
  </si>
  <si>
    <t>Z488428</t>
  </si>
  <si>
    <t>Z157148</t>
  </si>
  <si>
    <t>Z159054</t>
  </si>
  <si>
    <t>Z268901</t>
  </si>
  <si>
    <t>Z707602</t>
  </si>
  <si>
    <t>Z551138</t>
  </si>
  <si>
    <t>Z716935</t>
  </si>
  <si>
    <t>Z858188</t>
  </si>
  <si>
    <t>Z275800</t>
  </si>
  <si>
    <t>Z937665</t>
  </si>
  <si>
    <t>Z965869</t>
  </si>
  <si>
    <t>Z310827</t>
  </si>
  <si>
    <t>Z635788</t>
  </si>
  <si>
    <t>Z786713</t>
  </si>
  <si>
    <t>Z934061</t>
  </si>
  <si>
    <t>Z694538</t>
  </si>
  <si>
    <t>Z773565</t>
  </si>
  <si>
    <t>Z772520</t>
  </si>
  <si>
    <t>Z753574</t>
  </si>
  <si>
    <t>Z499358</t>
  </si>
  <si>
    <t>Z945287</t>
  </si>
  <si>
    <t>Z672046</t>
  </si>
  <si>
    <t>Z736872</t>
  </si>
  <si>
    <t>Z887585</t>
  </si>
  <si>
    <t>Z668762</t>
  </si>
  <si>
    <t>Z455310</t>
  </si>
  <si>
    <t>Z115875</t>
  </si>
  <si>
    <t>Z578997</t>
  </si>
  <si>
    <t>Z265179</t>
  </si>
  <si>
    <t>Z375185</t>
  </si>
  <si>
    <t>Z702620</t>
  </si>
  <si>
    <t>Z932034</t>
  </si>
  <si>
    <t>Z408228</t>
  </si>
  <si>
    <t>Z173965</t>
  </si>
  <si>
    <t>Z620558</t>
  </si>
  <si>
    <t>Z710233</t>
  </si>
  <si>
    <t>Z225293</t>
  </si>
  <si>
    <t>Z237001</t>
  </si>
  <si>
    <t>Z153695</t>
  </si>
  <si>
    <t>Z402248</t>
  </si>
  <si>
    <t>Z268196</t>
  </si>
  <si>
    <t>Z580598</t>
  </si>
  <si>
    <t>Z514955</t>
  </si>
  <si>
    <t>Z921325</t>
  </si>
  <si>
    <t>Z759945</t>
  </si>
  <si>
    <t>Z383043</t>
  </si>
  <si>
    <t>Z482460</t>
  </si>
  <si>
    <t>Z661076</t>
  </si>
  <si>
    <t>Z274693</t>
  </si>
  <si>
    <t>Z126119</t>
  </si>
  <si>
    <t>Z266476</t>
  </si>
  <si>
    <t>Z158188</t>
  </si>
  <si>
    <t>Z877137</t>
  </si>
  <si>
    <t>Z672942</t>
  </si>
  <si>
    <t>Z988317</t>
  </si>
  <si>
    <t>Z369970</t>
  </si>
  <si>
    <t>Z393489</t>
  </si>
  <si>
    <t>Z487223</t>
  </si>
  <si>
    <t>Z106353</t>
  </si>
  <si>
    <t>Z479194</t>
  </si>
  <si>
    <t>Z242742</t>
  </si>
  <si>
    <t>Z606662</t>
  </si>
  <si>
    <t>Z609345</t>
  </si>
  <si>
    <t>Z316039</t>
  </si>
  <si>
    <t>Z175378</t>
  </si>
  <si>
    <t>Z531411</t>
  </si>
  <si>
    <t>Z244488</t>
  </si>
  <si>
    <t>Z208939</t>
  </si>
  <si>
    <t>Z698026</t>
  </si>
  <si>
    <t>Z554286</t>
  </si>
  <si>
    <t>Z355489</t>
  </si>
  <si>
    <t>Z115892</t>
  </si>
  <si>
    <t>Z368752</t>
  </si>
  <si>
    <t>Z296559</t>
  </si>
  <si>
    <t>Z898093</t>
  </si>
  <si>
    <t>Z865455</t>
  </si>
  <si>
    <t>Z975333</t>
  </si>
  <si>
    <t>Z554672</t>
  </si>
  <si>
    <t>Z190577</t>
  </si>
  <si>
    <t>Z167283</t>
  </si>
  <si>
    <t>Z708077</t>
  </si>
  <si>
    <t>Z828424</t>
  </si>
  <si>
    <t>Z637322</t>
  </si>
  <si>
    <t>Z219966</t>
  </si>
  <si>
    <t>Z159136</t>
  </si>
  <si>
    <t>Z529041</t>
  </si>
  <si>
    <t>Z216690</t>
  </si>
  <si>
    <t>Z305882</t>
  </si>
  <si>
    <t>Z862833</t>
  </si>
  <si>
    <t>Z220160</t>
  </si>
  <si>
    <t>Z395651</t>
  </si>
  <si>
    <t>Z292242</t>
  </si>
  <si>
    <t>Z147032</t>
  </si>
  <si>
    <t>Z900368</t>
  </si>
  <si>
    <t>Z543801</t>
  </si>
  <si>
    <t>Z736089</t>
  </si>
  <si>
    <t>Z838211</t>
  </si>
  <si>
    <t>Z958865</t>
  </si>
  <si>
    <t>Z718194</t>
  </si>
  <si>
    <t>Z525167</t>
  </si>
  <si>
    <t>Z126633</t>
  </si>
  <si>
    <t>Z294341</t>
  </si>
  <si>
    <t>Z290878</t>
  </si>
  <si>
    <t>Z510828</t>
  </si>
  <si>
    <t>Z837033</t>
  </si>
  <si>
    <t>Z943445</t>
  </si>
  <si>
    <t>Z562450</t>
  </si>
  <si>
    <t>Z950246</t>
  </si>
  <si>
    <t>Z174892</t>
  </si>
  <si>
    <t>Z753104</t>
  </si>
  <si>
    <t>Z509319</t>
  </si>
  <si>
    <t>Z504374</t>
  </si>
  <si>
    <t>Z313139</t>
  </si>
  <si>
    <t>Z179340</t>
  </si>
  <si>
    <t>Z526886</t>
  </si>
  <si>
    <t>Z642976</t>
  </si>
  <si>
    <t>Z189503</t>
  </si>
  <si>
    <t>Z909359</t>
  </si>
  <si>
    <t>Z239057</t>
  </si>
  <si>
    <t>Z597566</t>
  </si>
  <si>
    <t>Z592784</t>
  </si>
  <si>
    <t>Z921873</t>
  </si>
  <si>
    <t>Z932612</t>
  </si>
  <si>
    <t>Z731262</t>
  </si>
  <si>
    <t>Z405765</t>
  </si>
  <si>
    <t>Z451193</t>
  </si>
  <si>
    <t>Z144764</t>
  </si>
  <si>
    <t>Z609570</t>
  </si>
  <si>
    <t>Z410333</t>
  </si>
  <si>
    <t>Z119654</t>
  </si>
  <si>
    <t>Z799512</t>
  </si>
  <si>
    <t>Z836750</t>
  </si>
  <si>
    <t>Z692232</t>
  </si>
  <si>
    <t>Z304785</t>
  </si>
  <si>
    <t>Z895430</t>
  </si>
  <si>
    <t>Z538777</t>
  </si>
  <si>
    <t>Z932859</t>
  </si>
  <si>
    <t>Z384962</t>
  </si>
  <si>
    <t>Z773098</t>
  </si>
  <si>
    <t>Z450639</t>
  </si>
  <si>
    <t>Z395788</t>
  </si>
  <si>
    <t>Z625527</t>
  </si>
  <si>
    <t>Z249006</t>
  </si>
  <si>
    <t>Z823933</t>
  </si>
  <si>
    <t>Z653848</t>
  </si>
  <si>
    <t>Z356521</t>
  </si>
  <si>
    <t>Z593958</t>
  </si>
  <si>
    <t>Z392503</t>
  </si>
  <si>
    <t>Z678771</t>
  </si>
  <si>
    <t>Z283652</t>
  </si>
  <si>
    <t>Z382581</t>
  </si>
  <si>
    <t>Z610254</t>
  </si>
  <si>
    <t>Z956242</t>
  </si>
  <si>
    <t>Z303067</t>
  </si>
  <si>
    <t>Z948933</t>
  </si>
  <si>
    <t>Z873144</t>
  </si>
  <si>
    <t>Z838955</t>
  </si>
  <si>
    <t>Z397610</t>
  </si>
  <si>
    <t>Z476951</t>
  </si>
  <si>
    <t>Z853579</t>
  </si>
  <si>
    <t>Z277034</t>
  </si>
  <si>
    <t>Z540682</t>
  </si>
  <si>
    <t>Z193341</t>
  </si>
  <si>
    <t>Z803821</t>
  </si>
  <si>
    <t>Z387420</t>
  </si>
  <si>
    <t>Z363447</t>
  </si>
  <si>
    <t>Z873736</t>
  </si>
  <si>
    <t>Z695903</t>
  </si>
  <si>
    <t>Z519571</t>
  </si>
  <si>
    <t>Z799617</t>
  </si>
  <si>
    <t>Z786219</t>
  </si>
  <si>
    <t>Z196432</t>
  </si>
  <si>
    <t>Z775058</t>
  </si>
  <si>
    <t>Z383484</t>
  </si>
  <si>
    <t>Z346221</t>
  </si>
  <si>
    <t>Z252961</t>
  </si>
  <si>
    <t>Z219696</t>
  </si>
  <si>
    <t>Z811665</t>
  </si>
  <si>
    <t>Z341201</t>
  </si>
  <si>
    <t>Z526072</t>
  </si>
  <si>
    <t>Z375846</t>
  </si>
  <si>
    <t>Z399388</t>
  </si>
  <si>
    <t>Z489922</t>
  </si>
  <si>
    <t>Z992851</t>
  </si>
  <si>
    <t>Z213705</t>
  </si>
  <si>
    <t>Z918213</t>
  </si>
  <si>
    <t>Z530077</t>
  </si>
  <si>
    <t>Z521003</t>
  </si>
  <si>
    <t>Z895757</t>
  </si>
  <si>
    <t>Z489289</t>
  </si>
  <si>
    <t>Z302569</t>
  </si>
  <si>
    <t>Z409293</t>
  </si>
  <si>
    <t>Z953257</t>
  </si>
  <si>
    <t>Z597183</t>
  </si>
  <si>
    <t>Z558359</t>
  </si>
  <si>
    <t>Z645812</t>
  </si>
  <si>
    <t>Z180586</t>
  </si>
  <si>
    <t>Z424454</t>
  </si>
  <si>
    <t>Z273651</t>
  </si>
  <si>
    <t>Z675632</t>
  </si>
  <si>
    <t>Z120556</t>
  </si>
  <si>
    <t>Z579968</t>
  </si>
  <si>
    <t>Z388509</t>
  </si>
  <si>
    <t>Z773047</t>
  </si>
  <si>
    <t>Z340000</t>
  </si>
  <si>
    <t>Z364752</t>
  </si>
  <si>
    <t>Z155861</t>
  </si>
  <si>
    <t>Z587478</t>
  </si>
  <si>
    <t>Z893935</t>
  </si>
  <si>
    <t>Z295797</t>
  </si>
  <si>
    <t>Z596938</t>
  </si>
  <si>
    <t>Z837089</t>
  </si>
  <si>
    <t>Z944120</t>
  </si>
  <si>
    <t>Z951441</t>
  </si>
  <si>
    <t>Z173089</t>
  </si>
  <si>
    <t>Z451187</t>
  </si>
  <si>
    <t>Z985741</t>
  </si>
  <si>
    <t>Z754316</t>
  </si>
  <si>
    <t>Z843850</t>
  </si>
  <si>
    <t>Z166242</t>
  </si>
  <si>
    <t>Z381485</t>
  </si>
  <si>
    <t>Z220201</t>
  </si>
  <si>
    <t>Z291950</t>
  </si>
  <si>
    <t>Z295508</t>
  </si>
  <si>
    <t>Z811619</t>
  </si>
  <si>
    <t>Z171447</t>
  </si>
  <si>
    <t>Z276627</t>
  </si>
  <si>
    <t>Z899697</t>
  </si>
  <si>
    <t>Z218176</t>
  </si>
  <si>
    <t>Z512890</t>
  </si>
  <si>
    <t>Z767400</t>
  </si>
  <si>
    <t>Z141631</t>
  </si>
  <si>
    <t>Z537139</t>
  </si>
  <si>
    <t>Z602634</t>
  </si>
  <si>
    <t>Z891238</t>
  </si>
  <si>
    <t>Z817018</t>
  </si>
  <si>
    <t>Z728370</t>
  </si>
  <si>
    <t>Z175073</t>
  </si>
  <si>
    <t>Z334860</t>
  </si>
  <si>
    <t>Z986173</t>
  </si>
  <si>
    <t>Z641723</t>
  </si>
  <si>
    <t>Z399997</t>
  </si>
  <si>
    <t>Z109449</t>
  </si>
  <si>
    <t>Z952439</t>
  </si>
  <si>
    <t>Z228422</t>
  </si>
  <si>
    <t>Z439818</t>
  </si>
  <si>
    <t>Z264408</t>
  </si>
  <si>
    <t>Z750677</t>
  </si>
  <si>
    <t>Z429805</t>
  </si>
  <si>
    <t>Z556501</t>
  </si>
  <si>
    <t>Z951447</t>
  </si>
  <si>
    <t>Z563985</t>
  </si>
  <si>
    <t>Z553313</t>
  </si>
  <si>
    <t>Z313403</t>
  </si>
  <si>
    <t>Z759732</t>
  </si>
  <si>
    <t>Z228342</t>
  </si>
  <si>
    <t>Z461882</t>
  </si>
  <si>
    <t>Z785940</t>
  </si>
  <si>
    <t>Z242249</t>
  </si>
  <si>
    <t>Z290820</t>
  </si>
  <si>
    <t>Z829757</t>
  </si>
  <si>
    <t>Z440936</t>
  </si>
  <si>
    <t>Z736812</t>
  </si>
  <si>
    <t>Z193075</t>
  </si>
  <si>
    <t>Z633255</t>
  </si>
  <si>
    <t>Z922853</t>
  </si>
  <si>
    <t>Z524878</t>
  </si>
  <si>
    <t>Z817851</t>
  </si>
  <si>
    <t>Z436997</t>
  </si>
  <si>
    <t>Z917578</t>
  </si>
  <si>
    <t>Z867520</t>
  </si>
  <si>
    <t>Z570140</t>
  </si>
  <si>
    <t>Z306430</t>
  </si>
  <si>
    <t>Z578764</t>
  </si>
  <si>
    <t>Z875912</t>
  </si>
  <si>
    <t>Z467253</t>
  </si>
  <si>
    <t>Z103099</t>
  </si>
  <si>
    <t>Z831183</t>
  </si>
  <si>
    <t>Z185922</t>
  </si>
  <si>
    <t>Z528109</t>
  </si>
  <si>
    <t>Z418153</t>
  </si>
  <si>
    <t>Z279776</t>
  </si>
  <si>
    <t>Z756142</t>
  </si>
  <si>
    <t>Z233066</t>
  </si>
  <si>
    <t>Z643545</t>
  </si>
  <si>
    <t>Z779150</t>
  </si>
  <si>
    <t>Z670953</t>
  </si>
  <si>
    <t>Z669976</t>
  </si>
  <si>
    <t>Z481647</t>
  </si>
  <si>
    <t>Z118868</t>
  </si>
  <si>
    <t>Z500167</t>
  </si>
  <si>
    <t>Z822004</t>
  </si>
  <si>
    <t>Z966623</t>
  </si>
  <si>
    <t>Z596112</t>
  </si>
  <si>
    <t>Z854820</t>
  </si>
  <si>
    <t>Z170113</t>
  </si>
  <si>
    <t>Z805949</t>
  </si>
  <si>
    <t>Z901419</t>
  </si>
  <si>
    <t>Z739242</t>
  </si>
  <si>
    <t>Z979846</t>
  </si>
  <si>
    <t>Z540322</t>
  </si>
  <si>
    <t>Z100947</t>
  </si>
  <si>
    <t>Z469866</t>
  </si>
  <si>
    <t>Z842291</t>
  </si>
  <si>
    <t>Z934882</t>
  </si>
  <si>
    <t>Z700857</t>
  </si>
  <si>
    <t>Z168760</t>
  </si>
  <si>
    <t>Z537961</t>
  </si>
  <si>
    <t>Z977120</t>
  </si>
  <si>
    <t>Z565750</t>
  </si>
  <si>
    <t>Z654358</t>
  </si>
  <si>
    <t>Z727081</t>
  </si>
  <si>
    <t>Z788487</t>
  </si>
  <si>
    <t>Z154155</t>
  </si>
  <si>
    <t>Z923545</t>
  </si>
  <si>
    <t>Z744981</t>
  </si>
  <si>
    <t>Z727256</t>
  </si>
  <si>
    <t>Z290791</t>
  </si>
  <si>
    <t>Z701435</t>
  </si>
  <si>
    <t>Z460404</t>
  </si>
  <si>
    <t>Z735950</t>
  </si>
  <si>
    <t>Z698364</t>
  </si>
  <si>
    <t>Z936785</t>
  </si>
  <si>
    <t>Z344792</t>
  </si>
  <si>
    <t>Z551888</t>
  </si>
  <si>
    <t>Z709834</t>
  </si>
  <si>
    <t>Z966467</t>
  </si>
  <si>
    <t>Z220198</t>
  </si>
  <si>
    <t>Z533640</t>
  </si>
  <si>
    <t>Z697847</t>
  </si>
  <si>
    <t>Z976633</t>
  </si>
  <si>
    <t>Z310713</t>
  </si>
  <si>
    <t>Z826831</t>
  </si>
  <si>
    <t>Z767270</t>
  </si>
  <si>
    <t>Z625717</t>
  </si>
  <si>
    <t>Z154458</t>
  </si>
  <si>
    <t>Z923573</t>
  </si>
  <si>
    <t>Z811155</t>
  </si>
  <si>
    <t>Z304526</t>
  </si>
  <si>
    <t>Z791829</t>
  </si>
  <si>
    <t>Z389776</t>
  </si>
  <si>
    <t>Z100579</t>
  </si>
  <si>
    <t>Z325676</t>
  </si>
  <si>
    <t>Z289803</t>
  </si>
  <si>
    <t>Z829647</t>
  </si>
  <si>
    <t>Z283797</t>
  </si>
  <si>
    <t>Z536299</t>
  </si>
  <si>
    <t>Z373983</t>
  </si>
  <si>
    <t>Z689438</t>
  </si>
  <si>
    <t>Z623900</t>
  </si>
  <si>
    <t>Z871262</t>
  </si>
  <si>
    <t>Z829794</t>
  </si>
  <si>
    <t>Z999461</t>
  </si>
  <si>
    <t>Z992972</t>
  </si>
  <si>
    <t>Z220893</t>
  </si>
  <si>
    <t>Z567887</t>
  </si>
  <si>
    <t>Z830005</t>
  </si>
  <si>
    <t>Z478017</t>
  </si>
  <si>
    <t>Z803276</t>
  </si>
  <si>
    <t>Z301151</t>
  </si>
  <si>
    <t>Z566961</t>
  </si>
  <si>
    <t>Z832402</t>
  </si>
  <si>
    <t>Z348483</t>
  </si>
  <si>
    <t>Z861164</t>
  </si>
  <si>
    <t>Z659031</t>
  </si>
  <si>
    <t>Z855121</t>
  </si>
  <si>
    <t>Z180472</t>
  </si>
  <si>
    <t>Z553513</t>
  </si>
  <si>
    <t>Z531178</t>
  </si>
  <si>
    <t>Z217852</t>
  </si>
  <si>
    <t>Z142236</t>
  </si>
  <si>
    <t>Z788326</t>
  </si>
  <si>
    <t>Z597018</t>
  </si>
  <si>
    <t>Z498317</t>
  </si>
  <si>
    <t>Z718403</t>
  </si>
  <si>
    <t>Z250635</t>
  </si>
  <si>
    <t>Z714522</t>
  </si>
  <si>
    <t>Z693345</t>
  </si>
  <si>
    <t>Z424769</t>
  </si>
  <si>
    <t>Z673156</t>
  </si>
  <si>
    <t>Z558945</t>
  </si>
  <si>
    <t>Z808643</t>
  </si>
  <si>
    <t>Z514605</t>
  </si>
  <si>
    <t>Z259301</t>
  </si>
  <si>
    <t>Z450621</t>
  </si>
  <si>
    <t>Z694999</t>
  </si>
  <si>
    <t>Z891567</t>
  </si>
  <si>
    <t>Z390895</t>
  </si>
  <si>
    <t>Z302843</t>
  </si>
  <si>
    <t>Z311113</t>
  </si>
  <si>
    <t>Z158196</t>
  </si>
  <si>
    <t>Z468894</t>
  </si>
  <si>
    <t>Z449957</t>
  </si>
  <si>
    <t>Z918153</t>
  </si>
  <si>
    <t>Z635254</t>
  </si>
  <si>
    <t>Z324496</t>
  </si>
  <si>
    <t>Z518244</t>
  </si>
  <si>
    <t>Z605555</t>
  </si>
  <si>
    <t>Z375423</t>
  </si>
  <si>
    <t>Z778845</t>
  </si>
  <si>
    <t>Z483637</t>
  </si>
  <si>
    <t>Z333743</t>
  </si>
  <si>
    <t>Z595930</t>
  </si>
  <si>
    <t>Z590182</t>
  </si>
  <si>
    <t>Z151970</t>
  </si>
  <si>
    <t>Z946113</t>
  </si>
  <si>
    <t>Z601021</t>
  </si>
  <si>
    <t>Z955626</t>
  </si>
  <si>
    <t>Z610601</t>
  </si>
  <si>
    <t>Z905803</t>
  </si>
  <si>
    <t>Z372650</t>
  </si>
  <si>
    <t>Z539258</t>
  </si>
  <si>
    <t>Z216002</t>
  </si>
  <si>
    <t>Z202390</t>
  </si>
  <si>
    <t>Z513540</t>
  </si>
  <si>
    <t>Z584807</t>
  </si>
  <si>
    <t>Z123936</t>
  </si>
  <si>
    <t>Z498120</t>
  </si>
  <si>
    <t>Z448050</t>
  </si>
  <si>
    <t>Z745322</t>
  </si>
  <si>
    <t>Z542453</t>
  </si>
  <si>
    <t>Z215404</t>
  </si>
  <si>
    <t>Z246892</t>
  </si>
  <si>
    <t>Z562839</t>
  </si>
  <si>
    <t>Z951249</t>
  </si>
  <si>
    <t>Z599514</t>
  </si>
  <si>
    <t>Z643068</t>
  </si>
  <si>
    <t>Z736264</t>
  </si>
  <si>
    <t>Z827720</t>
  </si>
  <si>
    <t>Z537549</t>
  </si>
  <si>
    <t>Z459588</t>
  </si>
  <si>
    <t>Z300977</t>
  </si>
  <si>
    <t>Z740634</t>
  </si>
  <si>
    <t>Z787072</t>
  </si>
  <si>
    <t>Z392415</t>
  </si>
  <si>
    <t>Z257287</t>
  </si>
  <si>
    <t>Z220441</t>
  </si>
  <si>
    <t>Z337473</t>
  </si>
  <si>
    <t>Z221844</t>
  </si>
  <si>
    <t>Z694770</t>
  </si>
  <si>
    <t>Z991696</t>
  </si>
  <si>
    <t>Z252631</t>
  </si>
  <si>
    <t>Z326915</t>
  </si>
  <si>
    <t>Z428637</t>
  </si>
  <si>
    <t>Z135515</t>
  </si>
  <si>
    <t>Z277901</t>
  </si>
  <si>
    <t>Z119767</t>
  </si>
  <si>
    <t>Z386059</t>
  </si>
  <si>
    <t>Z938591</t>
  </si>
  <si>
    <t>Z261929</t>
  </si>
  <si>
    <t>Z873948</t>
  </si>
  <si>
    <t>Z660983</t>
  </si>
  <si>
    <t>Z180835</t>
  </si>
  <si>
    <t>Z109865</t>
  </si>
  <si>
    <t>Z930270</t>
  </si>
  <si>
    <t>Z540524</t>
  </si>
  <si>
    <t>Z465456</t>
  </si>
  <si>
    <t>Z689773</t>
  </si>
  <si>
    <t>Z726156</t>
  </si>
  <si>
    <t>Z864649</t>
  </si>
  <si>
    <t>Z402288</t>
  </si>
  <si>
    <t>Z831952</t>
  </si>
  <si>
    <t>Z508291</t>
  </si>
  <si>
    <t>Z769980</t>
  </si>
  <si>
    <t>Z954738</t>
  </si>
  <si>
    <t>Z618947</t>
  </si>
  <si>
    <t>Z316900</t>
  </si>
  <si>
    <t>Z139208</t>
  </si>
  <si>
    <t>Z365721</t>
  </si>
  <si>
    <t>Z941797</t>
  </si>
  <si>
    <t>Z286999</t>
  </si>
  <si>
    <t>Z431956</t>
  </si>
  <si>
    <t>Z885804</t>
  </si>
  <si>
    <t>Z735534</t>
  </si>
  <si>
    <t>Z798937</t>
  </si>
  <si>
    <t>Z280967</t>
  </si>
  <si>
    <t>Z787584</t>
  </si>
  <si>
    <t>Z483119</t>
  </si>
  <si>
    <t>Z274393</t>
  </si>
  <si>
    <t>Z267167</t>
  </si>
  <si>
    <t>Z552594</t>
  </si>
  <si>
    <t>Z495711</t>
  </si>
  <si>
    <t>Z657341</t>
  </si>
  <si>
    <t>Z544497</t>
  </si>
  <si>
    <t>Z773379</t>
  </si>
  <si>
    <t>Z819961</t>
  </si>
  <si>
    <t>Z216612</t>
  </si>
  <si>
    <t>Z400340</t>
  </si>
  <si>
    <t>Z969162</t>
  </si>
  <si>
    <t>Z740958</t>
  </si>
  <si>
    <t>Z358634</t>
  </si>
  <si>
    <t>Z875902</t>
  </si>
  <si>
    <t>Z268175</t>
  </si>
  <si>
    <t>Z575631</t>
  </si>
  <si>
    <t>Z705809</t>
  </si>
  <si>
    <t>Z440495</t>
  </si>
  <si>
    <t>Z207904</t>
  </si>
  <si>
    <t>Z281626</t>
  </si>
  <si>
    <t>Z567065</t>
  </si>
  <si>
    <t>Z319387</t>
  </si>
  <si>
    <t>Z467681</t>
  </si>
  <si>
    <t>Z127054</t>
  </si>
  <si>
    <t>Z596885</t>
  </si>
  <si>
    <t>Z942915</t>
  </si>
  <si>
    <t>Z928719</t>
  </si>
  <si>
    <t>Z879336</t>
  </si>
  <si>
    <t>Z243932</t>
  </si>
  <si>
    <t>Z914636</t>
  </si>
  <si>
    <t>Z631603</t>
  </si>
  <si>
    <t>Z966328</t>
  </si>
  <si>
    <t>Z465001</t>
  </si>
  <si>
    <t>Z602231</t>
  </si>
  <si>
    <t>Z425533</t>
  </si>
  <si>
    <t>Z608733</t>
  </si>
  <si>
    <t>Z282135</t>
  </si>
  <si>
    <t>Z486515</t>
  </si>
  <si>
    <t>Z479844</t>
  </si>
  <si>
    <t>Z564644</t>
  </si>
  <si>
    <t>Z596405</t>
  </si>
  <si>
    <t>Z509484</t>
  </si>
  <si>
    <t>Z627216</t>
  </si>
  <si>
    <t>Z211205</t>
  </si>
  <si>
    <t>Z892108</t>
  </si>
  <si>
    <t>Z797629</t>
  </si>
  <si>
    <t>Z805938</t>
  </si>
  <si>
    <t>Z213111</t>
  </si>
  <si>
    <t>Z804629</t>
  </si>
  <si>
    <t>Z753112</t>
  </si>
  <si>
    <t>Z830296</t>
  </si>
  <si>
    <t>Z788226</t>
  </si>
  <si>
    <t>Z728632</t>
  </si>
  <si>
    <t>Z382774</t>
  </si>
  <si>
    <t>Z608178</t>
  </si>
  <si>
    <t>Z311687</t>
  </si>
  <si>
    <t>Z532627</t>
  </si>
  <si>
    <t>Z855635</t>
  </si>
  <si>
    <t>Z364680</t>
  </si>
  <si>
    <t>Z186089</t>
  </si>
  <si>
    <t>Z728742</t>
  </si>
  <si>
    <t>Z690264</t>
  </si>
  <si>
    <t>Z900551</t>
  </si>
  <si>
    <t>Z424277</t>
  </si>
  <si>
    <t>Z334851</t>
  </si>
  <si>
    <t>Z867970</t>
  </si>
  <si>
    <t>Z357161</t>
  </si>
  <si>
    <t>Z638160</t>
  </si>
  <si>
    <t>Z961720</t>
  </si>
  <si>
    <t>Z763653</t>
  </si>
  <si>
    <t>Z300429</t>
  </si>
  <si>
    <t>Z753348</t>
  </si>
  <si>
    <t>Z592889</t>
  </si>
  <si>
    <t>Z864350</t>
  </si>
  <si>
    <t>Z812071</t>
  </si>
  <si>
    <t>Z910225</t>
  </si>
  <si>
    <t>Z157515</t>
  </si>
  <si>
    <t>Z499023</t>
  </si>
  <si>
    <t>Z617767</t>
  </si>
  <si>
    <t>Z726336</t>
  </si>
  <si>
    <t>Z566875</t>
  </si>
  <si>
    <t>Z433288</t>
  </si>
  <si>
    <t>Z264415</t>
  </si>
  <si>
    <t>Z149625</t>
  </si>
  <si>
    <t>Z618994</t>
  </si>
  <si>
    <t>Z434638</t>
  </si>
  <si>
    <t>Z955809</t>
  </si>
  <si>
    <t>Z197275</t>
  </si>
  <si>
    <t>Z702766</t>
  </si>
  <si>
    <t>Z375724</t>
  </si>
  <si>
    <t>Z748937</t>
  </si>
  <si>
    <t>Z923215</t>
  </si>
  <si>
    <t>Z606990</t>
  </si>
  <si>
    <t>Z664661</t>
  </si>
  <si>
    <t>Z653449</t>
  </si>
  <si>
    <t>Z133669</t>
  </si>
  <si>
    <t>Z208265</t>
  </si>
  <si>
    <t>Z253555</t>
  </si>
  <si>
    <t>Z160868</t>
  </si>
  <si>
    <t>Z183167</t>
  </si>
  <si>
    <t>Z284935</t>
  </si>
  <si>
    <t>Z842214</t>
  </si>
  <si>
    <t>Z350999</t>
  </si>
  <si>
    <t>Z748192</t>
  </si>
  <si>
    <t>Z876426</t>
  </si>
  <si>
    <t xml:space="preserve">Alex Johnson </t>
  </si>
  <si>
    <t xml:space="preserve"> Compass</t>
  </si>
  <si>
    <t xml:space="preserve">Emily Davis </t>
  </si>
  <si>
    <t xml:space="preserve"> Century 21</t>
  </si>
  <si>
    <t xml:space="preserve">Mike Lee </t>
  </si>
  <si>
    <t xml:space="preserve"> Coldwell Banker</t>
  </si>
  <si>
    <t xml:space="preserve">John Doe </t>
  </si>
  <si>
    <t xml:space="preserve"> RE/MAX</t>
  </si>
  <si>
    <t xml:space="preserve">Jane Smith </t>
  </si>
  <si>
    <t xml:space="preserve"> Keller Williams</t>
  </si>
  <si>
    <t>Agency Name</t>
  </si>
  <si>
    <t>Area</t>
  </si>
  <si>
    <t>Price2</t>
  </si>
  <si>
    <t xml:space="preserve">Area Per Sqft </t>
  </si>
  <si>
    <t>Age of Property</t>
  </si>
  <si>
    <t>DOM Category</t>
  </si>
  <si>
    <t>Price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</si>
</sst>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160CE-09B8-49E9-8640-D708ABD59D28}" name="Table1" displayName="Table1" ref="A1:P2998" totalsRowShown="0">
  <autoFilter ref="A1:P2998" xr:uid="{4B2160CE-09B8-49E9-8640-D708ABD59D28}"/>
  <sortState xmlns:xlrd2="http://schemas.microsoft.com/office/spreadsheetml/2017/richdata2" ref="A2:P2998">
    <sortCondition ref="A1:A2998"/>
  </sortState>
  <tableColumns count="16">
    <tableColumn id="1" xr3:uid="{93D9891F-A790-4BE0-8984-600B66DE1648}" name="Price" dataDxfId="5"/>
    <tableColumn id="3" xr3:uid="{978EF5A5-89C9-4697-822B-6B18E6A1424C}" name="City" dataDxfId="4"/>
    <tableColumn id="4" xr3:uid="{786E5121-E3BE-429D-AEB2-0D183696220F}" name="Zipcode"/>
    <tableColumn id="5" xr3:uid="{B6C43A32-7885-444C-B3A0-A7DF2F05371D}" name="State" dataDxfId="3"/>
    <tableColumn id="6" xr3:uid="{8310A7B4-BB1E-4D09-B890-B5CFC5FBEE38}" name="Bedrooms"/>
    <tableColumn id="7" xr3:uid="{489EB7DC-057D-4AFF-BE0A-DEFFFD388532}" name="Bathrooms"/>
    <tableColumn id="21" xr3:uid="{381B9986-9932-4B08-98AB-0CF260390027}" name="Price2" dataDxfId="2">
      <calculatedColumnFormula>VALUE(SUBSTITUTE(SUBSTITUTE(Table1[[#This Row],[Price]],"$",""),",",""))</calculatedColumnFormula>
    </tableColumn>
    <tableColumn id="22" xr3:uid="{BF2D6484-A5D0-4F0C-9D96-B4ADD63EF551}" name="Area Per Sqft " dataDxfId="1">
      <calculatedColumnFormula>Table1[[#This Row],[Price2]]/Table1[[#This Row],[Area]]</calculatedColumnFormula>
    </tableColumn>
    <tableColumn id="8" xr3:uid="{58598297-13B4-4127-ADE6-6E4228D39452}" name="Area"/>
    <tableColumn id="10" xr3:uid="{31E730C2-9F7E-4342-AC96-2037EEEE1FFD}" name="Year Built"/>
    <tableColumn id="11" xr3:uid="{AD94AD0E-F7F2-49C6-9CD3-3F5DA97B4F12}" name="Days on Market"/>
    <tableColumn id="12" xr3:uid="{0D42F6DA-BB04-425B-8A70-48C9D0A75A3D}" name="Property Type"/>
    <tableColumn id="13" xr3:uid="{E1B49FEE-2A5E-4270-947F-3D236C1F02B4}" name="MLS ID"/>
    <tableColumn id="14" xr3:uid="{DDD1DCA1-886E-46EA-A6C1-0B45B44D342D}" name="Listing Agent" dataDxfId="0"/>
    <tableColumn id="17" xr3:uid="{9D6F7E1F-AA57-464B-889B-68C9FA25F223}" name="Agency Name"/>
    <tableColumn id="15" xr3:uid="{23C48B30-4CFA-4726-A588-A946D23EFF3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E9D6-41B9-4489-9105-D7540711D932}">
  <dimension ref="A1:T3001"/>
  <sheetViews>
    <sheetView tabSelected="1" topLeftCell="I2963" workbookViewId="0">
      <selection activeCell="M2982" sqref="M2982"/>
    </sheetView>
  </sheetViews>
  <sheetFormatPr defaultRowHeight="14.5" x14ac:dyDescent="0.35"/>
  <cols>
    <col min="1" max="1" width="12.453125" style="3" bestFit="1" customWidth="1"/>
    <col min="2" max="2" width="12.1796875" style="2" bestFit="1" customWidth="1"/>
    <col min="3" max="3" width="9.54296875" customWidth="1"/>
    <col min="4" max="4" width="8.7265625" style="2"/>
    <col min="5" max="5" width="11.1796875" customWidth="1"/>
    <col min="6" max="8" width="11.81640625" customWidth="1"/>
    <col min="9" max="9" width="11.6328125" customWidth="1"/>
    <col min="10" max="10" width="10.81640625" customWidth="1"/>
    <col min="11" max="11" width="15.453125" customWidth="1"/>
    <col min="12" max="12" width="14.08984375" customWidth="1"/>
    <col min="13" max="13" width="8.453125" customWidth="1"/>
    <col min="14" max="14" width="22.90625" style="2" bestFit="1" customWidth="1"/>
    <col min="15" max="15" width="22.90625" customWidth="1"/>
    <col min="16" max="16" width="8.453125" bestFit="1" customWidth="1"/>
    <col min="18" max="18" width="13" bestFit="1" customWidth="1"/>
    <col min="19" max="19" width="21.1796875" bestFit="1" customWidth="1"/>
  </cols>
  <sheetData>
    <row r="1" spans="1:20" x14ac:dyDescent="0.35">
      <c r="A1" s="3" t="s">
        <v>0</v>
      </c>
      <c r="B1" s="2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3039</v>
      </c>
      <c r="H1" t="s">
        <v>3040</v>
      </c>
      <c r="I1" t="s">
        <v>3038</v>
      </c>
      <c r="J1" t="s">
        <v>6</v>
      </c>
      <c r="K1" s="1" t="s">
        <v>7</v>
      </c>
      <c r="L1" t="s">
        <v>8</v>
      </c>
      <c r="M1" t="s">
        <v>9</v>
      </c>
      <c r="N1" s="2" t="s">
        <v>10</v>
      </c>
      <c r="O1" t="s">
        <v>3037</v>
      </c>
      <c r="P1" t="s">
        <v>11</v>
      </c>
      <c r="Q1" t="s">
        <v>3040</v>
      </c>
      <c r="R1" t="s">
        <v>3041</v>
      </c>
      <c r="S1" t="s">
        <v>3042</v>
      </c>
      <c r="T1" t="s">
        <v>3043</v>
      </c>
    </row>
    <row r="2" spans="1:20" x14ac:dyDescent="0.35">
      <c r="A2" s="3">
        <v>100283</v>
      </c>
      <c r="B2" s="2" t="s">
        <v>27</v>
      </c>
      <c r="C2">
        <v>11684</v>
      </c>
      <c r="D2" s="2" t="s">
        <v>35</v>
      </c>
      <c r="E2">
        <v>3</v>
      </c>
      <c r="F2">
        <v>3</v>
      </c>
      <c r="G2" s="4">
        <f>VALUE(SUBSTITUTE(SUBSTITUTE(Table1[[#This Row],[Price]],"$",""),",",""))</f>
        <v>100283</v>
      </c>
      <c r="H2" s="1">
        <f>Table1[[#This Row],[Price2]]/Table1[[#This Row],[Area]]</f>
        <v>31.674984207201515</v>
      </c>
      <c r="I2">
        <v>3166</v>
      </c>
      <c r="J2">
        <v>2021</v>
      </c>
      <c r="K2">
        <v>80</v>
      </c>
      <c r="L2" t="s">
        <v>30</v>
      </c>
      <c r="M2" t="s">
        <v>1623</v>
      </c>
      <c r="N2" s="2" t="s">
        <v>3033</v>
      </c>
      <c r="O2" t="s">
        <v>3034</v>
      </c>
      <c r="P2" t="s">
        <v>16</v>
      </c>
      <c r="Q2">
        <v>31.674984207201515</v>
      </c>
      <c r="R2">
        <f ca="1">YEAR(TODAY())-Table1[[#This Row],[Year Built]]</f>
        <v>5</v>
      </c>
      <c r="S2" t="str">
        <f>IF(Table1[[#This Row],[Days on Market]] &lt; 30,"Fast",IF(Table1[[#This Row],[Days on Market]]&lt;= 90,"Average", "Slow"))</f>
        <v>Average</v>
      </c>
      <c r="T2" t="str">
        <f>IF(Table1[[#This Row],[Price2]]&lt;500000,"Affordable",IF(Table1[[#This Row],[Price2]]&lt;1000000,"Mid range","Luxury"))</f>
        <v>Affordable</v>
      </c>
    </row>
    <row r="3" spans="1:20" x14ac:dyDescent="0.35">
      <c r="A3" s="3">
        <v>100359</v>
      </c>
      <c r="B3" s="2" t="s">
        <v>22</v>
      </c>
      <c r="C3">
        <v>70372</v>
      </c>
      <c r="D3" s="2" t="s">
        <v>35</v>
      </c>
      <c r="E3">
        <v>4</v>
      </c>
      <c r="F3">
        <v>3</v>
      </c>
      <c r="G3" s="4">
        <f>VALUE(SUBSTITUTE(SUBSTITUTE(Table1[[#This Row],[Price]],"$",""),",",""))</f>
        <v>100359</v>
      </c>
      <c r="H3" s="1">
        <f>Table1[[#This Row],[Price2]]/Table1[[#This Row],[Area]]</f>
        <v>31.819594166138238</v>
      </c>
      <c r="I3">
        <v>3154</v>
      </c>
      <c r="J3">
        <v>1999</v>
      </c>
      <c r="K3">
        <v>118</v>
      </c>
      <c r="L3" t="s">
        <v>40</v>
      </c>
      <c r="M3" t="s">
        <v>1930</v>
      </c>
      <c r="N3" s="2" t="s">
        <v>3029</v>
      </c>
      <c r="O3" t="s">
        <v>3030</v>
      </c>
      <c r="P3" t="s">
        <v>16</v>
      </c>
      <c r="Q3">
        <v>31.819594166138238</v>
      </c>
      <c r="R3">
        <f ca="1">YEAR(TODAY())-Table1[[#This Row],[Year Built]]</f>
        <v>27</v>
      </c>
      <c r="S3" t="str">
        <f>IF(Table1[[#This Row],[Days on Market]] &lt; 30,"Fast",IF(Table1[[#This Row],[Days on Market]]&lt;= 90,"Average", "Slow"))</f>
        <v>Slow</v>
      </c>
      <c r="T3" t="str">
        <f>IF(Table1[[#This Row],[Price2]]&lt;500000,"Affordable",IF(Table1[[#This Row],[Price2]]&lt;1000000,"Mid range","Luxury"))</f>
        <v>Affordable</v>
      </c>
    </row>
    <row r="4" spans="1:20" x14ac:dyDescent="0.35">
      <c r="A4" s="3">
        <v>100366</v>
      </c>
      <c r="B4" s="2" t="s">
        <v>27</v>
      </c>
      <c r="C4">
        <v>84616</v>
      </c>
      <c r="D4" s="2" t="s">
        <v>18</v>
      </c>
      <c r="E4">
        <v>5</v>
      </c>
      <c r="F4">
        <v>3</v>
      </c>
      <c r="G4" s="4">
        <f>VALUE(SUBSTITUTE(SUBSTITUTE(Table1[[#This Row],[Price]],"$",""),",",""))</f>
        <v>100366</v>
      </c>
      <c r="H4" s="1">
        <f>Table1[[#This Row],[Price2]]/Table1[[#This Row],[Area]]</f>
        <v>72.571221981200296</v>
      </c>
      <c r="I4">
        <v>1383</v>
      </c>
      <c r="J4">
        <v>1966</v>
      </c>
      <c r="K4">
        <v>102</v>
      </c>
      <c r="L4" t="s">
        <v>40</v>
      </c>
      <c r="M4" t="s">
        <v>207</v>
      </c>
      <c r="N4" s="2" t="s">
        <v>3027</v>
      </c>
      <c r="O4" t="s">
        <v>3028</v>
      </c>
      <c r="P4" t="s">
        <v>26</v>
      </c>
      <c r="Q4">
        <v>72.571221981200296</v>
      </c>
      <c r="R4">
        <f ca="1">YEAR(TODAY())-Table1[[#This Row],[Year Built]]</f>
        <v>60</v>
      </c>
      <c r="S4" t="str">
        <f>IF(Table1[[#This Row],[Days on Market]] &lt; 30,"Fast",IF(Table1[[#This Row],[Days on Market]]&lt;= 90,"Average", "Slow"))</f>
        <v>Slow</v>
      </c>
      <c r="T4" t="str">
        <f>IF(Table1[[#This Row],[Price2]]&lt;500000,"Affordable",IF(Table1[[#This Row],[Price2]]&lt;1000000,"Mid range","Luxury"))</f>
        <v>Affordable</v>
      </c>
    </row>
    <row r="5" spans="1:20" x14ac:dyDescent="0.35">
      <c r="A5" s="3">
        <v>100764</v>
      </c>
      <c r="B5" s="2" t="s">
        <v>12</v>
      </c>
      <c r="C5">
        <v>63771</v>
      </c>
      <c r="D5" s="2" t="s">
        <v>13</v>
      </c>
      <c r="E5">
        <v>3</v>
      </c>
      <c r="F5">
        <v>2</v>
      </c>
      <c r="G5" s="4">
        <f>VALUE(SUBSTITUTE(SUBSTITUTE(Table1[[#This Row],[Price]],"$",""),",",""))</f>
        <v>100764</v>
      </c>
      <c r="H5" s="1">
        <f>Table1[[#This Row],[Price2]]/Table1[[#This Row],[Area]]</f>
        <v>59.729697688203913</v>
      </c>
      <c r="I5">
        <v>1687</v>
      </c>
      <c r="J5">
        <v>1962</v>
      </c>
      <c r="K5">
        <v>32</v>
      </c>
      <c r="L5" t="s">
        <v>40</v>
      </c>
      <c r="M5" t="s">
        <v>1097</v>
      </c>
      <c r="N5" s="2" t="s">
        <v>3031</v>
      </c>
      <c r="O5" t="s">
        <v>3032</v>
      </c>
      <c r="P5" t="s">
        <v>26</v>
      </c>
      <c r="Q5">
        <v>59.729697688203913</v>
      </c>
      <c r="R5">
        <f ca="1">YEAR(TODAY())-Table1[[#This Row],[Year Built]]</f>
        <v>64</v>
      </c>
      <c r="S5" t="str">
        <f>IF(Table1[[#This Row],[Days on Market]] &lt; 30,"Fast",IF(Table1[[#This Row],[Days on Market]]&lt;= 90,"Average", "Slow"))</f>
        <v>Average</v>
      </c>
      <c r="T5" t="str">
        <f>IF(Table1[[#This Row],[Price2]]&lt;500000,"Affordable",IF(Table1[[#This Row],[Price2]]&lt;1000000,"Mid range","Luxury"))</f>
        <v>Affordable</v>
      </c>
    </row>
    <row r="6" spans="1:20" x14ac:dyDescent="0.35">
      <c r="A6" s="3">
        <v>100866</v>
      </c>
      <c r="B6" s="2" t="s">
        <v>17</v>
      </c>
      <c r="C6">
        <v>47843</v>
      </c>
      <c r="D6" s="2" t="s">
        <v>29</v>
      </c>
      <c r="E6">
        <v>1</v>
      </c>
      <c r="F6">
        <v>1</v>
      </c>
      <c r="G6" s="4">
        <f>VALUE(SUBSTITUTE(SUBSTITUTE(Table1[[#This Row],[Price]],"$",""),",",""))</f>
        <v>100866</v>
      </c>
      <c r="H6" s="1">
        <f>Table1[[#This Row],[Price2]]/Table1[[#This Row],[Area]]</f>
        <v>47.871855719031799</v>
      </c>
      <c r="I6">
        <v>2107</v>
      </c>
      <c r="J6">
        <v>2012</v>
      </c>
      <c r="K6">
        <v>10</v>
      </c>
      <c r="L6" t="s">
        <v>19</v>
      </c>
      <c r="M6" t="s">
        <v>164</v>
      </c>
      <c r="N6" s="2" t="s">
        <v>3031</v>
      </c>
      <c r="O6" t="s">
        <v>3032</v>
      </c>
      <c r="P6" t="s">
        <v>21</v>
      </c>
      <c r="Q6">
        <v>47.871855719031799</v>
      </c>
      <c r="R6">
        <f ca="1">YEAR(TODAY())-Table1[[#This Row],[Year Built]]</f>
        <v>14</v>
      </c>
      <c r="S6" t="str">
        <f>IF(Table1[[#This Row],[Days on Market]] &lt; 30,"Fast",IF(Table1[[#This Row],[Days on Market]]&lt;= 90,"Average", "Slow"))</f>
        <v>Fast</v>
      </c>
      <c r="T6" t="str">
        <f>IF(Table1[[#This Row],[Price2]]&lt;500000,"Affordable",IF(Table1[[#This Row],[Price2]]&lt;1000000,"Mid range","Luxury"))</f>
        <v>Affordable</v>
      </c>
    </row>
    <row r="7" spans="1:20" x14ac:dyDescent="0.35">
      <c r="A7" s="3">
        <v>101178</v>
      </c>
      <c r="B7" s="2" t="s">
        <v>34</v>
      </c>
      <c r="C7">
        <v>15800</v>
      </c>
      <c r="D7" s="2" t="s">
        <v>35</v>
      </c>
      <c r="E7">
        <v>6</v>
      </c>
      <c r="F7">
        <v>3</v>
      </c>
      <c r="G7" s="4">
        <f>VALUE(SUBSTITUTE(SUBSTITUTE(Table1[[#This Row],[Price]],"$",""),",",""))</f>
        <v>101178</v>
      </c>
      <c r="H7" s="1">
        <f>Table1[[#This Row],[Price2]]/Table1[[#This Row],[Area]]</f>
        <v>68.179245283018872</v>
      </c>
      <c r="I7">
        <v>1484</v>
      </c>
      <c r="J7">
        <v>2006</v>
      </c>
      <c r="K7">
        <v>73</v>
      </c>
      <c r="L7" t="s">
        <v>52</v>
      </c>
      <c r="M7" t="s">
        <v>2510</v>
      </c>
      <c r="N7" s="2" t="s">
        <v>3029</v>
      </c>
      <c r="O7" t="s">
        <v>3030</v>
      </c>
      <c r="P7" t="s">
        <v>26</v>
      </c>
      <c r="Q7">
        <v>68.179245283018872</v>
      </c>
      <c r="R7">
        <f ca="1">YEAR(TODAY())-Table1[[#This Row],[Year Built]]</f>
        <v>20</v>
      </c>
      <c r="S7" t="str">
        <f>IF(Table1[[#This Row],[Days on Market]] &lt; 30,"Fast",IF(Table1[[#This Row],[Days on Market]]&lt;= 90,"Average", "Slow"))</f>
        <v>Average</v>
      </c>
      <c r="T7" t="str">
        <f>IF(Table1[[#This Row],[Price2]]&lt;500000,"Affordable",IF(Table1[[#This Row],[Price2]]&lt;1000000,"Mid range","Luxury"))</f>
        <v>Affordable</v>
      </c>
    </row>
    <row r="8" spans="1:20" x14ac:dyDescent="0.35">
      <c r="A8" s="3">
        <v>101342</v>
      </c>
      <c r="B8" s="2" t="s">
        <v>22</v>
      </c>
      <c r="C8">
        <v>26064</v>
      </c>
      <c r="D8" s="2" t="s">
        <v>29</v>
      </c>
      <c r="E8">
        <v>3</v>
      </c>
      <c r="F8">
        <v>1</v>
      </c>
      <c r="G8" s="4">
        <f>VALUE(SUBSTITUTE(SUBSTITUTE(Table1[[#This Row],[Price]],"$",""),",",""))</f>
        <v>101342</v>
      </c>
      <c r="H8" s="1">
        <f>Table1[[#This Row],[Price2]]/Table1[[#This Row],[Area]]</f>
        <v>61.123039806996381</v>
      </c>
      <c r="I8">
        <v>1658</v>
      </c>
      <c r="J8">
        <v>2021</v>
      </c>
      <c r="K8">
        <v>34</v>
      </c>
      <c r="L8" t="s">
        <v>19</v>
      </c>
      <c r="M8" t="s">
        <v>296</v>
      </c>
      <c r="N8" s="2" t="s">
        <v>3029</v>
      </c>
      <c r="O8" t="s">
        <v>3030</v>
      </c>
      <c r="P8" t="s">
        <v>26</v>
      </c>
      <c r="Q8">
        <v>61.123039806996381</v>
      </c>
      <c r="R8">
        <f ca="1">YEAR(TODAY())-Table1[[#This Row],[Year Built]]</f>
        <v>5</v>
      </c>
      <c r="S8" t="str">
        <f>IF(Table1[[#This Row],[Days on Market]] &lt; 30,"Fast",IF(Table1[[#This Row],[Days on Market]]&lt;= 90,"Average", "Slow"))</f>
        <v>Average</v>
      </c>
      <c r="T8" t="str">
        <f>IF(Table1[[#This Row],[Price2]]&lt;500000,"Affordable",IF(Table1[[#This Row],[Price2]]&lt;1000000,"Mid range","Luxury"))</f>
        <v>Affordable</v>
      </c>
    </row>
    <row r="9" spans="1:20" x14ac:dyDescent="0.35">
      <c r="A9" s="3">
        <v>101833</v>
      </c>
      <c r="B9" s="2" t="s">
        <v>17</v>
      </c>
      <c r="C9">
        <v>12937</v>
      </c>
      <c r="D9" s="2" t="s">
        <v>29</v>
      </c>
      <c r="E9">
        <v>3</v>
      </c>
      <c r="F9">
        <v>2</v>
      </c>
      <c r="G9" s="4">
        <f>VALUE(SUBSTITUTE(SUBSTITUTE(Table1[[#This Row],[Price]],"$",""),",",""))</f>
        <v>101833</v>
      </c>
      <c r="H9" s="1">
        <f>Table1[[#This Row],[Price2]]/Table1[[#This Row],[Area]]</f>
        <v>34.601766904519195</v>
      </c>
      <c r="I9">
        <v>2943</v>
      </c>
      <c r="J9">
        <v>2017</v>
      </c>
      <c r="K9">
        <v>55</v>
      </c>
      <c r="L9" t="s">
        <v>52</v>
      </c>
      <c r="M9" t="s">
        <v>2496</v>
      </c>
      <c r="N9" s="2" t="s">
        <v>3031</v>
      </c>
      <c r="O9" t="s">
        <v>3032</v>
      </c>
      <c r="P9" t="s">
        <v>26</v>
      </c>
      <c r="Q9">
        <v>34.601766904519195</v>
      </c>
      <c r="R9">
        <f ca="1">YEAR(TODAY())-Table1[[#This Row],[Year Built]]</f>
        <v>9</v>
      </c>
      <c r="S9" t="str">
        <f>IF(Table1[[#This Row],[Days on Market]] &lt; 30,"Fast",IF(Table1[[#This Row],[Days on Market]]&lt;= 90,"Average", "Slow"))</f>
        <v>Average</v>
      </c>
      <c r="T9" t="str">
        <f>IF(Table1[[#This Row],[Price2]]&lt;500000,"Affordable",IF(Table1[[#This Row],[Price2]]&lt;1000000,"Mid range","Luxury"))</f>
        <v>Affordable</v>
      </c>
    </row>
    <row r="10" spans="1:20" x14ac:dyDescent="0.35">
      <c r="A10" s="3">
        <v>102028</v>
      </c>
      <c r="B10" s="2" t="s">
        <v>22</v>
      </c>
      <c r="C10">
        <v>97031</v>
      </c>
      <c r="D10" s="2" t="s">
        <v>23</v>
      </c>
      <c r="E10">
        <v>3</v>
      </c>
      <c r="F10">
        <v>1</v>
      </c>
      <c r="G10" s="4">
        <f>VALUE(SUBSTITUTE(SUBSTITUTE(Table1[[#This Row],[Price]],"$",""),",",""))</f>
        <v>102028</v>
      </c>
      <c r="H10" s="1">
        <f>Table1[[#This Row],[Price2]]/Table1[[#This Row],[Area]]</f>
        <v>156.96615384615384</v>
      </c>
      <c r="I10">
        <v>650</v>
      </c>
      <c r="J10">
        <v>1955</v>
      </c>
      <c r="K10">
        <v>4</v>
      </c>
      <c r="L10" t="s">
        <v>14</v>
      </c>
      <c r="M10" t="s">
        <v>829</v>
      </c>
      <c r="N10" s="2" t="s">
        <v>3029</v>
      </c>
      <c r="O10" t="s">
        <v>3030</v>
      </c>
      <c r="P10" t="s">
        <v>16</v>
      </c>
      <c r="Q10">
        <v>156.96615384615384</v>
      </c>
      <c r="R10">
        <f ca="1">YEAR(TODAY())-Table1[[#This Row],[Year Built]]</f>
        <v>71</v>
      </c>
      <c r="S10" t="str">
        <f>IF(Table1[[#This Row],[Days on Market]] &lt; 30,"Fast",IF(Table1[[#This Row],[Days on Market]]&lt;= 90,"Average", "Slow"))</f>
        <v>Fast</v>
      </c>
      <c r="T10" t="str">
        <f>IF(Table1[[#This Row],[Price2]]&lt;500000,"Affordable",IF(Table1[[#This Row],[Price2]]&lt;1000000,"Mid range","Luxury"))</f>
        <v>Affordable</v>
      </c>
    </row>
    <row r="11" spans="1:20" x14ac:dyDescent="0.35">
      <c r="A11" s="3">
        <v>102028</v>
      </c>
      <c r="B11" s="2" t="s">
        <v>17</v>
      </c>
      <c r="C11">
        <v>60495</v>
      </c>
      <c r="D11" s="2" t="s">
        <v>13</v>
      </c>
      <c r="E11">
        <v>1</v>
      </c>
      <c r="F11">
        <v>2</v>
      </c>
      <c r="G11" s="4">
        <f>VALUE(SUBSTITUTE(SUBSTITUTE(Table1[[#This Row],[Price]],"$",""),",",""))</f>
        <v>102028</v>
      </c>
      <c r="H11" s="1">
        <f>Table1[[#This Row],[Price2]]/Table1[[#This Row],[Area]]</f>
        <v>55.936403508771932</v>
      </c>
      <c r="I11">
        <v>1824</v>
      </c>
      <c r="J11">
        <v>1975</v>
      </c>
      <c r="K11">
        <v>42</v>
      </c>
      <c r="L11" t="s">
        <v>14</v>
      </c>
      <c r="M11" t="s">
        <v>1539</v>
      </c>
      <c r="N11" s="2" t="s">
        <v>3035</v>
      </c>
      <c r="O11" t="s">
        <v>3036</v>
      </c>
      <c r="P11" t="s">
        <v>16</v>
      </c>
      <c r="Q11">
        <v>55.936403508771932</v>
      </c>
      <c r="R11">
        <f ca="1">YEAR(TODAY())-Table1[[#This Row],[Year Built]]</f>
        <v>51</v>
      </c>
      <c r="S11" t="str">
        <f>IF(Table1[[#This Row],[Days on Market]] &lt; 30,"Fast",IF(Table1[[#This Row],[Days on Market]]&lt;= 90,"Average", "Slow"))</f>
        <v>Average</v>
      </c>
      <c r="T11" t="str">
        <f>IF(Table1[[#This Row],[Price2]]&lt;500000,"Affordable",IF(Table1[[#This Row],[Price2]]&lt;1000000,"Mid range","Luxury"))</f>
        <v>Affordable</v>
      </c>
    </row>
    <row r="12" spans="1:20" x14ac:dyDescent="0.35">
      <c r="A12" s="3">
        <v>103682</v>
      </c>
      <c r="B12" s="2" t="s">
        <v>17</v>
      </c>
      <c r="C12">
        <v>79620</v>
      </c>
      <c r="D12" s="2" t="s">
        <v>29</v>
      </c>
      <c r="E12">
        <v>3</v>
      </c>
      <c r="F12">
        <v>4</v>
      </c>
      <c r="G12" s="4">
        <f>VALUE(SUBSTITUTE(SUBSTITUTE(Table1[[#This Row],[Price]],"$",""),",",""))</f>
        <v>103682</v>
      </c>
      <c r="H12" s="1">
        <f>Table1[[#This Row],[Price2]]/Table1[[#This Row],[Area]]</f>
        <v>71.455547898001385</v>
      </c>
      <c r="I12">
        <v>1451</v>
      </c>
      <c r="J12">
        <v>2001</v>
      </c>
      <c r="K12">
        <v>99</v>
      </c>
      <c r="L12" t="s">
        <v>52</v>
      </c>
      <c r="M12" t="s">
        <v>1619</v>
      </c>
      <c r="N12" s="2" t="s">
        <v>3031</v>
      </c>
      <c r="O12" t="s">
        <v>3032</v>
      </c>
      <c r="P12" t="s">
        <v>16</v>
      </c>
      <c r="Q12">
        <v>71.455547898001385</v>
      </c>
      <c r="R12">
        <f ca="1">YEAR(TODAY())-Table1[[#This Row],[Year Built]]</f>
        <v>25</v>
      </c>
      <c r="S12" t="str">
        <f>IF(Table1[[#This Row],[Days on Market]] &lt; 30,"Fast",IF(Table1[[#This Row],[Days on Market]]&lt;= 90,"Average", "Slow"))</f>
        <v>Slow</v>
      </c>
      <c r="T12" t="str">
        <f>IF(Table1[[#This Row],[Price2]]&lt;500000,"Affordable",IF(Table1[[#This Row],[Price2]]&lt;1000000,"Mid range","Luxury"))</f>
        <v>Affordable</v>
      </c>
    </row>
    <row r="13" spans="1:20" x14ac:dyDescent="0.35">
      <c r="A13" s="3">
        <v>103832</v>
      </c>
      <c r="B13" s="2" t="s">
        <v>34</v>
      </c>
      <c r="C13">
        <v>20397</v>
      </c>
      <c r="D13" s="2" t="s">
        <v>23</v>
      </c>
      <c r="E13">
        <v>2</v>
      </c>
      <c r="F13">
        <v>2</v>
      </c>
      <c r="G13" s="4">
        <f>VALUE(SUBSTITUTE(SUBSTITUTE(Table1[[#This Row],[Price]],"$",""),",",""))</f>
        <v>103832</v>
      </c>
      <c r="H13" s="1">
        <f>Table1[[#This Row],[Price2]]/Table1[[#This Row],[Area]]</f>
        <v>52.51997976732423</v>
      </c>
      <c r="I13">
        <v>1977</v>
      </c>
      <c r="J13">
        <v>1959</v>
      </c>
      <c r="K13">
        <v>52</v>
      </c>
      <c r="L13" t="s">
        <v>14</v>
      </c>
      <c r="M13" t="s">
        <v>2486</v>
      </c>
      <c r="N13" s="2" t="s">
        <v>3029</v>
      </c>
      <c r="O13" t="s">
        <v>3030</v>
      </c>
      <c r="P13" t="s">
        <v>26</v>
      </c>
      <c r="Q13">
        <v>52.51997976732423</v>
      </c>
      <c r="R13">
        <f ca="1">YEAR(TODAY())-Table1[[#This Row],[Year Built]]</f>
        <v>67</v>
      </c>
      <c r="S13" t="str">
        <f>IF(Table1[[#This Row],[Days on Market]] &lt; 30,"Fast",IF(Table1[[#This Row],[Days on Market]]&lt;= 90,"Average", "Slow"))</f>
        <v>Average</v>
      </c>
      <c r="T13" t="str">
        <f>IF(Table1[[#This Row],[Price2]]&lt;500000,"Affordable",IF(Table1[[#This Row],[Price2]]&lt;1000000,"Mid range","Luxury"))</f>
        <v>Affordable</v>
      </c>
    </row>
    <row r="14" spans="1:20" x14ac:dyDescent="0.35">
      <c r="A14" s="3">
        <v>104306</v>
      </c>
      <c r="B14" s="2" t="s">
        <v>34</v>
      </c>
      <c r="C14">
        <v>47337</v>
      </c>
      <c r="D14" s="2" t="s">
        <v>13</v>
      </c>
      <c r="E14">
        <v>6</v>
      </c>
      <c r="F14">
        <v>2</v>
      </c>
      <c r="G14" s="4">
        <f>VALUE(SUBSTITUTE(SUBSTITUTE(Table1[[#This Row],[Price]],"$",""),",",""))</f>
        <v>104306</v>
      </c>
      <c r="H14" s="1">
        <f>Table1[[#This Row],[Price2]]/Table1[[#This Row],[Area]]</f>
        <v>30.007479861910241</v>
      </c>
      <c r="I14">
        <v>3476</v>
      </c>
      <c r="J14">
        <v>1984</v>
      </c>
      <c r="K14">
        <v>34</v>
      </c>
      <c r="L14" t="s">
        <v>19</v>
      </c>
      <c r="M14" t="s">
        <v>659</v>
      </c>
      <c r="N14" s="2" t="s">
        <v>3033</v>
      </c>
      <c r="O14" t="s">
        <v>3034</v>
      </c>
      <c r="P14" t="s">
        <v>16</v>
      </c>
      <c r="Q14">
        <v>30.007479861910241</v>
      </c>
      <c r="R14">
        <f ca="1">YEAR(TODAY())-Table1[[#This Row],[Year Built]]</f>
        <v>42</v>
      </c>
      <c r="S14" t="str">
        <f>IF(Table1[[#This Row],[Days on Market]] &lt; 30,"Fast",IF(Table1[[#This Row],[Days on Market]]&lt;= 90,"Average", "Slow"))</f>
        <v>Average</v>
      </c>
      <c r="T14" t="str">
        <f>IF(Table1[[#This Row],[Price2]]&lt;500000,"Affordable",IF(Table1[[#This Row],[Price2]]&lt;1000000,"Mid range","Luxury"))</f>
        <v>Affordable</v>
      </c>
    </row>
    <row r="15" spans="1:20" x14ac:dyDescent="0.35">
      <c r="A15" s="3">
        <v>104321</v>
      </c>
      <c r="B15" s="2" t="s">
        <v>22</v>
      </c>
      <c r="C15">
        <v>72702</v>
      </c>
      <c r="D15" s="2" t="s">
        <v>18</v>
      </c>
      <c r="E15">
        <v>1</v>
      </c>
      <c r="F15">
        <v>1</v>
      </c>
      <c r="G15" s="4">
        <f>VALUE(SUBSTITUTE(SUBSTITUTE(Table1[[#This Row],[Price]],"$",""),",",""))</f>
        <v>104321</v>
      </c>
      <c r="H15" s="1">
        <f>Table1[[#This Row],[Price2]]/Table1[[#This Row],[Area]]</f>
        <v>53.470527934392621</v>
      </c>
      <c r="I15">
        <v>1951</v>
      </c>
      <c r="J15">
        <v>1985</v>
      </c>
      <c r="K15">
        <v>42</v>
      </c>
      <c r="L15" t="s">
        <v>40</v>
      </c>
      <c r="M15" t="s">
        <v>1654</v>
      </c>
      <c r="N15" s="2" t="s">
        <v>3027</v>
      </c>
      <c r="O15" t="s">
        <v>3028</v>
      </c>
      <c r="P15" t="s">
        <v>26</v>
      </c>
      <c r="Q15">
        <v>53.470527934392621</v>
      </c>
      <c r="R15">
        <f ca="1">YEAR(TODAY())-Table1[[#This Row],[Year Built]]</f>
        <v>41</v>
      </c>
      <c r="S15" t="str">
        <f>IF(Table1[[#This Row],[Days on Market]] &lt; 30,"Fast",IF(Table1[[#This Row],[Days on Market]]&lt;= 90,"Average", "Slow"))</f>
        <v>Average</v>
      </c>
      <c r="T15" t="str">
        <f>IF(Table1[[#This Row],[Price2]]&lt;500000,"Affordable",IF(Table1[[#This Row],[Price2]]&lt;1000000,"Mid range","Luxury"))</f>
        <v>Affordable</v>
      </c>
    </row>
    <row r="16" spans="1:20" x14ac:dyDescent="0.35">
      <c r="A16" s="3">
        <v>104351</v>
      </c>
      <c r="B16" s="2" t="s">
        <v>17</v>
      </c>
      <c r="C16">
        <v>37362</v>
      </c>
      <c r="D16" s="2" t="s">
        <v>35</v>
      </c>
      <c r="E16">
        <v>5</v>
      </c>
      <c r="F16">
        <v>4</v>
      </c>
      <c r="G16" s="4">
        <f>VALUE(SUBSTITUTE(SUBSTITUTE(Table1[[#This Row],[Price]],"$",""),",",""))</f>
        <v>104351</v>
      </c>
      <c r="H16" s="1">
        <f>Table1[[#This Row],[Price2]]/Table1[[#This Row],[Area]]</f>
        <v>28.487851487851486</v>
      </c>
      <c r="I16">
        <v>3663</v>
      </c>
      <c r="J16">
        <v>1989</v>
      </c>
      <c r="K16">
        <v>68</v>
      </c>
      <c r="L16" t="s">
        <v>19</v>
      </c>
      <c r="M16" t="s">
        <v>2525</v>
      </c>
      <c r="N16" s="2" t="s">
        <v>3033</v>
      </c>
      <c r="O16" t="s">
        <v>3034</v>
      </c>
      <c r="P16" t="s">
        <v>26</v>
      </c>
      <c r="Q16">
        <v>28.487851487851486</v>
      </c>
      <c r="R16">
        <f ca="1">YEAR(TODAY())-Table1[[#This Row],[Year Built]]</f>
        <v>37</v>
      </c>
      <c r="S16" t="str">
        <f>IF(Table1[[#This Row],[Days on Market]] &lt; 30,"Fast",IF(Table1[[#This Row],[Days on Market]]&lt;= 90,"Average", "Slow"))</f>
        <v>Average</v>
      </c>
      <c r="T16" t="str">
        <f>IF(Table1[[#This Row],[Price2]]&lt;500000,"Affordable",IF(Table1[[#This Row],[Price2]]&lt;1000000,"Mid range","Luxury"))</f>
        <v>Affordable</v>
      </c>
    </row>
    <row r="17" spans="1:20" x14ac:dyDescent="0.35">
      <c r="A17" s="3">
        <v>104493</v>
      </c>
      <c r="B17" s="2" t="s">
        <v>27</v>
      </c>
      <c r="C17">
        <v>42451</v>
      </c>
      <c r="D17" s="2" t="s">
        <v>23</v>
      </c>
      <c r="E17">
        <v>6</v>
      </c>
      <c r="F17">
        <v>1</v>
      </c>
      <c r="G17" s="4">
        <f>VALUE(SUBSTITUTE(SUBSTITUTE(Table1[[#This Row],[Price]],"$",""),",",""))</f>
        <v>104493</v>
      </c>
      <c r="H17" s="1">
        <f>Table1[[#This Row],[Price2]]/Table1[[#This Row],[Area]]</f>
        <v>144.72714681440442</v>
      </c>
      <c r="I17">
        <v>722</v>
      </c>
      <c r="J17">
        <v>2010</v>
      </c>
      <c r="K17">
        <v>45</v>
      </c>
      <c r="L17" t="s">
        <v>19</v>
      </c>
      <c r="M17" t="s">
        <v>1303</v>
      </c>
      <c r="N17" s="2" t="s">
        <v>3033</v>
      </c>
      <c r="O17" t="s">
        <v>3034</v>
      </c>
      <c r="P17" t="s">
        <v>21</v>
      </c>
      <c r="Q17">
        <v>144.72714681440442</v>
      </c>
      <c r="R17">
        <f ca="1">YEAR(TODAY())-Table1[[#This Row],[Year Built]]</f>
        <v>16</v>
      </c>
      <c r="S17" t="str">
        <f>IF(Table1[[#This Row],[Days on Market]] &lt; 30,"Fast",IF(Table1[[#This Row],[Days on Market]]&lt;= 90,"Average", "Slow"))</f>
        <v>Average</v>
      </c>
      <c r="T17" t="str">
        <f>IF(Table1[[#This Row],[Price2]]&lt;500000,"Affordable",IF(Table1[[#This Row],[Price2]]&lt;1000000,"Mid range","Luxury"))</f>
        <v>Affordable</v>
      </c>
    </row>
    <row r="18" spans="1:20" x14ac:dyDescent="0.35">
      <c r="A18" s="3">
        <v>105815</v>
      </c>
      <c r="B18" s="2" t="s">
        <v>22</v>
      </c>
      <c r="C18">
        <v>40627</v>
      </c>
      <c r="D18" s="2" t="s">
        <v>29</v>
      </c>
      <c r="E18">
        <v>1</v>
      </c>
      <c r="F18">
        <v>3</v>
      </c>
      <c r="G18" s="4">
        <f>VALUE(SUBSTITUTE(SUBSTITUTE(Table1[[#This Row],[Price]],"$",""),",",""))</f>
        <v>105815</v>
      </c>
      <c r="H18" s="1">
        <f>Table1[[#This Row],[Price2]]/Table1[[#This Row],[Area]]</f>
        <v>42.805420711974108</v>
      </c>
      <c r="I18">
        <v>2472</v>
      </c>
      <c r="J18">
        <v>1999</v>
      </c>
      <c r="K18">
        <v>106</v>
      </c>
      <c r="L18" t="s">
        <v>40</v>
      </c>
      <c r="M18" t="s">
        <v>2965</v>
      </c>
      <c r="N18" s="2" t="s">
        <v>3035</v>
      </c>
      <c r="O18" t="s">
        <v>3036</v>
      </c>
      <c r="P18" t="s">
        <v>16</v>
      </c>
      <c r="Q18">
        <v>42.805420711974108</v>
      </c>
      <c r="R18">
        <f ca="1">YEAR(TODAY())-Table1[[#This Row],[Year Built]]</f>
        <v>27</v>
      </c>
      <c r="S18" t="str">
        <f>IF(Table1[[#This Row],[Days on Market]] &lt; 30,"Fast",IF(Table1[[#This Row],[Days on Market]]&lt;= 90,"Average", "Slow"))</f>
        <v>Slow</v>
      </c>
      <c r="T18" t="str">
        <f>IF(Table1[[#This Row],[Price2]]&lt;500000,"Affordable",IF(Table1[[#This Row],[Price2]]&lt;1000000,"Mid range","Luxury"))</f>
        <v>Affordable</v>
      </c>
    </row>
    <row r="19" spans="1:20" x14ac:dyDescent="0.35">
      <c r="A19" s="3">
        <v>105850</v>
      </c>
      <c r="B19" s="2" t="s">
        <v>34</v>
      </c>
      <c r="C19">
        <v>41891</v>
      </c>
      <c r="D19" s="2" t="s">
        <v>18</v>
      </c>
      <c r="E19">
        <v>6</v>
      </c>
      <c r="F19">
        <v>2</v>
      </c>
      <c r="G19" s="4">
        <f>VALUE(SUBSTITUTE(SUBSTITUTE(Table1[[#This Row],[Price]],"$",""),",",""))</f>
        <v>105850</v>
      </c>
      <c r="H19" s="1">
        <f>Table1[[#This Row],[Price2]]/Table1[[#This Row],[Area]]</f>
        <v>30.734610917537747</v>
      </c>
      <c r="I19">
        <v>3444</v>
      </c>
      <c r="J19">
        <v>1950</v>
      </c>
      <c r="K19">
        <v>68</v>
      </c>
      <c r="L19" t="s">
        <v>19</v>
      </c>
      <c r="M19" t="s">
        <v>1156</v>
      </c>
      <c r="N19" s="2" t="s">
        <v>3033</v>
      </c>
      <c r="O19" t="s">
        <v>3034</v>
      </c>
      <c r="P19" t="s">
        <v>21</v>
      </c>
      <c r="Q19">
        <v>30.734610917537747</v>
      </c>
      <c r="R19">
        <f ca="1">YEAR(TODAY())-Table1[[#This Row],[Year Built]]</f>
        <v>76</v>
      </c>
      <c r="S19" t="str">
        <f>IF(Table1[[#This Row],[Days on Market]] &lt; 30,"Fast",IF(Table1[[#This Row],[Days on Market]]&lt;= 90,"Average", "Slow"))</f>
        <v>Average</v>
      </c>
      <c r="T19" t="str">
        <f>IF(Table1[[#This Row],[Price2]]&lt;500000,"Affordable",IF(Table1[[#This Row],[Price2]]&lt;1000000,"Mid range","Luxury"))</f>
        <v>Affordable</v>
      </c>
    </row>
    <row r="20" spans="1:20" x14ac:dyDescent="0.35">
      <c r="A20" s="3">
        <v>107584</v>
      </c>
      <c r="B20" s="2" t="s">
        <v>27</v>
      </c>
      <c r="C20">
        <v>68674</v>
      </c>
      <c r="D20" s="2" t="s">
        <v>35</v>
      </c>
      <c r="E20">
        <v>3</v>
      </c>
      <c r="F20">
        <v>1</v>
      </c>
      <c r="G20" s="4">
        <f>VALUE(SUBSTITUTE(SUBSTITUTE(Table1[[#This Row],[Price]],"$",""),",",""))</f>
        <v>107584</v>
      </c>
      <c r="H20" s="1">
        <f>Table1[[#This Row],[Price2]]/Table1[[#This Row],[Area]]</f>
        <v>30.373800112930549</v>
      </c>
      <c r="I20">
        <v>3542</v>
      </c>
      <c r="J20">
        <v>2004</v>
      </c>
      <c r="K20">
        <v>13</v>
      </c>
      <c r="L20" t="s">
        <v>30</v>
      </c>
      <c r="M20" t="s">
        <v>1161</v>
      </c>
      <c r="N20" s="2" t="s">
        <v>3029</v>
      </c>
      <c r="O20" t="s">
        <v>3030</v>
      </c>
      <c r="P20" t="s">
        <v>21</v>
      </c>
      <c r="Q20">
        <v>30.373800112930549</v>
      </c>
      <c r="R20">
        <f ca="1">YEAR(TODAY())-Table1[[#This Row],[Year Built]]</f>
        <v>22</v>
      </c>
      <c r="S20" t="str">
        <f>IF(Table1[[#This Row],[Days on Market]] &lt; 30,"Fast",IF(Table1[[#This Row],[Days on Market]]&lt;= 90,"Average", "Slow"))</f>
        <v>Fast</v>
      </c>
      <c r="T20" t="str">
        <f>IF(Table1[[#This Row],[Price2]]&lt;500000,"Affordable",IF(Table1[[#This Row],[Price2]]&lt;1000000,"Mid range","Luxury"))</f>
        <v>Affordable</v>
      </c>
    </row>
    <row r="21" spans="1:20" x14ac:dyDescent="0.35">
      <c r="A21" s="3">
        <v>107634</v>
      </c>
      <c r="B21" s="2" t="s">
        <v>27</v>
      </c>
      <c r="C21">
        <v>67231</v>
      </c>
      <c r="D21" s="2" t="s">
        <v>23</v>
      </c>
      <c r="E21">
        <v>5</v>
      </c>
      <c r="F21">
        <v>3</v>
      </c>
      <c r="G21" s="4">
        <f>VALUE(SUBSTITUTE(SUBSTITUTE(Table1[[#This Row],[Price]],"$",""),",",""))</f>
        <v>107634</v>
      </c>
      <c r="H21" s="1">
        <f>Table1[[#This Row],[Price2]]/Table1[[#This Row],[Area]]</f>
        <v>48.418353576248315</v>
      </c>
      <c r="I21">
        <v>2223</v>
      </c>
      <c r="J21">
        <v>2006</v>
      </c>
      <c r="K21">
        <v>53</v>
      </c>
      <c r="L21" t="s">
        <v>30</v>
      </c>
      <c r="M21" t="s">
        <v>966</v>
      </c>
      <c r="N21" s="2" t="s">
        <v>3033</v>
      </c>
      <c r="O21" t="s">
        <v>3034</v>
      </c>
      <c r="P21" t="s">
        <v>26</v>
      </c>
      <c r="Q21">
        <v>48.418353576248315</v>
      </c>
      <c r="R21">
        <f ca="1">YEAR(TODAY())-Table1[[#This Row],[Year Built]]</f>
        <v>20</v>
      </c>
      <c r="S21" t="str">
        <f>IF(Table1[[#This Row],[Days on Market]] &lt; 30,"Fast",IF(Table1[[#This Row],[Days on Market]]&lt;= 90,"Average", "Slow"))</f>
        <v>Average</v>
      </c>
      <c r="T21" t="str">
        <f>IF(Table1[[#This Row],[Price2]]&lt;500000,"Affordable",IF(Table1[[#This Row],[Price2]]&lt;1000000,"Mid range","Luxury"))</f>
        <v>Affordable</v>
      </c>
    </row>
    <row r="22" spans="1:20" x14ac:dyDescent="0.35">
      <c r="A22" s="3">
        <v>108787</v>
      </c>
      <c r="B22" s="2" t="s">
        <v>17</v>
      </c>
      <c r="C22">
        <v>67573</v>
      </c>
      <c r="D22" s="2" t="s">
        <v>29</v>
      </c>
      <c r="E22">
        <v>4</v>
      </c>
      <c r="F22">
        <v>1</v>
      </c>
      <c r="G22" s="4">
        <f>VALUE(SUBSTITUTE(SUBSTITUTE(Table1[[#This Row],[Price]],"$",""),",",""))</f>
        <v>108787</v>
      </c>
      <c r="H22" s="1">
        <f>Table1[[#This Row],[Price2]]/Table1[[#This Row],[Area]]</f>
        <v>33.483225607879348</v>
      </c>
      <c r="I22">
        <v>3249</v>
      </c>
      <c r="J22">
        <v>1954</v>
      </c>
      <c r="K22">
        <v>10</v>
      </c>
      <c r="L22" t="s">
        <v>19</v>
      </c>
      <c r="M22" t="s">
        <v>821</v>
      </c>
      <c r="N22" s="2" t="s">
        <v>3029</v>
      </c>
      <c r="O22" t="s">
        <v>3030</v>
      </c>
      <c r="P22" t="s">
        <v>16</v>
      </c>
      <c r="Q22">
        <v>33.483225607879348</v>
      </c>
      <c r="R22">
        <f ca="1">YEAR(TODAY())-Table1[[#This Row],[Year Built]]</f>
        <v>72</v>
      </c>
      <c r="S22" t="str">
        <f>IF(Table1[[#This Row],[Days on Market]] &lt; 30,"Fast",IF(Table1[[#This Row],[Days on Market]]&lt;= 90,"Average", "Slow"))</f>
        <v>Fast</v>
      </c>
      <c r="T22" t="str">
        <f>IF(Table1[[#This Row],[Price2]]&lt;500000,"Affordable",IF(Table1[[#This Row],[Price2]]&lt;1000000,"Mid range","Luxury"))</f>
        <v>Affordable</v>
      </c>
    </row>
    <row r="23" spans="1:20" x14ac:dyDescent="0.35">
      <c r="A23" s="3">
        <v>109684</v>
      </c>
      <c r="B23" s="2" t="s">
        <v>27</v>
      </c>
      <c r="C23">
        <v>54178</v>
      </c>
      <c r="D23" s="2" t="s">
        <v>13</v>
      </c>
      <c r="E23">
        <v>3</v>
      </c>
      <c r="F23">
        <v>3</v>
      </c>
      <c r="G23" s="4">
        <f>VALUE(SUBSTITUTE(SUBSTITUTE(Table1[[#This Row],[Price]],"$",""),",",""))</f>
        <v>109684</v>
      </c>
      <c r="H23" s="1">
        <f>Table1[[#This Row],[Price2]]/Table1[[#This Row],[Area]]</f>
        <v>140.98200514138819</v>
      </c>
      <c r="I23">
        <v>778</v>
      </c>
      <c r="J23">
        <v>1956</v>
      </c>
      <c r="K23">
        <v>26</v>
      </c>
      <c r="L23" t="s">
        <v>14</v>
      </c>
      <c r="M23" t="s">
        <v>2049</v>
      </c>
      <c r="N23" s="2" t="s">
        <v>3029</v>
      </c>
      <c r="O23" t="s">
        <v>3030</v>
      </c>
      <c r="P23" t="s">
        <v>26</v>
      </c>
      <c r="Q23">
        <v>140.98200514138819</v>
      </c>
      <c r="R23">
        <f ca="1">YEAR(TODAY())-Table1[[#This Row],[Year Built]]</f>
        <v>70</v>
      </c>
      <c r="S23" t="str">
        <f>IF(Table1[[#This Row],[Days on Market]] &lt; 30,"Fast",IF(Table1[[#This Row],[Days on Market]]&lt;= 90,"Average", "Slow"))</f>
        <v>Fast</v>
      </c>
      <c r="T23" t="str">
        <f>IF(Table1[[#This Row],[Price2]]&lt;500000,"Affordable",IF(Table1[[#This Row],[Price2]]&lt;1000000,"Mid range","Luxury"))</f>
        <v>Affordable</v>
      </c>
    </row>
    <row r="24" spans="1:20" x14ac:dyDescent="0.35">
      <c r="A24" s="3">
        <v>110097</v>
      </c>
      <c r="B24" s="2" t="s">
        <v>17</v>
      </c>
      <c r="C24">
        <v>11996</v>
      </c>
      <c r="D24" s="2" t="s">
        <v>18</v>
      </c>
      <c r="E24">
        <v>5</v>
      </c>
      <c r="F24">
        <v>2</v>
      </c>
      <c r="G24" s="4">
        <f>VALUE(SUBSTITUTE(SUBSTITUTE(Table1[[#This Row],[Price]],"$",""),",",""))</f>
        <v>110097</v>
      </c>
      <c r="H24" s="1">
        <f>Table1[[#This Row],[Price2]]/Table1[[#This Row],[Area]]</f>
        <v>78.753218884120173</v>
      </c>
      <c r="I24">
        <v>1398</v>
      </c>
      <c r="J24">
        <v>1962</v>
      </c>
      <c r="K24">
        <v>47</v>
      </c>
      <c r="L24" t="s">
        <v>40</v>
      </c>
      <c r="M24" t="s">
        <v>1343</v>
      </c>
      <c r="N24" s="2" t="s">
        <v>3033</v>
      </c>
      <c r="O24" t="s">
        <v>3034</v>
      </c>
      <c r="P24" t="s">
        <v>26</v>
      </c>
      <c r="Q24">
        <v>78.753218884120173</v>
      </c>
      <c r="R24">
        <f ca="1">YEAR(TODAY())-Table1[[#This Row],[Year Built]]</f>
        <v>64</v>
      </c>
      <c r="S24" t="str">
        <f>IF(Table1[[#This Row],[Days on Market]] &lt; 30,"Fast",IF(Table1[[#This Row],[Days on Market]]&lt;= 90,"Average", "Slow"))</f>
        <v>Average</v>
      </c>
      <c r="T24" t="str">
        <f>IF(Table1[[#This Row],[Price2]]&lt;500000,"Affordable",IF(Table1[[#This Row],[Price2]]&lt;1000000,"Mid range","Luxury"))</f>
        <v>Affordable</v>
      </c>
    </row>
    <row r="25" spans="1:20" x14ac:dyDescent="0.35">
      <c r="A25" s="3">
        <v>110130</v>
      </c>
      <c r="B25" s="2" t="s">
        <v>22</v>
      </c>
      <c r="C25">
        <v>19611</v>
      </c>
      <c r="D25" s="2" t="s">
        <v>29</v>
      </c>
      <c r="E25">
        <v>6</v>
      </c>
      <c r="F25">
        <v>4</v>
      </c>
      <c r="G25" s="4">
        <f>VALUE(SUBSTITUTE(SUBSTITUTE(Table1[[#This Row],[Price]],"$",""),",",""))</f>
        <v>110130</v>
      </c>
      <c r="H25" s="1">
        <f>Table1[[#This Row],[Price2]]/Table1[[#This Row],[Area]]</f>
        <v>124.8639455782313</v>
      </c>
      <c r="I25">
        <v>882</v>
      </c>
      <c r="J25">
        <v>1993</v>
      </c>
      <c r="K25">
        <v>39</v>
      </c>
      <c r="L25" t="s">
        <v>40</v>
      </c>
      <c r="M25" t="s">
        <v>2364</v>
      </c>
      <c r="N25" s="2" t="s">
        <v>3035</v>
      </c>
      <c r="O25" t="s">
        <v>3036</v>
      </c>
      <c r="P25" t="s">
        <v>16</v>
      </c>
      <c r="Q25">
        <v>124.8639455782313</v>
      </c>
      <c r="R25">
        <f ca="1">YEAR(TODAY())-Table1[[#This Row],[Year Built]]</f>
        <v>33</v>
      </c>
      <c r="S25" t="str">
        <f>IF(Table1[[#This Row],[Days on Market]] &lt; 30,"Fast",IF(Table1[[#This Row],[Days on Market]]&lt;= 90,"Average", "Slow"))</f>
        <v>Average</v>
      </c>
      <c r="T25" t="str">
        <f>IF(Table1[[#This Row],[Price2]]&lt;500000,"Affordable",IF(Table1[[#This Row],[Price2]]&lt;1000000,"Mid range","Luxury"))</f>
        <v>Affordable</v>
      </c>
    </row>
    <row r="26" spans="1:20" x14ac:dyDescent="0.35">
      <c r="A26" s="3">
        <v>110859</v>
      </c>
      <c r="B26" s="2" t="s">
        <v>34</v>
      </c>
      <c r="C26">
        <v>35912</v>
      </c>
      <c r="D26" s="2" t="s">
        <v>23</v>
      </c>
      <c r="E26">
        <v>4</v>
      </c>
      <c r="F26">
        <v>3</v>
      </c>
      <c r="G26" s="4">
        <f>VALUE(SUBSTITUTE(SUBSTITUTE(Table1[[#This Row],[Price]],"$",""),",",""))</f>
        <v>110859</v>
      </c>
      <c r="H26" s="1">
        <f>Table1[[#This Row],[Price2]]/Table1[[#This Row],[Area]]</f>
        <v>30.355695509309967</v>
      </c>
      <c r="I26">
        <v>3652</v>
      </c>
      <c r="J26">
        <v>1953</v>
      </c>
      <c r="K26">
        <v>32</v>
      </c>
      <c r="L26" t="s">
        <v>19</v>
      </c>
      <c r="M26" t="s">
        <v>1645</v>
      </c>
      <c r="N26" s="2" t="s">
        <v>3035</v>
      </c>
      <c r="O26" t="s">
        <v>3036</v>
      </c>
      <c r="P26" t="s">
        <v>26</v>
      </c>
      <c r="Q26">
        <v>30.355695509309967</v>
      </c>
      <c r="R26">
        <f ca="1">YEAR(TODAY())-Table1[[#This Row],[Year Built]]</f>
        <v>73</v>
      </c>
      <c r="S26" t="str">
        <f>IF(Table1[[#This Row],[Days on Market]] &lt; 30,"Fast",IF(Table1[[#This Row],[Days on Market]]&lt;= 90,"Average", "Slow"))</f>
        <v>Average</v>
      </c>
      <c r="T26" t="str">
        <f>IF(Table1[[#This Row],[Price2]]&lt;500000,"Affordable",IF(Table1[[#This Row],[Price2]]&lt;1000000,"Mid range","Luxury"))</f>
        <v>Affordable</v>
      </c>
    </row>
    <row r="27" spans="1:20" x14ac:dyDescent="0.35">
      <c r="A27" s="3">
        <v>111428</v>
      </c>
      <c r="B27" s="2" t="s">
        <v>27</v>
      </c>
      <c r="C27">
        <v>47236</v>
      </c>
      <c r="D27" s="2" t="s">
        <v>13</v>
      </c>
      <c r="E27">
        <v>4</v>
      </c>
      <c r="F27">
        <v>2</v>
      </c>
      <c r="G27" s="4">
        <f>VALUE(SUBSTITUTE(SUBSTITUTE(Table1[[#This Row],[Price]],"$",""),",",""))</f>
        <v>111428</v>
      </c>
      <c r="H27" s="1">
        <f>Table1[[#This Row],[Price2]]/Table1[[#This Row],[Area]]</f>
        <v>52.63486065186585</v>
      </c>
      <c r="I27">
        <v>2117</v>
      </c>
      <c r="J27">
        <v>1980</v>
      </c>
      <c r="K27">
        <v>111</v>
      </c>
      <c r="L27" t="s">
        <v>52</v>
      </c>
      <c r="M27" t="s">
        <v>1677</v>
      </c>
      <c r="N27" s="2" t="s">
        <v>3035</v>
      </c>
      <c r="O27" t="s">
        <v>3036</v>
      </c>
      <c r="P27" t="s">
        <v>21</v>
      </c>
      <c r="Q27">
        <v>52.63486065186585</v>
      </c>
      <c r="R27">
        <f ca="1">YEAR(TODAY())-Table1[[#This Row],[Year Built]]</f>
        <v>46</v>
      </c>
      <c r="S27" t="str">
        <f>IF(Table1[[#This Row],[Days on Market]] &lt; 30,"Fast",IF(Table1[[#This Row],[Days on Market]]&lt;= 90,"Average", "Slow"))</f>
        <v>Slow</v>
      </c>
      <c r="T27" t="str">
        <f>IF(Table1[[#This Row],[Price2]]&lt;500000,"Affordable",IF(Table1[[#This Row],[Price2]]&lt;1000000,"Mid range","Luxury"))</f>
        <v>Affordable</v>
      </c>
    </row>
    <row r="28" spans="1:20" x14ac:dyDescent="0.35">
      <c r="A28" s="3">
        <v>112180</v>
      </c>
      <c r="B28" s="2" t="s">
        <v>22</v>
      </c>
      <c r="C28">
        <v>93475</v>
      </c>
      <c r="D28" s="2" t="s">
        <v>29</v>
      </c>
      <c r="E28">
        <v>4</v>
      </c>
      <c r="F28">
        <v>1</v>
      </c>
      <c r="G28" s="4">
        <f>VALUE(SUBSTITUTE(SUBSTITUTE(Table1[[#This Row],[Price]],"$",""),",",""))</f>
        <v>112180</v>
      </c>
      <c r="H28" s="1">
        <f>Table1[[#This Row],[Price2]]/Table1[[#This Row],[Area]]</f>
        <v>97.717770034843213</v>
      </c>
      <c r="I28">
        <v>1148</v>
      </c>
      <c r="J28">
        <v>2017</v>
      </c>
      <c r="K28">
        <v>59</v>
      </c>
      <c r="L28" t="s">
        <v>52</v>
      </c>
      <c r="M28" t="s">
        <v>1904</v>
      </c>
      <c r="N28" s="2" t="s">
        <v>3031</v>
      </c>
      <c r="O28" t="s">
        <v>3032</v>
      </c>
      <c r="P28" t="s">
        <v>16</v>
      </c>
      <c r="Q28">
        <v>97.717770034843213</v>
      </c>
      <c r="R28">
        <f ca="1">YEAR(TODAY())-Table1[[#This Row],[Year Built]]</f>
        <v>9</v>
      </c>
      <c r="S28" t="str">
        <f>IF(Table1[[#This Row],[Days on Market]] &lt; 30,"Fast",IF(Table1[[#This Row],[Days on Market]]&lt;= 90,"Average", "Slow"))</f>
        <v>Average</v>
      </c>
      <c r="T28" t="str">
        <f>IF(Table1[[#This Row],[Price2]]&lt;500000,"Affordable",IF(Table1[[#This Row],[Price2]]&lt;1000000,"Mid range","Luxury"))</f>
        <v>Affordable</v>
      </c>
    </row>
    <row r="29" spans="1:20" x14ac:dyDescent="0.35">
      <c r="A29" s="3">
        <v>113001</v>
      </c>
      <c r="B29" s="2" t="s">
        <v>34</v>
      </c>
      <c r="C29">
        <v>35930</v>
      </c>
      <c r="D29" s="2" t="s">
        <v>13</v>
      </c>
      <c r="E29">
        <v>1</v>
      </c>
      <c r="F29">
        <v>4</v>
      </c>
      <c r="G29" s="4">
        <f>VALUE(SUBSTITUTE(SUBSTITUTE(Table1[[#This Row],[Price]],"$",""),",",""))</f>
        <v>113001</v>
      </c>
      <c r="H29" s="1">
        <f>Table1[[#This Row],[Price2]]/Table1[[#This Row],[Area]]</f>
        <v>49.518404907975459</v>
      </c>
      <c r="I29">
        <v>2282</v>
      </c>
      <c r="J29">
        <v>1994</v>
      </c>
      <c r="K29">
        <v>77</v>
      </c>
      <c r="L29" t="s">
        <v>14</v>
      </c>
      <c r="M29" t="s">
        <v>749</v>
      </c>
      <c r="N29" s="2" t="s">
        <v>3035</v>
      </c>
      <c r="O29" t="s">
        <v>3036</v>
      </c>
      <c r="P29" t="s">
        <v>26</v>
      </c>
      <c r="Q29">
        <v>49.518404907975459</v>
      </c>
      <c r="R29">
        <f ca="1">YEAR(TODAY())-Table1[[#This Row],[Year Built]]</f>
        <v>32</v>
      </c>
      <c r="S29" t="str">
        <f>IF(Table1[[#This Row],[Days on Market]] &lt; 30,"Fast",IF(Table1[[#This Row],[Days on Market]]&lt;= 90,"Average", "Slow"))</f>
        <v>Average</v>
      </c>
      <c r="T29" t="str">
        <f>IF(Table1[[#This Row],[Price2]]&lt;500000,"Affordable",IF(Table1[[#This Row],[Price2]]&lt;1000000,"Mid range","Luxury"))</f>
        <v>Affordable</v>
      </c>
    </row>
    <row r="30" spans="1:20" x14ac:dyDescent="0.35">
      <c r="A30" s="3">
        <v>113084</v>
      </c>
      <c r="B30" s="2" t="s">
        <v>12</v>
      </c>
      <c r="C30">
        <v>16656</v>
      </c>
      <c r="D30" s="2" t="s">
        <v>29</v>
      </c>
      <c r="E30">
        <v>2</v>
      </c>
      <c r="F30">
        <v>2</v>
      </c>
      <c r="G30" s="4">
        <f>VALUE(SUBSTITUTE(SUBSTITUTE(Table1[[#This Row],[Price]],"$",""),",",""))</f>
        <v>113084</v>
      </c>
      <c r="H30" s="1">
        <f>Table1[[#This Row],[Price2]]/Table1[[#This Row],[Area]]</f>
        <v>52.646182495344505</v>
      </c>
      <c r="I30">
        <v>2148</v>
      </c>
      <c r="J30">
        <v>2015</v>
      </c>
      <c r="K30">
        <v>94</v>
      </c>
      <c r="L30" t="s">
        <v>14</v>
      </c>
      <c r="M30" t="s">
        <v>498</v>
      </c>
      <c r="N30" s="2" t="s">
        <v>3035</v>
      </c>
      <c r="O30" t="s">
        <v>3036</v>
      </c>
      <c r="P30" t="s">
        <v>26</v>
      </c>
      <c r="Q30">
        <v>52.646182495344505</v>
      </c>
      <c r="R30">
        <f ca="1">YEAR(TODAY())-Table1[[#This Row],[Year Built]]</f>
        <v>11</v>
      </c>
      <c r="S30" t="str">
        <f>IF(Table1[[#This Row],[Days on Market]] &lt; 30,"Fast",IF(Table1[[#This Row],[Days on Market]]&lt;= 90,"Average", "Slow"))</f>
        <v>Slow</v>
      </c>
      <c r="T30" t="str">
        <f>IF(Table1[[#This Row],[Price2]]&lt;500000,"Affordable",IF(Table1[[#This Row],[Price2]]&lt;1000000,"Mid range","Luxury"))</f>
        <v>Affordable</v>
      </c>
    </row>
    <row r="31" spans="1:20" x14ac:dyDescent="0.35">
      <c r="A31" s="3">
        <v>113372</v>
      </c>
      <c r="B31" s="2" t="s">
        <v>34</v>
      </c>
      <c r="C31">
        <v>57518</v>
      </c>
      <c r="D31" s="2" t="s">
        <v>29</v>
      </c>
      <c r="E31">
        <v>3</v>
      </c>
      <c r="F31">
        <v>1</v>
      </c>
      <c r="G31" s="4">
        <f>VALUE(SUBSTITUTE(SUBSTITUTE(Table1[[#This Row],[Price]],"$",""),",",""))</f>
        <v>113372</v>
      </c>
      <c r="H31" s="1">
        <f>Table1[[#This Row],[Price2]]/Table1[[#This Row],[Area]]</f>
        <v>36.761348897535669</v>
      </c>
      <c r="I31">
        <v>3084</v>
      </c>
      <c r="J31">
        <v>1955</v>
      </c>
      <c r="K31">
        <v>29</v>
      </c>
      <c r="L31" t="s">
        <v>19</v>
      </c>
      <c r="M31" t="s">
        <v>879</v>
      </c>
      <c r="N31" s="2" t="s">
        <v>3035</v>
      </c>
      <c r="O31" t="s">
        <v>3036</v>
      </c>
      <c r="P31" t="s">
        <v>16</v>
      </c>
      <c r="Q31">
        <v>36.761348897535669</v>
      </c>
      <c r="R31">
        <f ca="1">YEAR(TODAY())-Table1[[#This Row],[Year Built]]</f>
        <v>71</v>
      </c>
      <c r="S31" t="str">
        <f>IF(Table1[[#This Row],[Days on Market]] &lt; 30,"Fast",IF(Table1[[#This Row],[Days on Market]]&lt;= 90,"Average", "Slow"))</f>
        <v>Fast</v>
      </c>
      <c r="T31" t="str">
        <f>IF(Table1[[#This Row],[Price2]]&lt;500000,"Affordable",IF(Table1[[#This Row],[Price2]]&lt;1000000,"Mid range","Luxury"))</f>
        <v>Affordable</v>
      </c>
    </row>
    <row r="32" spans="1:20" x14ac:dyDescent="0.35">
      <c r="A32" s="3">
        <v>114286</v>
      </c>
      <c r="B32" s="2" t="s">
        <v>17</v>
      </c>
      <c r="C32">
        <v>95641</v>
      </c>
      <c r="D32" s="2" t="s">
        <v>23</v>
      </c>
      <c r="E32">
        <v>3</v>
      </c>
      <c r="F32">
        <v>4</v>
      </c>
      <c r="G32" s="4">
        <f>VALUE(SUBSTITUTE(SUBSTITUTE(Table1[[#This Row],[Price]],"$",""),",",""))</f>
        <v>114286</v>
      </c>
      <c r="H32" s="1">
        <f>Table1[[#This Row],[Price2]]/Table1[[#This Row],[Area]]</f>
        <v>58.01319796954315</v>
      </c>
      <c r="I32">
        <v>1970</v>
      </c>
      <c r="J32">
        <v>2007</v>
      </c>
      <c r="K32">
        <v>18</v>
      </c>
      <c r="L32" t="s">
        <v>52</v>
      </c>
      <c r="M32" t="s">
        <v>884</v>
      </c>
      <c r="N32" s="2" t="s">
        <v>3033</v>
      </c>
      <c r="O32" t="s">
        <v>3034</v>
      </c>
      <c r="P32" t="s">
        <v>21</v>
      </c>
      <c r="Q32">
        <v>58.01319796954315</v>
      </c>
      <c r="R32">
        <f ca="1">YEAR(TODAY())-Table1[[#This Row],[Year Built]]</f>
        <v>19</v>
      </c>
      <c r="S32" t="str">
        <f>IF(Table1[[#This Row],[Days on Market]] &lt; 30,"Fast",IF(Table1[[#This Row],[Days on Market]]&lt;= 90,"Average", "Slow"))</f>
        <v>Fast</v>
      </c>
      <c r="T32" t="str">
        <f>IF(Table1[[#This Row],[Price2]]&lt;500000,"Affordable",IF(Table1[[#This Row],[Price2]]&lt;1000000,"Mid range","Luxury"))</f>
        <v>Affordable</v>
      </c>
    </row>
    <row r="33" spans="1:20" x14ac:dyDescent="0.35">
      <c r="A33" s="3">
        <v>115004</v>
      </c>
      <c r="B33" s="2" t="s">
        <v>34</v>
      </c>
      <c r="C33">
        <v>28572</v>
      </c>
      <c r="D33" s="2" t="s">
        <v>35</v>
      </c>
      <c r="E33">
        <v>4</v>
      </c>
      <c r="F33">
        <v>3</v>
      </c>
      <c r="G33" s="4">
        <f>VALUE(SUBSTITUTE(SUBSTITUTE(Table1[[#This Row],[Price]],"$",""),",",""))</f>
        <v>115004</v>
      </c>
      <c r="H33" s="1">
        <f>Table1[[#This Row],[Price2]]/Table1[[#This Row],[Area]]</f>
        <v>43.056533133657808</v>
      </c>
      <c r="I33">
        <v>2671</v>
      </c>
      <c r="J33">
        <v>1967</v>
      </c>
      <c r="K33">
        <v>11</v>
      </c>
      <c r="L33" t="s">
        <v>40</v>
      </c>
      <c r="M33" t="s">
        <v>143</v>
      </c>
      <c r="N33" s="2" t="s">
        <v>3035</v>
      </c>
      <c r="O33" t="s">
        <v>3036</v>
      </c>
      <c r="P33" t="s">
        <v>16</v>
      </c>
      <c r="Q33">
        <v>43.056533133657808</v>
      </c>
      <c r="R33">
        <f ca="1">YEAR(TODAY())-Table1[[#This Row],[Year Built]]</f>
        <v>59</v>
      </c>
      <c r="S33" t="str">
        <f>IF(Table1[[#This Row],[Days on Market]] &lt; 30,"Fast",IF(Table1[[#This Row],[Days on Market]]&lt;= 90,"Average", "Slow"))</f>
        <v>Fast</v>
      </c>
      <c r="T33" t="str">
        <f>IF(Table1[[#This Row],[Price2]]&lt;500000,"Affordable",IF(Table1[[#This Row],[Price2]]&lt;1000000,"Mid range","Luxury"))</f>
        <v>Affordable</v>
      </c>
    </row>
    <row r="34" spans="1:20" x14ac:dyDescent="0.35">
      <c r="A34" s="3">
        <v>115744</v>
      </c>
      <c r="B34" s="2" t="s">
        <v>27</v>
      </c>
      <c r="C34">
        <v>88040</v>
      </c>
      <c r="D34" s="2" t="s">
        <v>23</v>
      </c>
      <c r="E34">
        <v>6</v>
      </c>
      <c r="F34">
        <v>3</v>
      </c>
      <c r="G34" s="4">
        <f>VALUE(SUBSTITUTE(SUBSTITUTE(Table1[[#This Row],[Price]],"$",""),",",""))</f>
        <v>115744</v>
      </c>
      <c r="H34" s="1">
        <f>Table1[[#This Row],[Price2]]/Table1[[#This Row],[Area]]</f>
        <v>30.668786433492315</v>
      </c>
      <c r="I34">
        <v>3774</v>
      </c>
      <c r="J34">
        <v>2017</v>
      </c>
      <c r="K34">
        <v>29</v>
      </c>
      <c r="L34" t="s">
        <v>40</v>
      </c>
      <c r="M34" t="s">
        <v>1236</v>
      </c>
      <c r="N34" s="2" t="s">
        <v>3035</v>
      </c>
      <c r="O34" t="s">
        <v>3036</v>
      </c>
      <c r="P34" t="s">
        <v>16</v>
      </c>
      <c r="Q34">
        <v>30.668786433492315</v>
      </c>
      <c r="R34">
        <f ca="1">YEAR(TODAY())-Table1[[#This Row],[Year Built]]</f>
        <v>9</v>
      </c>
      <c r="S34" t="str">
        <f>IF(Table1[[#This Row],[Days on Market]] &lt; 30,"Fast",IF(Table1[[#This Row],[Days on Market]]&lt;= 90,"Average", "Slow"))</f>
        <v>Fast</v>
      </c>
      <c r="T34" t="str">
        <f>IF(Table1[[#This Row],[Price2]]&lt;500000,"Affordable",IF(Table1[[#This Row],[Price2]]&lt;1000000,"Mid range","Luxury"))</f>
        <v>Affordable</v>
      </c>
    </row>
    <row r="35" spans="1:20" x14ac:dyDescent="0.35">
      <c r="A35" s="3">
        <v>116136</v>
      </c>
      <c r="B35" s="2" t="s">
        <v>12</v>
      </c>
      <c r="C35">
        <v>96362</v>
      </c>
      <c r="D35" s="2" t="s">
        <v>13</v>
      </c>
      <c r="E35">
        <v>1</v>
      </c>
      <c r="F35">
        <v>2</v>
      </c>
      <c r="G35" s="4">
        <f>VALUE(SUBSTITUTE(SUBSTITUTE(Table1[[#This Row],[Price]],"$",""),",",""))</f>
        <v>116136</v>
      </c>
      <c r="H35" s="1">
        <f>Table1[[#This Row],[Price2]]/Table1[[#This Row],[Area]]</f>
        <v>41.805615550755938</v>
      </c>
      <c r="I35">
        <v>2778</v>
      </c>
      <c r="J35">
        <v>2005</v>
      </c>
      <c r="K35">
        <v>81</v>
      </c>
      <c r="L35" t="s">
        <v>40</v>
      </c>
      <c r="M35" t="s">
        <v>1207</v>
      </c>
      <c r="N35" s="2" t="s">
        <v>3031</v>
      </c>
      <c r="O35" t="s">
        <v>3032</v>
      </c>
      <c r="P35" t="s">
        <v>21</v>
      </c>
      <c r="Q35">
        <v>41.805615550755938</v>
      </c>
      <c r="R35">
        <f ca="1">YEAR(TODAY())-Table1[[#This Row],[Year Built]]</f>
        <v>21</v>
      </c>
      <c r="S35" t="str">
        <f>IF(Table1[[#This Row],[Days on Market]] &lt; 30,"Fast",IF(Table1[[#This Row],[Days on Market]]&lt;= 90,"Average", "Slow"))</f>
        <v>Average</v>
      </c>
      <c r="T35" t="str">
        <f>IF(Table1[[#This Row],[Price2]]&lt;500000,"Affordable",IF(Table1[[#This Row],[Price2]]&lt;1000000,"Mid range","Luxury"))</f>
        <v>Affordable</v>
      </c>
    </row>
    <row r="36" spans="1:20" x14ac:dyDescent="0.35">
      <c r="A36" s="3">
        <v>116376</v>
      </c>
      <c r="B36" s="2" t="s">
        <v>12</v>
      </c>
      <c r="C36">
        <v>31413</v>
      </c>
      <c r="D36" s="2" t="s">
        <v>35</v>
      </c>
      <c r="E36">
        <v>3</v>
      </c>
      <c r="F36">
        <v>1</v>
      </c>
      <c r="G36" s="4">
        <f>VALUE(SUBSTITUTE(SUBSTITUTE(Table1[[#This Row],[Price]],"$",""),",",""))</f>
        <v>116376</v>
      </c>
      <c r="H36" s="1">
        <f>Table1[[#This Row],[Price2]]/Table1[[#This Row],[Area]]</f>
        <v>89.796296296296291</v>
      </c>
      <c r="I36">
        <v>1296</v>
      </c>
      <c r="J36">
        <v>1968</v>
      </c>
      <c r="K36">
        <v>55</v>
      </c>
      <c r="L36" t="s">
        <v>40</v>
      </c>
      <c r="M36" t="s">
        <v>2960</v>
      </c>
      <c r="N36" s="2" t="s">
        <v>3029</v>
      </c>
      <c r="O36" t="s">
        <v>3030</v>
      </c>
      <c r="P36" t="s">
        <v>26</v>
      </c>
      <c r="Q36">
        <v>89.796296296296291</v>
      </c>
      <c r="R36">
        <f ca="1">YEAR(TODAY())-Table1[[#This Row],[Year Built]]</f>
        <v>58</v>
      </c>
      <c r="S36" t="str">
        <f>IF(Table1[[#This Row],[Days on Market]] &lt; 30,"Fast",IF(Table1[[#This Row],[Days on Market]]&lt;= 90,"Average", "Slow"))</f>
        <v>Average</v>
      </c>
      <c r="T36" t="str">
        <f>IF(Table1[[#This Row],[Price2]]&lt;500000,"Affordable",IF(Table1[[#This Row],[Price2]]&lt;1000000,"Mid range","Luxury"))</f>
        <v>Affordable</v>
      </c>
    </row>
    <row r="37" spans="1:20" x14ac:dyDescent="0.35">
      <c r="A37" s="3">
        <v>117540</v>
      </c>
      <c r="B37" s="2" t="s">
        <v>27</v>
      </c>
      <c r="C37">
        <v>44250</v>
      </c>
      <c r="D37" s="2" t="s">
        <v>23</v>
      </c>
      <c r="E37">
        <v>6</v>
      </c>
      <c r="F37">
        <v>4</v>
      </c>
      <c r="G37" s="4">
        <f>VALUE(SUBSTITUTE(SUBSTITUTE(Table1[[#This Row],[Price]],"$",""),",",""))</f>
        <v>117540</v>
      </c>
      <c r="H37" s="1">
        <f>Table1[[#This Row],[Price2]]/Table1[[#This Row],[Area]]</f>
        <v>48.670807453416153</v>
      </c>
      <c r="I37">
        <v>2415</v>
      </c>
      <c r="J37">
        <v>1953</v>
      </c>
      <c r="K37">
        <v>36</v>
      </c>
      <c r="L37" t="s">
        <v>14</v>
      </c>
      <c r="M37" t="s">
        <v>519</v>
      </c>
      <c r="N37" s="2" t="s">
        <v>3029</v>
      </c>
      <c r="O37" t="s">
        <v>3030</v>
      </c>
      <c r="P37" t="s">
        <v>16</v>
      </c>
      <c r="Q37">
        <v>48.670807453416153</v>
      </c>
      <c r="R37">
        <f ca="1">YEAR(TODAY())-Table1[[#This Row],[Year Built]]</f>
        <v>73</v>
      </c>
      <c r="S37" t="str">
        <f>IF(Table1[[#This Row],[Days on Market]] &lt; 30,"Fast",IF(Table1[[#This Row],[Days on Market]]&lt;= 90,"Average", "Slow"))</f>
        <v>Average</v>
      </c>
      <c r="T37" t="str">
        <f>IF(Table1[[#This Row],[Price2]]&lt;500000,"Affordable",IF(Table1[[#This Row],[Price2]]&lt;1000000,"Mid range","Luxury"))</f>
        <v>Affordable</v>
      </c>
    </row>
    <row r="38" spans="1:20" x14ac:dyDescent="0.35">
      <c r="A38" s="3">
        <v>118223</v>
      </c>
      <c r="B38" s="2" t="s">
        <v>27</v>
      </c>
      <c r="C38">
        <v>26190</v>
      </c>
      <c r="D38" s="2" t="s">
        <v>18</v>
      </c>
      <c r="E38">
        <v>6</v>
      </c>
      <c r="F38">
        <v>2</v>
      </c>
      <c r="G38" s="4">
        <f>VALUE(SUBSTITUTE(SUBSTITUTE(Table1[[#This Row],[Price]],"$",""),",",""))</f>
        <v>118223</v>
      </c>
      <c r="H38" s="1">
        <f>Table1[[#This Row],[Price2]]/Table1[[#This Row],[Area]]</f>
        <v>32.143284393692227</v>
      </c>
      <c r="I38">
        <v>3678</v>
      </c>
      <c r="J38">
        <v>2019</v>
      </c>
      <c r="K38">
        <v>48</v>
      </c>
      <c r="L38" t="s">
        <v>19</v>
      </c>
      <c r="M38" t="s">
        <v>2648</v>
      </c>
      <c r="N38" s="2" t="s">
        <v>3027</v>
      </c>
      <c r="O38" t="s">
        <v>3028</v>
      </c>
      <c r="P38" t="s">
        <v>26</v>
      </c>
      <c r="Q38">
        <v>32.143284393692227</v>
      </c>
      <c r="R38">
        <f ca="1">YEAR(TODAY())-Table1[[#This Row],[Year Built]]</f>
        <v>7</v>
      </c>
      <c r="S38" t="str">
        <f>IF(Table1[[#This Row],[Days on Market]] &lt; 30,"Fast",IF(Table1[[#This Row],[Days on Market]]&lt;= 90,"Average", "Slow"))</f>
        <v>Average</v>
      </c>
      <c r="T38" t="str">
        <f>IF(Table1[[#This Row],[Price2]]&lt;500000,"Affordable",IF(Table1[[#This Row],[Price2]]&lt;1000000,"Mid range","Luxury"))</f>
        <v>Affordable</v>
      </c>
    </row>
    <row r="39" spans="1:20" x14ac:dyDescent="0.35">
      <c r="A39" s="3">
        <v>118489</v>
      </c>
      <c r="B39" s="2" t="s">
        <v>12</v>
      </c>
      <c r="C39">
        <v>75915</v>
      </c>
      <c r="D39" s="2" t="s">
        <v>13</v>
      </c>
      <c r="E39">
        <v>3</v>
      </c>
      <c r="F39">
        <v>4</v>
      </c>
      <c r="G39" s="4">
        <f>VALUE(SUBSTITUTE(SUBSTITUTE(Table1[[#This Row],[Price]],"$",""),",",""))</f>
        <v>118489</v>
      </c>
      <c r="H39" s="1">
        <f>Table1[[#This Row],[Price2]]/Table1[[#This Row],[Area]]</f>
        <v>38.259283177268323</v>
      </c>
      <c r="I39">
        <v>3097</v>
      </c>
      <c r="J39">
        <v>2013</v>
      </c>
      <c r="K39">
        <v>14</v>
      </c>
      <c r="L39" t="s">
        <v>40</v>
      </c>
      <c r="M39" t="s">
        <v>1913</v>
      </c>
      <c r="N39" s="2" t="s">
        <v>3031</v>
      </c>
      <c r="O39" t="s">
        <v>3032</v>
      </c>
      <c r="P39" t="s">
        <v>21</v>
      </c>
      <c r="Q39">
        <v>38.259283177268323</v>
      </c>
      <c r="R39">
        <f ca="1">YEAR(TODAY())-Table1[[#This Row],[Year Built]]</f>
        <v>13</v>
      </c>
      <c r="S39" t="str">
        <f>IF(Table1[[#This Row],[Days on Market]] &lt; 30,"Fast",IF(Table1[[#This Row],[Days on Market]]&lt;= 90,"Average", "Slow"))</f>
        <v>Fast</v>
      </c>
      <c r="T39" t="str">
        <f>IF(Table1[[#This Row],[Price2]]&lt;500000,"Affordable",IF(Table1[[#This Row],[Price2]]&lt;1000000,"Mid range","Luxury"))</f>
        <v>Affordable</v>
      </c>
    </row>
    <row r="40" spans="1:20" x14ac:dyDescent="0.35">
      <c r="A40" s="3">
        <v>118498</v>
      </c>
      <c r="B40" s="2" t="s">
        <v>27</v>
      </c>
      <c r="C40">
        <v>98903</v>
      </c>
      <c r="D40" s="2" t="s">
        <v>29</v>
      </c>
      <c r="E40">
        <v>3</v>
      </c>
      <c r="F40">
        <v>4</v>
      </c>
      <c r="G40" s="4">
        <f>VALUE(SUBSTITUTE(SUBSTITUTE(Table1[[#This Row],[Price]],"$",""),",",""))</f>
        <v>118498</v>
      </c>
      <c r="H40" s="1">
        <f>Table1[[#This Row],[Price2]]/Table1[[#This Row],[Area]]</f>
        <v>153.69390402075226</v>
      </c>
      <c r="I40">
        <v>771</v>
      </c>
      <c r="J40">
        <v>1990</v>
      </c>
      <c r="K40">
        <v>67</v>
      </c>
      <c r="L40" t="s">
        <v>40</v>
      </c>
      <c r="M40" t="s">
        <v>2529</v>
      </c>
      <c r="N40" s="2" t="s">
        <v>3027</v>
      </c>
      <c r="O40" t="s">
        <v>3028</v>
      </c>
      <c r="P40" t="s">
        <v>26</v>
      </c>
      <c r="Q40">
        <v>153.69390402075226</v>
      </c>
      <c r="R40">
        <f ca="1">YEAR(TODAY())-Table1[[#This Row],[Year Built]]</f>
        <v>36</v>
      </c>
      <c r="S40" t="str">
        <f>IF(Table1[[#This Row],[Days on Market]] &lt; 30,"Fast",IF(Table1[[#This Row],[Days on Market]]&lt;= 90,"Average", "Slow"))</f>
        <v>Average</v>
      </c>
      <c r="T40" t="str">
        <f>IF(Table1[[#This Row],[Price2]]&lt;500000,"Affordable",IF(Table1[[#This Row],[Price2]]&lt;1000000,"Mid range","Luxury"))</f>
        <v>Affordable</v>
      </c>
    </row>
    <row r="41" spans="1:20" x14ac:dyDescent="0.35">
      <c r="A41" s="3">
        <v>119222</v>
      </c>
      <c r="B41" s="2" t="s">
        <v>12</v>
      </c>
      <c r="C41">
        <v>92972</v>
      </c>
      <c r="D41" s="2" t="s">
        <v>29</v>
      </c>
      <c r="E41">
        <v>1</v>
      </c>
      <c r="F41">
        <v>2</v>
      </c>
      <c r="G41" s="4">
        <f>VALUE(SUBSTITUTE(SUBSTITUTE(Table1[[#This Row],[Price]],"$",""),",",""))</f>
        <v>119222</v>
      </c>
      <c r="H41" s="1">
        <f>Table1[[#This Row],[Price2]]/Table1[[#This Row],[Area]]</f>
        <v>41.196268140981338</v>
      </c>
      <c r="I41">
        <v>2894</v>
      </c>
      <c r="J41">
        <v>1953</v>
      </c>
      <c r="K41">
        <v>8</v>
      </c>
      <c r="L41" t="s">
        <v>14</v>
      </c>
      <c r="M41" t="s">
        <v>596</v>
      </c>
      <c r="N41" s="2" t="s">
        <v>3029</v>
      </c>
      <c r="O41" t="s">
        <v>3030</v>
      </c>
      <c r="P41" t="s">
        <v>16</v>
      </c>
      <c r="Q41">
        <v>41.196268140981338</v>
      </c>
      <c r="R41">
        <f ca="1">YEAR(TODAY())-Table1[[#This Row],[Year Built]]</f>
        <v>73</v>
      </c>
      <c r="S41" t="str">
        <f>IF(Table1[[#This Row],[Days on Market]] &lt; 30,"Fast",IF(Table1[[#This Row],[Days on Market]]&lt;= 90,"Average", "Slow"))</f>
        <v>Fast</v>
      </c>
      <c r="T41" t="str">
        <f>IF(Table1[[#This Row],[Price2]]&lt;500000,"Affordable",IF(Table1[[#This Row],[Price2]]&lt;1000000,"Mid range","Luxury"))</f>
        <v>Affordable</v>
      </c>
    </row>
    <row r="42" spans="1:20" x14ac:dyDescent="0.35">
      <c r="A42" s="3">
        <v>119460</v>
      </c>
      <c r="B42" s="2" t="s">
        <v>22</v>
      </c>
      <c r="C42">
        <v>77681</v>
      </c>
      <c r="D42" s="2" t="s">
        <v>29</v>
      </c>
      <c r="E42">
        <v>6</v>
      </c>
      <c r="F42">
        <v>3</v>
      </c>
      <c r="G42" s="4">
        <f>VALUE(SUBSTITUTE(SUBSTITUTE(Table1[[#This Row],[Price]],"$",""),",",""))</f>
        <v>119460</v>
      </c>
      <c r="H42" s="1">
        <f>Table1[[#This Row],[Price2]]/Table1[[#This Row],[Area]]</f>
        <v>73.969040247678024</v>
      </c>
      <c r="I42">
        <v>1615</v>
      </c>
      <c r="J42">
        <v>1989</v>
      </c>
      <c r="K42">
        <v>106</v>
      </c>
      <c r="L42" t="s">
        <v>14</v>
      </c>
      <c r="M42" t="s">
        <v>2037</v>
      </c>
      <c r="N42" s="2" t="s">
        <v>3029</v>
      </c>
      <c r="O42" t="s">
        <v>3030</v>
      </c>
      <c r="P42" t="s">
        <v>26</v>
      </c>
      <c r="Q42">
        <v>73.969040247678024</v>
      </c>
      <c r="R42">
        <f ca="1">YEAR(TODAY())-Table1[[#This Row],[Year Built]]</f>
        <v>37</v>
      </c>
      <c r="S42" t="str">
        <f>IF(Table1[[#This Row],[Days on Market]] &lt; 30,"Fast",IF(Table1[[#This Row],[Days on Market]]&lt;= 90,"Average", "Slow"))</f>
        <v>Slow</v>
      </c>
      <c r="T42" t="str">
        <f>IF(Table1[[#This Row],[Price2]]&lt;500000,"Affordable",IF(Table1[[#This Row],[Price2]]&lt;1000000,"Mid range","Luxury"))</f>
        <v>Affordable</v>
      </c>
    </row>
    <row r="43" spans="1:20" x14ac:dyDescent="0.35">
      <c r="A43" s="3">
        <v>120368</v>
      </c>
      <c r="B43" s="2" t="s">
        <v>34</v>
      </c>
      <c r="C43">
        <v>42352</v>
      </c>
      <c r="D43" s="2" t="s">
        <v>18</v>
      </c>
      <c r="E43">
        <v>6</v>
      </c>
      <c r="F43">
        <v>1</v>
      </c>
      <c r="G43" s="4">
        <f>VALUE(SUBSTITUTE(SUBSTITUTE(Table1[[#This Row],[Price]],"$",""),",",""))</f>
        <v>120368</v>
      </c>
      <c r="H43" s="1">
        <f>Table1[[#This Row],[Price2]]/Table1[[#This Row],[Area]]</f>
        <v>31.534713125491223</v>
      </c>
      <c r="I43">
        <v>3817</v>
      </c>
      <c r="J43">
        <v>1993</v>
      </c>
      <c r="K43">
        <v>90</v>
      </c>
      <c r="L43" t="s">
        <v>52</v>
      </c>
      <c r="M43" t="s">
        <v>2031</v>
      </c>
      <c r="N43" s="2" t="s">
        <v>3027</v>
      </c>
      <c r="O43" t="s">
        <v>3028</v>
      </c>
      <c r="P43" t="s">
        <v>16</v>
      </c>
      <c r="Q43">
        <v>31.534713125491223</v>
      </c>
      <c r="R43">
        <f ca="1">YEAR(TODAY())-Table1[[#This Row],[Year Built]]</f>
        <v>33</v>
      </c>
      <c r="S43" t="str">
        <f>IF(Table1[[#This Row],[Days on Market]] &lt; 30,"Fast",IF(Table1[[#This Row],[Days on Market]]&lt;= 90,"Average", "Slow"))</f>
        <v>Average</v>
      </c>
      <c r="T43" t="str">
        <f>IF(Table1[[#This Row],[Price2]]&lt;500000,"Affordable",IF(Table1[[#This Row],[Price2]]&lt;1000000,"Mid range","Luxury"))</f>
        <v>Affordable</v>
      </c>
    </row>
    <row r="44" spans="1:20" x14ac:dyDescent="0.35">
      <c r="A44" s="3">
        <v>121284</v>
      </c>
      <c r="B44" s="2" t="s">
        <v>17</v>
      </c>
      <c r="C44">
        <v>52256</v>
      </c>
      <c r="D44" s="2" t="s">
        <v>35</v>
      </c>
      <c r="E44">
        <v>6</v>
      </c>
      <c r="F44">
        <v>3</v>
      </c>
      <c r="G44" s="4">
        <f>VALUE(SUBSTITUTE(SUBSTITUTE(Table1[[#This Row],[Price]],"$",""),",",""))</f>
        <v>121284</v>
      </c>
      <c r="H44" s="1">
        <f>Table1[[#This Row],[Price2]]/Table1[[#This Row],[Area]]</f>
        <v>37.123966942148762</v>
      </c>
      <c r="I44">
        <v>3267</v>
      </c>
      <c r="J44">
        <v>1998</v>
      </c>
      <c r="K44">
        <v>116</v>
      </c>
      <c r="L44" t="s">
        <v>52</v>
      </c>
      <c r="M44" t="s">
        <v>220</v>
      </c>
      <c r="N44" s="2" t="s">
        <v>3033</v>
      </c>
      <c r="O44" t="s">
        <v>3034</v>
      </c>
      <c r="P44" t="s">
        <v>21</v>
      </c>
      <c r="Q44">
        <v>37.123966942148762</v>
      </c>
      <c r="R44">
        <f ca="1">YEAR(TODAY())-Table1[[#This Row],[Year Built]]</f>
        <v>28</v>
      </c>
      <c r="S44" t="str">
        <f>IF(Table1[[#This Row],[Days on Market]] &lt; 30,"Fast",IF(Table1[[#This Row],[Days on Market]]&lt;= 90,"Average", "Slow"))</f>
        <v>Slow</v>
      </c>
      <c r="T44" t="str">
        <f>IF(Table1[[#This Row],[Price2]]&lt;500000,"Affordable",IF(Table1[[#This Row],[Price2]]&lt;1000000,"Mid range","Luxury"))</f>
        <v>Affordable</v>
      </c>
    </row>
    <row r="45" spans="1:20" x14ac:dyDescent="0.35">
      <c r="A45" s="3">
        <v>121372</v>
      </c>
      <c r="B45" s="2" t="s">
        <v>22</v>
      </c>
      <c r="C45">
        <v>91711</v>
      </c>
      <c r="D45" s="2" t="s">
        <v>18</v>
      </c>
      <c r="E45">
        <v>4</v>
      </c>
      <c r="F45">
        <v>1</v>
      </c>
      <c r="G45" s="4">
        <f>VALUE(SUBSTITUTE(SUBSTITUTE(Table1[[#This Row],[Price]],"$",""),",",""))</f>
        <v>121372</v>
      </c>
      <c r="H45" s="1">
        <f>Table1[[#This Row],[Price2]]/Table1[[#This Row],[Area]]</f>
        <v>86.07943262411348</v>
      </c>
      <c r="I45">
        <v>1410</v>
      </c>
      <c r="J45">
        <v>1993</v>
      </c>
      <c r="K45">
        <v>118</v>
      </c>
      <c r="L45" t="s">
        <v>19</v>
      </c>
      <c r="M45" t="s">
        <v>2363</v>
      </c>
      <c r="N45" s="2" t="s">
        <v>3031</v>
      </c>
      <c r="O45" t="s">
        <v>3032</v>
      </c>
      <c r="P45" t="s">
        <v>26</v>
      </c>
      <c r="Q45">
        <v>86.07943262411348</v>
      </c>
      <c r="R45">
        <f ca="1">YEAR(TODAY())-Table1[[#This Row],[Year Built]]</f>
        <v>33</v>
      </c>
      <c r="S45" t="str">
        <f>IF(Table1[[#This Row],[Days on Market]] &lt; 30,"Fast",IF(Table1[[#This Row],[Days on Market]]&lt;= 90,"Average", "Slow"))</f>
        <v>Slow</v>
      </c>
      <c r="T45" t="str">
        <f>IF(Table1[[#This Row],[Price2]]&lt;500000,"Affordable",IF(Table1[[#This Row],[Price2]]&lt;1000000,"Mid range","Luxury"))</f>
        <v>Affordable</v>
      </c>
    </row>
    <row r="46" spans="1:20" x14ac:dyDescent="0.35">
      <c r="A46" s="3">
        <v>121708</v>
      </c>
      <c r="B46" s="2" t="s">
        <v>17</v>
      </c>
      <c r="C46">
        <v>76056</v>
      </c>
      <c r="D46" s="2" t="s">
        <v>29</v>
      </c>
      <c r="E46">
        <v>3</v>
      </c>
      <c r="F46">
        <v>3</v>
      </c>
      <c r="G46" s="4">
        <f>VALUE(SUBSTITUTE(SUBSTITUTE(Table1[[#This Row],[Price]],"$",""),",",""))</f>
        <v>121708</v>
      </c>
      <c r="H46" s="1">
        <f>Table1[[#This Row],[Price2]]/Table1[[#This Row],[Area]]</f>
        <v>30.595274007038714</v>
      </c>
      <c r="I46">
        <v>3978</v>
      </c>
      <c r="J46">
        <v>1978</v>
      </c>
      <c r="K46">
        <v>112</v>
      </c>
      <c r="L46" t="s">
        <v>30</v>
      </c>
      <c r="M46" t="s">
        <v>964</v>
      </c>
      <c r="N46" s="2" t="s">
        <v>3031</v>
      </c>
      <c r="O46" t="s">
        <v>3032</v>
      </c>
      <c r="P46" t="s">
        <v>16</v>
      </c>
      <c r="Q46">
        <v>30.595274007038714</v>
      </c>
      <c r="R46">
        <f ca="1">YEAR(TODAY())-Table1[[#This Row],[Year Built]]</f>
        <v>48</v>
      </c>
      <c r="S46" t="str">
        <f>IF(Table1[[#This Row],[Days on Market]] &lt; 30,"Fast",IF(Table1[[#This Row],[Days on Market]]&lt;= 90,"Average", "Slow"))</f>
        <v>Slow</v>
      </c>
      <c r="T46" t="str">
        <f>IF(Table1[[#This Row],[Price2]]&lt;500000,"Affordable",IF(Table1[[#This Row],[Price2]]&lt;1000000,"Mid range","Luxury"))</f>
        <v>Affordable</v>
      </c>
    </row>
    <row r="47" spans="1:20" x14ac:dyDescent="0.35">
      <c r="A47" s="3">
        <v>121941</v>
      </c>
      <c r="B47" s="2" t="s">
        <v>12</v>
      </c>
      <c r="C47">
        <v>79089</v>
      </c>
      <c r="D47" s="2" t="s">
        <v>18</v>
      </c>
      <c r="E47">
        <v>4</v>
      </c>
      <c r="F47">
        <v>1</v>
      </c>
      <c r="G47" s="4">
        <f>VALUE(SUBSTITUTE(SUBSTITUTE(Table1[[#This Row],[Price]],"$",""),",",""))</f>
        <v>121941</v>
      </c>
      <c r="H47" s="1">
        <f>Table1[[#This Row],[Price2]]/Table1[[#This Row],[Area]]</f>
        <v>96.319905213270147</v>
      </c>
      <c r="I47">
        <v>1266</v>
      </c>
      <c r="J47">
        <v>1961</v>
      </c>
      <c r="K47">
        <v>45</v>
      </c>
      <c r="L47" t="s">
        <v>14</v>
      </c>
      <c r="M47" t="s">
        <v>84</v>
      </c>
      <c r="N47" s="2" t="s">
        <v>3033</v>
      </c>
      <c r="O47" t="s">
        <v>3034</v>
      </c>
      <c r="P47" t="s">
        <v>16</v>
      </c>
      <c r="Q47">
        <v>96.319905213270147</v>
      </c>
      <c r="R47">
        <f ca="1">YEAR(TODAY())-Table1[[#This Row],[Year Built]]</f>
        <v>65</v>
      </c>
      <c r="S47" t="str">
        <f>IF(Table1[[#This Row],[Days on Market]] &lt; 30,"Fast",IF(Table1[[#This Row],[Days on Market]]&lt;= 90,"Average", "Slow"))</f>
        <v>Average</v>
      </c>
      <c r="T47" t="str">
        <f>IF(Table1[[#This Row],[Price2]]&lt;500000,"Affordable",IF(Table1[[#This Row],[Price2]]&lt;1000000,"Mid range","Luxury"))</f>
        <v>Affordable</v>
      </c>
    </row>
    <row r="48" spans="1:20" x14ac:dyDescent="0.35">
      <c r="A48" s="3">
        <v>123625</v>
      </c>
      <c r="B48" s="2" t="s">
        <v>27</v>
      </c>
      <c r="C48">
        <v>42154</v>
      </c>
      <c r="D48" s="2" t="s">
        <v>35</v>
      </c>
      <c r="E48">
        <v>1</v>
      </c>
      <c r="F48">
        <v>2</v>
      </c>
      <c r="G48" s="4">
        <f>VALUE(SUBSTITUTE(SUBSTITUTE(Table1[[#This Row],[Price]],"$",""),",",""))</f>
        <v>123625</v>
      </c>
      <c r="H48" s="1">
        <f>Table1[[#This Row],[Price2]]/Table1[[#This Row],[Area]]</f>
        <v>57.795698924731184</v>
      </c>
      <c r="I48">
        <v>2139</v>
      </c>
      <c r="J48">
        <v>1951</v>
      </c>
      <c r="K48">
        <v>75</v>
      </c>
      <c r="L48" t="s">
        <v>14</v>
      </c>
      <c r="M48" t="s">
        <v>2823</v>
      </c>
      <c r="N48" s="2" t="s">
        <v>3027</v>
      </c>
      <c r="O48" t="s">
        <v>3028</v>
      </c>
      <c r="P48" t="s">
        <v>16</v>
      </c>
      <c r="Q48">
        <v>57.795698924731184</v>
      </c>
      <c r="R48">
        <f ca="1">YEAR(TODAY())-Table1[[#This Row],[Year Built]]</f>
        <v>75</v>
      </c>
      <c r="S48" t="str">
        <f>IF(Table1[[#This Row],[Days on Market]] &lt; 30,"Fast",IF(Table1[[#This Row],[Days on Market]]&lt;= 90,"Average", "Slow"))</f>
        <v>Average</v>
      </c>
      <c r="T48" t="str">
        <f>IF(Table1[[#This Row],[Price2]]&lt;500000,"Affordable",IF(Table1[[#This Row],[Price2]]&lt;1000000,"Mid range","Luxury"))</f>
        <v>Affordable</v>
      </c>
    </row>
    <row r="49" spans="1:20" x14ac:dyDescent="0.35">
      <c r="A49" s="3">
        <v>123916</v>
      </c>
      <c r="B49" s="2" t="s">
        <v>34</v>
      </c>
      <c r="C49">
        <v>21351</v>
      </c>
      <c r="D49" s="2" t="s">
        <v>23</v>
      </c>
      <c r="E49">
        <v>5</v>
      </c>
      <c r="F49">
        <v>2</v>
      </c>
      <c r="G49" s="4">
        <f>VALUE(SUBSTITUTE(SUBSTITUTE(Table1[[#This Row],[Price]],"$",""),",",""))</f>
        <v>123916</v>
      </c>
      <c r="H49" s="1">
        <f>Table1[[#This Row],[Price2]]/Table1[[#This Row],[Area]]</f>
        <v>34.739557050742924</v>
      </c>
      <c r="I49">
        <v>3567</v>
      </c>
      <c r="J49">
        <v>2016</v>
      </c>
      <c r="K49">
        <v>1</v>
      </c>
      <c r="L49" t="s">
        <v>19</v>
      </c>
      <c r="M49" t="s">
        <v>2903</v>
      </c>
      <c r="N49" s="2" t="s">
        <v>3029</v>
      </c>
      <c r="O49" t="s">
        <v>3030</v>
      </c>
      <c r="P49" t="s">
        <v>26</v>
      </c>
      <c r="Q49">
        <v>34.739557050742924</v>
      </c>
      <c r="R49">
        <f ca="1">YEAR(TODAY())-Table1[[#This Row],[Year Built]]</f>
        <v>10</v>
      </c>
      <c r="S49" t="str">
        <f>IF(Table1[[#This Row],[Days on Market]] &lt; 30,"Fast",IF(Table1[[#This Row],[Days on Market]]&lt;= 90,"Average", "Slow"))</f>
        <v>Fast</v>
      </c>
      <c r="T49" t="str">
        <f>IF(Table1[[#This Row],[Price2]]&lt;500000,"Affordable",IF(Table1[[#This Row],[Price2]]&lt;1000000,"Mid range","Luxury"))</f>
        <v>Affordable</v>
      </c>
    </row>
    <row r="50" spans="1:20" x14ac:dyDescent="0.35">
      <c r="A50" s="3">
        <v>124477</v>
      </c>
      <c r="B50" s="2" t="s">
        <v>17</v>
      </c>
      <c r="C50">
        <v>91628</v>
      </c>
      <c r="D50" s="2" t="s">
        <v>35</v>
      </c>
      <c r="E50">
        <v>3</v>
      </c>
      <c r="F50">
        <v>1</v>
      </c>
      <c r="G50" s="4">
        <f>VALUE(SUBSTITUTE(SUBSTITUTE(Table1[[#This Row],[Price]],"$",""),",",""))</f>
        <v>124477</v>
      </c>
      <c r="H50" s="1">
        <f>Table1[[#This Row],[Price2]]/Table1[[#This Row],[Area]]</f>
        <v>83.262207357859538</v>
      </c>
      <c r="I50">
        <v>1495</v>
      </c>
      <c r="J50">
        <v>2004</v>
      </c>
      <c r="K50">
        <v>111</v>
      </c>
      <c r="L50" t="s">
        <v>40</v>
      </c>
      <c r="M50" t="s">
        <v>2089</v>
      </c>
      <c r="N50" s="2" t="s">
        <v>3031</v>
      </c>
      <c r="O50" t="s">
        <v>3032</v>
      </c>
      <c r="P50" t="s">
        <v>21</v>
      </c>
      <c r="Q50">
        <v>83.262207357859538</v>
      </c>
      <c r="R50">
        <f ca="1">YEAR(TODAY())-Table1[[#This Row],[Year Built]]</f>
        <v>22</v>
      </c>
      <c r="S50" t="str">
        <f>IF(Table1[[#This Row],[Days on Market]] &lt; 30,"Fast",IF(Table1[[#This Row],[Days on Market]]&lt;= 90,"Average", "Slow"))</f>
        <v>Slow</v>
      </c>
      <c r="T50" t="str">
        <f>IF(Table1[[#This Row],[Price2]]&lt;500000,"Affordable",IF(Table1[[#This Row],[Price2]]&lt;1000000,"Mid range","Luxury"))</f>
        <v>Affordable</v>
      </c>
    </row>
    <row r="51" spans="1:20" x14ac:dyDescent="0.35">
      <c r="A51" s="3">
        <v>124837</v>
      </c>
      <c r="B51" s="2" t="s">
        <v>22</v>
      </c>
      <c r="C51">
        <v>92484</v>
      </c>
      <c r="D51" s="2" t="s">
        <v>13</v>
      </c>
      <c r="E51">
        <v>3</v>
      </c>
      <c r="F51">
        <v>1</v>
      </c>
      <c r="G51" s="4">
        <f>VALUE(SUBSTITUTE(SUBSTITUTE(Table1[[#This Row],[Price]],"$",""),",",""))</f>
        <v>124837</v>
      </c>
      <c r="H51" s="1">
        <f>Table1[[#This Row],[Price2]]/Table1[[#This Row],[Area]]</f>
        <v>57.185982592762251</v>
      </c>
      <c r="I51">
        <v>2183</v>
      </c>
      <c r="J51">
        <v>2020</v>
      </c>
      <c r="K51">
        <v>65</v>
      </c>
      <c r="L51" t="s">
        <v>40</v>
      </c>
      <c r="M51" t="s">
        <v>2373</v>
      </c>
      <c r="N51" s="2" t="s">
        <v>3027</v>
      </c>
      <c r="O51" t="s">
        <v>3028</v>
      </c>
      <c r="P51" t="s">
        <v>16</v>
      </c>
      <c r="Q51">
        <v>57.185982592762251</v>
      </c>
      <c r="R51">
        <f ca="1">YEAR(TODAY())-Table1[[#This Row],[Year Built]]</f>
        <v>6</v>
      </c>
      <c r="S51" t="str">
        <f>IF(Table1[[#This Row],[Days on Market]] &lt; 30,"Fast",IF(Table1[[#This Row],[Days on Market]]&lt;= 90,"Average", "Slow"))</f>
        <v>Average</v>
      </c>
      <c r="T51" t="str">
        <f>IF(Table1[[#This Row],[Price2]]&lt;500000,"Affordable",IF(Table1[[#This Row],[Price2]]&lt;1000000,"Mid range","Luxury"))</f>
        <v>Affordable</v>
      </c>
    </row>
    <row r="52" spans="1:20" x14ac:dyDescent="0.35">
      <c r="A52" s="3">
        <v>125165</v>
      </c>
      <c r="B52" s="2" t="s">
        <v>27</v>
      </c>
      <c r="C52">
        <v>57464</v>
      </c>
      <c r="D52" s="2" t="s">
        <v>13</v>
      </c>
      <c r="E52">
        <v>5</v>
      </c>
      <c r="F52">
        <v>4</v>
      </c>
      <c r="G52" s="4">
        <f>VALUE(SUBSTITUTE(SUBSTITUTE(Table1[[#This Row],[Price]],"$",""),",",""))</f>
        <v>125165</v>
      </c>
      <c r="H52" s="1">
        <f>Table1[[#This Row],[Price2]]/Table1[[#This Row],[Area]]</f>
        <v>50.045981607357056</v>
      </c>
      <c r="I52">
        <v>2501</v>
      </c>
      <c r="J52">
        <v>1958</v>
      </c>
      <c r="K52">
        <v>115</v>
      </c>
      <c r="L52" t="s">
        <v>14</v>
      </c>
      <c r="M52" t="s">
        <v>2675</v>
      </c>
      <c r="N52" s="2" t="s">
        <v>3029</v>
      </c>
      <c r="O52" t="s">
        <v>3030</v>
      </c>
      <c r="P52" t="s">
        <v>26</v>
      </c>
      <c r="Q52">
        <v>50.045981607357056</v>
      </c>
      <c r="R52">
        <f ca="1">YEAR(TODAY())-Table1[[#This Row],[Year Built]]</f>
        <v>68</v>
      </c>
      <c r="S52" t="str">
        <f>IF(Table1[[#This Row],[Days on Market]] &lt; 30,"Fast",IF(Table1[[#This Row],[Days on Market]]&lt;= 90,"Average", "Slow"))</f>
        <v>Slow</v>
      </c>
      <c r="T52" t="str">
        <f>IF(Table1[[#This Row],[Price2]]&lt;500000,"Affordable",IF(Table1[[#This Row],[Price2]]&lt;1000000,"Mid range","Luxury"))</f>
        <v>Affordable</v>
      </c>
    </row>
    <row r="53" spans="1:20" x14ac:dyDescent="0.35">
      <c r="A53" s="3">
        <v>125582</v>
      </c>
      <c r="B53" s="2" t="s">
        <v>34</v>
      </c>
      <c r="C53">
        <v>63682</v>
      </c>
      <c r="D53" s="2" t="s">
        <v>13</v>
      </c>
      <c r="E53">
        <v>2</v>
      </c>
      <c r="F53">
        <v>3</v>
      </c>
      <c r="G53" s="4">
        <f>VALUE(SUBSTITUTE(SUBSTITUTE(Table1[[#This Row],[Price]],"$",""),",",""))</f>
        <v>125582</v>
      </c>
      <c r="H53" s="1">
        <f>Table1[[#This Row],[Price2]]/Table1[[#This Row],[Area]]</f>
        <v>71.884373211219227</v>
      </c>
      <c r="I53">
        <v>1747</v>
      </c>
      <c r="J53">
        <v>1971</v>
      </c>
      <c r="K53">
        <v>4</v>
      </c>
      <c r="L53" t="s">
        <v>40</v>
      </c>
      <c r="M53" t="s">
        <v>1512</v>
      </c>
      <c r="N53" s="2" t="s">
        <v>3033</v>
      </c>
      <c r="O53" t="s">
        <v>3034</v>
      </c>
      <c r="P53" t="s">
        <v>21</v>
      </c>
      <c r="Q53">
        <v>71.884373211219227</v>
      </c>
      <c r="R53">
        <f ca="1">YEAR(TODAY())-Table1[[#This Row],[Year Built]]</f>
        <v>55</v>
      </c>
      <c r="S53" t="str">
        <f>IF(Table1[[#This Row],[Days on Market]] &lt; 30,"Fast",IF(Table1[[#This Row],[Days on Market]]&lt;= 90,"Average", "Slow"))</f>
        <v>Fast</v>
      </c>
      <c r="T53" t="str">
        <f>IF(Table1[[#This Row],[Price2]]&lt;500000,"Affordable",IF(Table1[[#This Row],[Price2]]&lt;1000000,"Mid range","Luxury"))</f>
        <v>Affordable</v>
      </c>
    </row>
    <row r="54" spans="1:20" x14ac:dyDescent="0.35">
      <c r="A54" s="3">
        <v>125978</v>
      </c>
      <c r="B54" s="2" t="s">
        <v>22</v>
      </c>
      <c r="C54">
        <v>16961</v>
      </c>
      <c r="D54" s="2" t="s">
        <v>13</v>
      </c>
      <c r="E54">
        <v>2</v>
      </c>
      <c r="F54">
        <v>3</v>
      </c>
      <c r="G54" s="4">
        <f>VALUE(SUBSTITUTE(SUBSTITUTE(Table1[[#This Row],[Price]],"$",""),",",""))</f>
        <v>125978</v>
      </c>
      <c r="H54" s="1">
        <f>Table1[[#This Row],[Price2]]/Table1[[#This Row],[Area]]</f>
        <v>32.318624935864548</v>
      </c>
      <c r="I54">
        <v>3898</v>
      </c>
      <c r="J54">
        <v>2014</v>
      </c>
      <c r="K54">
        <v>31</v>
      </c>
      <c r="L54" t="s">
        <v>19</v>
      </c>
      <c r="M54" t="s">
        <v>2398</v>
      </c>
      <c r="N54" s="2" t="s">
        <v>3027</v>
      </c>
      <c r="O54" t="s">
        <v>3028</v>
      </c>
      <c r="P54" t="s">
        <v>26</v>
      </c>
      <c r="Q54">
        <v>32.318624935864548</v>
      </c>
      <c r="R54">
        <f ca="1">YEAR(TODAY())-Table1[[#This Row],[Year Built]]</f>
        <v>12</v>
      </c>
      <c r="S54" t="str">
        <f>IF(Table1[[#This Row],[Days on Market]] &lt; 30,"Fast",IF(Table1[[#This Row],[Days on Market]]&lt;= 90,"Average", "Slow"))</f>
        <v>Average</v>
      </c>
      <c r="T54" t="str">
        <f>IF(Table1[[#This Row],[Price2]]&lt;500000,"Affordable",IF(Table1[[#This Row],[Price2]]&lt;1000000,"Mid range","Luxury"))</f>
        <v>Affordable</v>
      </c>
    </row>
    <row r="55" spans="1:20" x14ac:dyDescent="0.35">
      <c r="A55" s="3">
        <v>127143</v>
      </c>
      <c r="B55" s="2" t="s">
        <v>22</v>
      </c>
      <c r="C55">
        <v>77686</v>
      </c>
      <c r="D55" s="2" t="s">
        <v>18</v>
      </c>
      <c r="E55">
        <v>3</v>
      </c>
      <c r="F55">
        <v>1</v>
      </c>
      <c r="G55" s="4">
        <f>VALUE(SUBSTITUTE(SUBSTITUTE(Table1[[#This Row],[Price]],"$",""),",",""))</f>
        <v>127143</v>
      </c>
      <c r="H55" s="1">
        <f>Table1[[#This Row],[Price2]]/Table1[[#This Row],[Area]]</f>
        <v>70.792316258351889</v>
      </c>
      <c r="I55">
        <v>1796</v>
      </c>
      <c r="J55">
        <v>2007</v>
      </c>
      <c r="K55">
        <v>84</v>
      </c>
      <c r="L55" t="s">
        <v>14</v>
      </c>
      <c r="M55" t="s">
        <v>1809</v>
      </c>
      <c r="N55" s="2" t="s">
        <v>3033</v>
      </c>
      <c r="O55" t="s">
        <v>3034</v>
      </c>
      <c r="P55" t="s">
        <v>26</v>
      </c>
      <c r="Q55">
        <v>70.792316258351889</v>
      </c>
      <c r="R55">
        <f ca="1">YEAR(TODAY())-Table1[[#This Row],[Year Built]]</f>
        <v>19</v>
      </c>
      <c r="S55" t="str">
        <f>IF(Table1[[#This Row],[Days on Market]] &lt; 30,"Fast",IF(Table1[[#This Row],[Days on Market]]&lt;= 90,"Average", "Slow"))</f>
        <v>Average</v>
      </c>
      <c r="T55" t="str">
        <f>IF(Table1[[#This Row],[Price2]]&lt;500000,"Affordable",IF(Table1[[#This Row],[Price2]]&lt;1000000,"Mid range","Luxury"))</f>
        <v>Affordable</v>
      </c>
    </row>
    <row r="56" spans="1:20" x14ac:dyDescent="0.35">
      <c r="A56" s="3">
        <v>127321</v>
      </c>
      <c r="B56" s="2" t="s">
        <v>27</v>
      </c>
      <c r="C56">
        <v>78574</v>
      </c>
      <c r="D56" s="2" t="s">
        <v>29</v>
      </c>
      <c r="E56">
        <v>3</v>
      </c>
      <c r="F56">
        <v>3</v>
      </c>
      <c r="G56" s="4">
        <f>VALUE(SUBSTITUTE(SUBSTITUTE(Table1[[#This Row],[Price]],"$",""),",",""))</f>
        <v>127321</v>
      </c>
      <c r="H56" s="1">
        <f>Table1[[#This Row],[Price2]]/Table1[[#This Row],[Area]]</f>
        <v>37.972263644497467</v>
      </c>
      <c r="I56">
        <v>3353</v>
      </c>
      <c r="J56">
        <v>1972</v>
      </c>
      <c r="K56">
        <v>57</v>
      </c>
      <c r="L56" t="s">
        <v>14</v>
      </c>
      <c r="M56" t="s">
        <v>1254</v>
      </c>
      <c r="N56" s="2" t="s">
        <v>3029</v>
      </c>
      <c r="O56" t="s">
        <v>3030</v>
      </c>
      <c r="P56" t="s">
        <v>26</v>
      </c>
      <c r="Q56">
        <v>37.972263644497467</v>
      </c>
      <c r="R56">
        <f ca="1">YEAR(TODAY())-Table1[[#This Row],[Year Built]]</f>
        <v>54</v>
      </c>
      <c r="S56" t="str">
        <f>IF(Table1[[#This Row],[Days on Market]] &lt; 30,"Fast",IF(Table1[[#This Row],[Days on Market]]&lt;= 90,"Average", "Slow"))</f>
        <v>Average</v>
      </c>
      <c r="T56" t="str">
        <f>IF(Table1[[#This Row],[Price2]]&lt;500000,"Affordable",IF(Table1[[#This Row],[Price2]]&lt;1000000,"Mid range","Luxury"))</f>
        <v>Affordable</v>
      </c>
    </row>
    <row r="57" spans="1:20" x14ac:dyDescent="0.35">
      <c r="A57" s="3">
        <v>127390</v>
      </c>
      <c r="B57" s="2" t="s">
        <v>34</v>
      </c>
      <c r="C57">
        <v>13791</v>
      </c>
      <c r="D57" s="2" t="s">
        <v>29</v>
      </c>
      <c r="E57">
        <v>4</v>
      </c>
      <c r="F57">
        <v>2</v>
      </c>
      <c r="G57" s="4">
        <f>VALUE(SUBSTITUTE(SUBSTITUTE(Table1[[#This Row],[Price]],"$",""),",",""))</f>
        <v>127390</v>
      </c>
      <c r="H57" s="1">
        <f>Table1[[#This Row],[Price2]]/Table1[[#This Row],[Area]]</f>
        <v>39.648303765950821</v>
      </c>
      <c r="I57">
        <v>3213</v>
      </c>
      <c r="J57">
        <v>1957</v>
      </c>
      <c r="K57">
        <v>89</v>
      </c>
      <c r="L57" t="s">
        <v>30</v>
      </c>
      <c r="M57" t="s">
        <v>1853</v>
      </c>
      <c r="N57" s="2" t="s">
        <v>3033</v>
      </c>
      <c r="O57" t="s">
        <v>3034</v>
      </c>
      <c r="P57" t="s">
        <v>26</v>
      </c>
      <c r="Q57">
        <v>39.648303765950821</v>
      </c>
      <c r="R57">
        <f ca="1">YEAR(TODAY())-Table1[[#This Row],[Year Built]]</f>
        <v>69</v>
      </c>
      <c r="S57" t="str">
        <f>IF(Table1[[#This Row],[Days on Market]] &lt; 30,"Fast",IF(Table1[[#This Row],[Days on Market]]&lt;= 90,"Average", "Slow"))</f>
        <v>Average</v>
      </c>
      <c r="T57" t="str">
        <f>IF(Table1[[#This Row],[Price2]]&lt;500000,"Affordable",IF(Table1[[#This Row],[Price2]]&lt;1000000,"Mid range","Luxury"))</f>
        <v>Affordable</v>
      </c>
    </row>
    <row r="58" spans="1:20" x14ac:dyDescent="0.35">
      <c r="A58" s="3">
        <v>128445</v>
      </c>
      <c r="B58" s="2" t="s">
        <v>34</v>
      </c>
      <c r="C58">
        <v>21028</v>
      </c>
      <c r="D58" s="2" t="s">
        <v>23</v>
      </c>
      <c r="E58">
        <v>1</v>
      </c>
      <c r="F58">
        <v>1</v>
      </c>
      <c r="G58" s="4">
        <f>VALUE(SUBSTITUTE(SUBSTITUTE(Table1[[#This Row],[Price]],"$",""),",",""))</f>
        <v>128445</v>
      </c>
      <c r="H58" s="1">
        <f>Table1[[#This Row],[Price2]]/Table1[[#This Row],[Area]]</f>
        <v>58.225294650951952</v>
      </c>
      <c r="I58">
        <v>2206</v>
      </c>
      <c r="J58">
        <v>1982</v>
      </c>
      <c r="K58">
        <v>111</v>
      </c>
      <c r="L58" t="s">
        <v>19</v>
      </c>
      <c r="M58" t="s">
        <v>276</v>
      </c>
      <c r="N58" s="2" t="s">
        <v>3031</v>
      </c>
      <c r="O58" t="s">
        <v>3032</v>
      </c>
      <c r="P58" t="s">
        <v>26</v>
      </c>
      <c r="Q58">
        <v>58.225294650951952</v>
      </c>
      <c r="R58">
        <f ca="1">YEAR(TODAY())-Table1[[#This Row],[Year Built]]</f>
        <v>44</v>
      </c>
      <c r="S58" t="str">
        <f>IF(Table1[[#This Row],[Days on Market]] &lt; 30,"Fast",IF(Table1[[#This Row],[Days on Market]]&lt;= 90,"Average", "Slow"))</f>
        <v>Slow</v>
      </c>
      <c r="T58" t="str">
        <f>IF(Table1[[#This Row],[Price2]]&lt;500000,"Affordable",IF(Table1[[#This Row],[Price2]]&lt;1000000,"Mid range","Luxury"))</f>
        <v>Affordable</v>
      </c>
    </row>
    <row r="59" spans="1:20" x14ac:dyDescent="0.35">
      <c r="A59" s="3">
        <v>128786</v>
      </c>
      <c r="B59" s="2" t="s">
        <v>34</v>
      </c>
      <c r="C59">
        <v>60225</v>
      </c>
      <c r="D59" s="2" t="s">
        <v>35</v>
      </c>
      <c r="E59">
        <v>3</v>
      </c>
      <c r="F59">
        <v>3</v>
      </c>
      <c r="G59" s="4">
        <f>VALUE(SUBSTITUTE(SUBSTITUTE(Table1[[#This Row],[Price]],"$",""),",",""))</f>
        <v>128786</v>
      </c>
      <c r="H59" s="1">
        <f>Table1[[#This Row],[Price2]]/Table1[[#This Row],[Area]]</f>
        <v>33.64315569487983</v>
      </c>
      <c r="I59">
        <v>3828</v>
      </c>
      <c r="J59">
        <v>2019</v>
      </c>
      <c r="K59">
        <v>65</v>
      </c>
      <c r="L59" t="s">
        <v>14</v>
      </c>
      <c r="M59" t="s">
        <v>2378</v>
      </c>
      <c r="N59" s="2" t="s">
        <v>3027</v>
      </c>
      <c r="O59" t="s">
        <v>3028</v>
      </c>
      <c r="P59" t="s">
        <v>21</v>
      </c>
      <c r="Q59">
        <v>33.64315569487983</v>
      </c>
      <c r="R59">
        <f ca="1">YEAR(TODAY())-Table1[[#This Row],[Year Built]]</f>
        <v>7</v>
      </c>
      <c r="S59" t="str">
        <f>IF(Table1[[#This Row],[Days on Market]] &lt; 30,"Fast",IF(Table1[[#This Row],[Days on Market]]&lt;= 90,"Average", "Slow"))</f>
        <v>Average</v>
      </c>
      <c r="T59" t="str">
        <f>IF(Table1[[#This Row],[Price2]]&lt;500000,"Affordable",IF(Table1[[#This Row],[Price2]]&lt;1000000,"Mid range","Luxury"))</f>
        <v>Affordable</v>
      </c>
    </row>
    <row r="60" spans="1:20" x14ac:dyDescent="0.35">
      <c r="A60" s="3">
        <v>128853</v>
      </c>
      <c r="B60" s="2" t="s">
        <v>27</v>
      </c>
      <c r="C60">
        <v>85529</v>
      </c>
      <c r="D60" s="2" t="s">
        <v>18</v>
      </c>
      <c r="E60">
        <v>6</v>
      </c>
      <c r="F60">
        <v>2</v>
      </c>
      <c r="G60" s="4">
        <f>VALUE(SUBSTITUTE(SUBSTITUTE(Table1[[#This Row],[Price]],"$",""),",",""))</f>
        <v>128853</v>
      </c>
      <c r="H60" s="1">
        <f>Table1[[#This Row],[Price2]]/Table1[[#This Row],[Area]]</f>
        <v>177.72827586206895</v>
      </c>
      <c r="I60">
        <v>725</v>
      </c>
      <c r="J60">
        <v>1957</v>
      </c>
      <c r="K60">
        <v>1</v>
      </c>
      <c r="L60" t="s">
        <v>40</v>
      </c>
      <c r="M60" t="s">
        <v>866</v>
      </c>
      <c r="N60" s="2" t="s">
        <v>3035</v>
      </c>
      <c r="O60" t="s">
        <v>3036</v>
      </c>
      <c r="P60" t="s">
        <v>16</v>
      </c>
      <c r="Q60">
        <v>177.72827586206895</v>
      </c>
      <c r="R60">
        <f ca="1">YEAR(TODAY())-Table1[[#This Row],[Year Built]]</f>
        <v>69</v>
      </c>
      <c r="S60" t="str">
        <f>IF(Table1[[#This Row],[Days on Market]] &lt; 30,"Fast",IF(Table1[[#This Row],[Days on Market]]&lt;= 90,"Average", "Slow"))</f>
        <v>Fast</v>
      </c>
      <c r="T60" t="str">
        <f>IF(Table1[[#This Row],[Price2]]&lt;500000,"Affordable",IF(Table1[[#This Row],[Price2]]&lt;1000000,"Mid range","Luxury"))</f>
        <v>Affordable</v>
      </c>
    </row>
    <row r="61" spans="1:20" x14ac:dyDescent="0.35">
      <c r="A61" s="3">
        <v>128867</v>
      </c>
      <c r="B61" s="2" t="s">
        <v>34</v>
      </c>
      <c r="C61">
        <v>56583</v>
      </c>
      <c r="D61" s="2" t="s">
        <v>18</v>
      </c>
      <c r="E61">
        <v>4</v>
      </c>
      <c r="F61">
        <v>4</v>
      </c>
      <c r="G61" s="4">
        <f>VALUE(SUBSTITUTE(SUBSTITUTE(Table1[[#This Row],[Price]],"$",""),",",""))</f>
        <v>128867</v>
      </c>
      <c r="H61" s="1">
        <f>Table1[[#This Row],[Price2]]/Table1[[#This Row],[Area]]</f>
        <v>45.423686993302788</v>
      </c>
      <c r="I61">
        <v>2837</v>
      </c>
      <c r="J61">
        <v>1968</v>
      </c>
      <c r="K61">
        <v>82</v>
      </c>
      <c r="L61" t="s">
        <v>40</v>
      </c>
      <c r="M61" t="s">
        <v>1517</v>
      </c>
      <c r="N61" s="2" t="s">
        <v>3035</v>
      </c>
      <c r="O61" t="s">
        <v>3036</v>
      </c>
      <c r="P61" t="s">
        <v>26</v>
      </c>
      <c r="Q61">
        <v>45.423686993302788</v>
      </c>
      <c r="R61">
        <f ca="1">YEAR(TODAY())-Table1[[#This Row],[Year Built]]</f>
        <v>58</v>
      </c>
      <c r="S61" t="str">
        <f>IF(Table1[[#This Row],[Days on Market]] &lt; 30,"Fast",IF(Table1[[#This Row],[Days on Market]]&lt;= 90,"Average", "Slow"))</f>
        <v>Average</v>
      </c>
      <c r="T61" t="str">
        <f>IF(Table1[[#This Row],[Price2]]&lt;500000,"Affordable",IF(Table1[[#This Row],[Price2]]&lt;1000000,"Mid range","Luxury"))</f>
        <v>Affordable</v>
      </c>
    </row>
    <row r="62" spans="1:20" x14ac:dyDescent="0.35">
      <c r="A62" s="3">
        <v>129652</v>
      </c>
      <c r="B62" s="2" t="s">
        <v>34</v>
      </c>
      <c r="C62">
        <v>35662</v>
      </c>
      <c r="D62" s="2" t="s">
        <v>35</v>
      </c>
      <c r="E62">
        <v>4</v>
      </c>
      <c r="F62">
        <v>4</v>
      </c>
      <c r="G62" s="4">
        <f>VALUE(SUBSTITUTE(SUBSTITUTE(Table1[[#This Row],[Price]],"$",""),",",""))</f>
        <v>129652</v>
      </c>
      <c r="H62" s="1">
        <f>Table1[[#This Row],[Price2]]/Table1[[#This Row],[Area]]</f>
        <v>90.036111111111111</v>
      </c>
      <c r="I62">
        <v>1440</v>
      </c>
      <c r="J62">
        <v>1962</v>
      </c>
      <c r="K62">
        <v>7</v>
      </c>
      <c r="L62" t="s">
        <v>40</v>
      </c>
      <c r="M62" t="s">
        <v>1560</v>
      </c>
      <c r="N62" s="2" t="s">
        <v>3029</v>
      </c>
      <c r="O62" t="s">
        <v>3030</v>
      </c>
      <c r="P62" t="s">
        <v>21</v>
      </c>
      <c r="Q62">
        <v>90.036111111111111</v>
      </c>
      <c r="R62">
        <f ca="1">YEAR(TODAY())-Table1[[#This Row],[Year Built]]</f>
        <v>64</v>
      </c>
      <c r="S62" t="str">
        <f>IF(Table1[[#This Row],[Days on Market]] &lt; 30,"Fast",IF(Table1[[#This Row],[Days on Market]]&lt;= 90,"Average", "Slow"))</f>
        <v>Fast</v>
      </c>
      <c r="T62" t="str">
        <f>IF(Table1[[#This Row],[Price2]]&lt;500000,"Affordable",IF(Table1[[#This Row],[Price2]]&lt;1000000,"Mid range","Luxury"))</f>
        <v>Affordable</v>
      </c>
    </row>
    <row r="63" spans="1:20" x14ac:dyDescent="0.35">
      <c r="A63" s="3">
        <v>130113</v>
      </c>
      <c r="B63" s="2" t="s">
        <v>12</v>
      </c>
      <c r="C63">
        <v>37297</v>
      </c>
      <c r="D63" s="2" t="s">
        <v>18</v>
      </c>
      <c r="E63">
        <v>6</v>
      </c>
      <c r="F63">
        <v>1</v>
      </c>
      <c r="G63" s="4">
        <f>VALUE(SUBSTITUTE(SUBSTITUTE(Table1[[#This Row],[Price]],"$",""),",",""))</f>
        <v>130113</v>
      </c>
      <c r="H63" s="1">
        <f>Table1[[#This Row],[Price2]]/Table1[[#This Row],[Area]]</f>
        <v>202.98439937597504</v>
      </c>
      <c r="I63">
        <v>641</v>
      </c>
      <c r="J63">
        <v>1998</v>
      </c>
      <c r="K63">
        <v>23</v>
      </c>
      <c r="L63" t="s">
        <v>30</v>
      </c>
      <c r="M63" t="s">
        <v>74</v>
      </c>
      <c r="N63" s="2" t="s">
        <v>3033</v>
      </c>
      <c r="O63" t="s">
        <v>3034</v>
      </c>
      <c r="P63" t="s">
        <v>26</v>
      </c>
      <c r="Q63">
        <v>202.98439937597504</v>
      </c>
      <c r="R63">
        <f ca="1">YEAR(TODAY())-Table1[[#This Row],[Year Built]]</f>
        <v>28</v>
      </c>
      <c r="S63" t="str">
        <f>IF(Table1[[#This Row],[Days on Market]] &lt; 30,"Fast",IF(Table1[[#This Row],[Days on Market]]&lt;= 90,"Average", "Slow"))</f>
        <v>Fast</v>
      </c>
      <c r="T63" t="str">
        <f>IF(Table1[[#This Row],[Price2]]&lt;500000,"Affordable",IF(Table1[[#This Row],[Price2]]&lt;1000000,"Mid range","Luxury"))</f>
        <v>Affordable</v>
      </c>
    </row>
    <row r="64" spans="1:20" x14ac:dyDescent="0.35">
      <c r="A64" s="3">
        <v>130251</v>
      </c>
      <c r="B64" s="2" t="s">
        <v>34</v>
      </c>
      <c r="C64">
        <v>71717</v>
      </c>
      <c r="D64" s="2" t="s">
        <v>29</v>
      </c>
      <c r="E64">
        <v>2</v>
      </c>
      <c r="F64">
        <v>4</v>
      </c>
      <c r="G64" s="4">
        <f>VALUE(SUBSTITUTE(SUBSTITUTE(Table1[[#This Row],[Price]],"$",""),",",""))</f>
        <v>130251</v>
      </c>
      <c r="H64" s="1">
        <f>Table1[[#This Row],[Price2]]/Table1[[#This Row],[Area]]</f>
        <v>34.088196807118557</v>
      </c>
      <c r="I64">
        <v>3821</v>
      </c>
      <c r="J64">
        <v>2019</v>
      </c>
      <c r="K64">
        <v>24</v>
      </c>
      <c r="L64" t="s">
        <v>14</v>
      </c>
      <c r="M64" t="s">
        <v>2544</v>
      </c>
      <c r="N64" s="2" t="s">
        <v>3033</v>
      </c>
      <c r="O64" t="s">
        <v>3034</v>
      </c>
      <c r="P64" t="s">
        <v>16</v>
      </c>
      <c r="Q64">
        <v>34.088196807118557</v>
      </c>
      <c r="R64">
        <f ca="1">YEAR(TODAY())-Table1[[#This Row],[Year Built]]</f>
        <v>7</v>
      </c>
      <c r="S64" t="str">
        <f>IF(Table1[[#This Row],[Days on Market]] &lt; 30,"Fast",IF(Table1[[#This Row],[Days on Market]]&lt;= 90,"Average", "Slow"))</f>
        <v>Fast</v>
      </c>
      <c r="T64" t="str">
        <f>IF(Table1[[#This Row],[Price2]]&lt;500000,"Affordable",IF(Table1[[#This Row],[Price2]]&lt;1000000,"Mid range","Luxury"))</f>
        <v>Affordable</v>
      </c>
    </row>
    <row r="65" spans="1:20" x14ac:dyDescent="0.35">
      <c r="A65" s="3">
        <v>130430</v>
      </c>
      <c r="B65" s="2" t="s">
        <v>34</v>
      </c>
      <c r="C65">
        <v>98355</v>
      </c>
      <c r="D65" s="2" t="s">
        <v>13</v>
      </c>
      <c r="E65">
        <v>5</v>
      </c>
      <c r="F65">
        <v>3</v>
      </c>
      <c r="G65" s="4">
        <f>VALUE(SUBSTITUTE(SUBSTITUTE(Table1[[#This Row],[Price]],"$",""),",",""))</f>
        <v>130430</v>
      </c>
      <c r="H65" s="1">
        <f>Table1[[#This Row],[Price2]]/Table1[[#This Row],[Area]]</f>
        <v>43.636667781866848</v>
      </c>
      <c r="I65">
        <v>2989</v>
      </c>
      <c r="J65">
        <v>2017</v>
      </c>
      <c r="K65">
        <v>5</v>
      </c>
      <c r="L65" t="s">
        <v>14</v>
      </c>
      <c r="M65" t="s">
        <v>1039</v>
      </c>
      <c r="N65" s="2" t="s">
        <v>3027</v>
      </c>
      <c r="O65" t="s">
        <v>3028</v>
      </c>
      <c r="P65" t="s">
        <v>21</v>
      </c>
      <c r="Q65">
        <v>43.636667781866848</v>
      </c>
      <c r="R65">
        <f ca="1">YEAR(TODAY())-Table1[[#This Row],[Year Built]]</f>
        <v>9</v>
      </c>
      <c r="S65" t="str">
        <f>IF(Table1[[#This Row],[Days on Market]] &lt; 30,"Fast",IF(Table1[[#This Row],[Days on Market]]&lt;= 90,"Average", "Slow"))</f>
        <v>Fast</v>
      </c>
      <c r="T65" t="str">
        <f>IF(Table1[[#This Row],[Price2]]&lt;500000,"Affordable",IF(Table1[[#This Row],[Price2]]&lt;1000000,"Mid range","Luxury"))</f>
        <v>Affordable</v>
      </c>
    </row>
    <row r="66" spans="1:20" x14ac:dyDescent="0.35">
      <c r="A66" s="3">
        <v>130840</v>
      </c>
      <c r="B66" s="2" t="s">
        <v>17</v>
      </c>
      <c r="C66">
        <v>72733</v>
      </c>
      <c r="D66" s="2" t="s">
        <v>29</v>
      </c>
      <c r="E66">
        <v>3</v>
      </c>
      <c r="F66">
        <v>3</v>
      </c>
      <c r="G66" s="4">
        <f>VALUE(SUBSTITUTE(SUBSTITUTE(Table1[[#This Row],[Price]],"$",""),",",""))</f>
        <v>130840</v>
      </c>
      <c r="H66" s="1">
        <f>Table1[[#This Row],[Price2]]/Table1[[#This Row],[Area]]</f>
        <v>36.40511964385086</v>
      </c>
      <c r="I66">
        <v>3594</v>
      </c>
      <c r="J66">
        <v>1989</v>
      </c>
      <c r="K66">
        <v>65</v>
      </c>
      <c r="L66" t="s">
        <v>52</v>
      </c>
      <c r="M66" t="s">
        <v>1206</v>
      </c>
      <c r="N66" s="2" t="s">
        <v>3033</v>
      </c>
      <c r="O66" t="s">
        <v>3034</v>
      </c>
      <c r="P66" t="s">
        <v>21</v>
      </c>
      <c r="Q66">
        <v>36.40511964385086</v>
      </c>
      <c r="R66">
        <f ca="1">YEAR(TODAY())-Table1[[#This Row],[Year Built]]</f>
        <v>37</v>
      </c>
      <c r="S66" t="str">
        <f>IF(Table1[[#This Row],[Days on Market]] &lt; 30,"Fast",IF(Table1[[#This Row],[Days on Market]]&lt;= 90,"Average", "Slow"))</f>
        <v>Average</v>
      </c>
      <c r="T66" t="str">
        <f>IF(Table1[[#This Row],[Price2]]&lt;500000,"Affordable",IF(Table1[[#This Row],[Price2]]&lt;1000000,"Mid range","Luxury"))</f>
        <v>Affordable</v>
      </c>
    </row>
    <row r="67" spans="1:20" x14ac:dyDescent="0.35">
      <c r="A67" s="3">
        <v>130843</v>
      </c>
      <c r="B67" s="2" t="s">
        <v>27</v>
      </c>
      <c r="C67">
        <v>93947</v>
      </c>
      <c r="D67" s="2" t="s">
        <v>18</v>
      </c>
      <c r="E67">
        <v>3</v>
      </c>
      <c r="F67">
        <v>2</v>
      </c>
      <c r="G67" s="4">
        <f>VALUE(SUBSTITUTE(SUBSTITUTE(Table1[[#This Row],[Price]],"$",""),",",""))</f>
        <v>130843</v>
      </c>
      <c r="H67" s="1">
        <f>Table1[[#This Row],[Price2]]/Table1[[#This Row],[Area]]</f>
        <v>91.498601398601394</v>
      </c>
      <c r="I67">
        <v>1430</v>
      </c>
      <c r="J67">
        <v>2008</v>
      </c>
      <c r="K67">
        <v>54</v>
      </c>
      <c r="L67" t="s">
        <v>52</v>
      </c>
      <c r="M67" t="s">
        <v>199</v>
      </c>
      <c r="N67" s="2" t="s">
        <v>3029</v>
      </c>
      <c r="O67" t="s">
        <v>3030</v>
      </c>
      <c r="P67" t="s">
        <v>16</v>
      </c>
      <c r="Q67">
        <v>91.498601398601394</v>
      </c>
      <c r="R67">
        <f ca="1">YEAR(TODAY())-Table1[[#This Row],[Year Built]]</f>
        <v>18</v>
      </c>
      <c r="S67" t="str">
        <f>IF(Table1[[#This Row],[Days on Market]] &lt; 30,"Fast",IF(Table1[[#This Row],[Days on Market]]&lt;= 90,"Average", "Slow"))</f>
        <v>Average</v>
      </c>
      <c r="T67" t="str">
        <f>IF(Table1[[#This Row],[Price2]]&lt;500000,"Affordable",IF(Table1[[#This Row],[Price2]]&lt;1000000,"Mid range","Luxury"))</f>
        <v>Affordable</v>
      </c>
    </row>
    <row r="68" spans="1:20" x14ac:dyDescent="0.35">
      <c r="A68" s="3">
        <v>130879</v>
      </c>
      <c r="B68" s="2" t="s">
        <v>27</v>
      </c>
      <c r="C68">
        <v>16548</v>
      </c>
      <c r="D68" s="2" t="s">
        <v>35</v>
      </c>
      <c r="E68">
        <v>3</v>
      </c>
      <c r="F68">
        <v>2</v>
      </c>
      <c r="G68" s="4">
        <f>VALUE(SUBSTITUTE(SUBSTITUTE(Table1[[#This Row],[Price]],"$",""),",",""))</f>
        <v>130879</v>
      </c>
      <c r="H68" s="1">
        <f>Table1[[#This Row],[Price2]]/Table1[[#This Row],[Area]]</f>
        <v>54.037572254335259</v>
      </c>
      <c r="I68">
        <v>2422</v>
      </c>
      <c r="J68">
        <v>2002</v>
      </c>
      <c r="K68">
        <v>107</v>
      </c>
      <c r="L68" t="s">
        <v>40</v>
      </c>
      <c r="M68" t="s">
        <v>1122</v>
      </c>
      <c r="N68" s="2" t="s">
        <v>3035</v>
      </c>
      <c r="O68" t="s">
        <v>3036</v>
      </c>
      <c r="P68" t="s">
        <v>21</v>
      </c>
      <c r="Q68">
        <v>54.037572254335259</v>
      </c>
      <c r="R68">
        <f ca="1">YEAR(TODAY())-Table1[[#This Row],[Year Built]]</f>
        <v>24</v>
      </c>
      <c r="S68" t="str">
        <f>IF(Table1[[#This Row],[Days on Market]] &lt; 30,"Fast",IF(Table1[[#This Row],[Days on Market]]&lt;= 90,"Average", "Slow"))</f>
        <v>Slow</v>
      </c>
      <c r="T68" t="str">
        <f>IF(Table1[[#This Row],[Price2]]&lt;500000,"Affordable",IF(Table1[[#This Row],[Price2]]&lt;1000000,"Mid range","Luxury"))</f>
        <v>Affordable</v>
      </c>
    </row>
    <row r="69" spans="1:20" x14ac:dyDescent="0.35">
      <c r="A69" s="3">
        <v>131883</v>
      </c>
      <c r="B69" s="2" t="s">
        <v>12</v>
      </c>
      <c r="C69">
        <v>44519</v>
      </c>
      <c r="D69" s="2" t="s">
        <v>23</v>
      </c>
      <c r="E69">
        <v>6</v>
      </c>
      <c r="F69">
        <v>2</v>
      </c>
      <c r="G69" s="4">
        <f>VALUE(SUBSTITUTE(SUBSTITUTE(Table1[[#This Row],[Price]],"$",""),",",""))</f>
        <v>131883</v>
      </c>
      <c r="H69" s="1">
        <f>Table1[[#This Row],[Price2]]/Table1[[#This Row],[Area]]</f>
        <v>53.742053789731052</v>
      </c>
      <c r="I69">
        <v>2454</v>
      </c>
      <c r="J69">
        <v>1971</v>
      </c>
      <c r="K69">
        <v>26</v>
      </c>
      <c r="L69" t="s">
        <v>52</v>
      </c>
      <c r="M69" t="s">
        <v>2316</v>
      </c>
      <c r="N69" s="2" t="s">
        <v>3029</v>
      </c>
      <c r="O69" t="s">
        <v>3030</v>
      </c>
      <c r="P69" t="s">
        <v>21</v>
      </c>
      <c r="Q69">
        <v>53.742053789731052</v>
      </c>
      <c r="R69">
        <f ca="1">YEAR(TODAY())-Table1[[#This Row],[Year Built]]</f>
        <v>55</v>
      </c>
      <c r="S69" t="str">
        <f>IF(Table1[[#This Row],[Days on Market]] &lt; 30,"Fast",IF(Table1[[#This Row],[Days on Market]]&lt;= 90,"Average", "Slow"))</f>
        <v>Fast</v>
      </c>
      <c r="T69" t="str">
        <f>IF(Table1[[#This Row],[Price2]]&lt;500000,"Affordable",IF(Table1[[#This Row],[Price2]]&lt;1000000,"Mid range","Luxury"))</f>
        <v>Affordable</v>
      </c>
    </row>
    <row r="70" spans="1:20" x14ac:dyDescent="0.35">
      <c r="A70" s="3">
        <v>132181</v>
      </c>
      <c r="B70" s="2" t="s">
        <v>12</v>
      </c>
      <c r="C70">
        <v>20551</v>
      </c>
      <c r="D70" s="2" t="s">
        <v>35</v>
      </c>
      <c r="E70">
        <v>5</v>
      </c>
      <c r="F70">
        <v>2</v>
      </c>
      <c r="G70" s="4">
        <f>VALUE(SUBSTITUTE(SUBSTITUTE(Table1[[#This Row],[Price]],"$",""),",",""))</f>
        <v>132181</v>
      </c>
      <c r="H70" s="1">
        <f>Table1[[#This Row],[Price2]]/Table1[[#This Row],[Area]]</f>
        <v>53.7977207977208</v>
      </c>
      <c r="I70">
        <v>2457</v>
      </c>
      <c r="J70">
        <v>2010</v>
      </c>
      <c r="K70">
        <v>72</v>
      </c>
      <c r="L70" t="s">
        <v>30</v>
      </c>
      <c r="M70" t="s">
        <v>1140</v>
      </c>
      <c r="N70" s="2" t="s">
        <v>3029</v>
      </c>
      <c r="O70" t="s">
        <v>3030</v>
      </c>
      <c r="P70" t="s">
        <v>26</v>
      </c>
      <c r="Q70">
        <v>53.7977207977208</v>
      </c>
      <c r="R70">
        <f ca="1">YEAR(TODAY())-Table1[[#This Row],[Year Built]]</f>
        <v>16</v>
      </c>
      <c r="S70" t="str">
        <f>IF(Table1[[#This Row],[Days on Market]] &lt; 30,"Fast",IF(Table1[[#This Row],[Days on Market]]&lt;= 90,"Average", "Slow"))</f>
        <v>Average</v>
      </c>
      <c r="T70" t="str">
        <f>IF(Table1[[#This Row],[Price2]]&lt;500000,"Affordable",IF(Table1[[#This Row],[Price2]]&lt;1000000,"Mid range","Luxury"))</f>
        <v>Affordable</v>
      </c>
    </row>
    <row r="71" spans="1:20" x14ac:dyDescent="0.35">
      <c r="A71" s="3">
        <v>132626</v>
      </c>
      <c r="B71" s="2" t="s">
        <v>27</v>
      </c>
      <c r="C71">
        <v>81064</v>
      </c>
      <c r="D71" s="2" t="s">
        <v>18</v>
      </c>
      <c r="E71">
        <v>2</v>
      </c>
      <c r="F71">
        <v>3</v>
      </c>
      <c r="G71" s="4">
        <f>VALUE(SUBSTITUTE(SUBSTITUTE(Table1[[#This Row],[Price]],"$",""),",",""))</f>
        <v>132626</v>
      </c>
      <c r="H71" s="1">
        <f>Table1[[#This Row],[Price2]]/Table1[[#This Row],[Area]]</f>
        <v>143.69014084507043</v>
      </c>
      <c r="I71">
        <v>923</v>
      </c>
      <c r="J71">
        <v>1977</v>
      </c>
      <c r="K71">
        <v>118</v>
      </c>
      <c r="L71" t="s">
        <v>40</v>
      </c>
      <c r="M71" t="s">
        <v>911</v>
      </c>
      <c r="N71" s="2" t="s">
        <v>3029</v>
      </c>
      <c r="O71" t="s">
        <v>3030</v>
      </c>
      <c r="P71" t="s">
        <v>26</v>
      </c>
      <c r="Q71">
        <v>143.69014084507043</v>
      </c>
      <c r="R71">
        <f ca="1">YEAR(TODAY())-Table1[[#This Row],[Year Built]]</f>
        <v>49</v>
      </c>
      <c r="S71" t="str">
        <f>IF(Table1[[#This Row],[Days on Market]] &lt; 30,"Fast",IF(Table1[[#This Row],[Days on Market]]&lt;= 90,"Average", "Slow"))</f>
        <v>Slow</v>
      </c>
      <c r="T71" t="str">
        <f>IF(Table1[[#This Row],[Price2]]&lt;500000,"Affordable",IF(Table1[[#This Row],[Price2]]&lt;1000000,"Mid range","Luxury"))</f>
        <v>Affordable</v>
      </c>
    </row>
    <row r="72" spans="1:20" x14ac:dyDescent="0.35">
      <c r="A72" s="3">
        <v>133923</v>
      </c>
      <c r="B72" s="2" t="s">
        <v>34</v>
      </c>
      <c r="C72">
        <v>90870</v>
      </c>
      <c r="D72" s="2" t="s">
        <v>18</v>
      </c>
      <c r="E72">
        <v>6</v>
      </c>
      <c r="F72">
        <v>4</v>
      </c>
      <c r="G72" s="4">
        <f>VALUE(SUBSTITUTE(SUBSTITUTE(Table1[[#This Row],[Price]],"$",""),",",""))</f>
        <v>133923</v>
      </c>
      <c r="H72" s="1">
        <f>Table1[[#This Row],[Price2]]/Table1[[#This Row],[Area]]</f>
        <v>87.47419986936643</v>
      </c>
      <c r="I72">
        <v>1531</v>
      </c>
      <c r="J72">
        <v>1961</v>
      </c>
      <c r="K72">
        <v>12</v>
      </c>
      <c r="L72" t="s">
        <v>40</v>
      </c>
      <c r="M72" t="s">
        <v>2533</v>
      </c>
      <c r="N72" s="2" t="s">
        <v>3027</v>
      </c>
      <c r="O72" t="s">
        <v>3028</v>
      </c>
      <c r="P72" t="s">
        <v>16</v>
      </c>
      <c r="Q72">
        <v>87.47419986936643</v>
      </c>
      <c r="R72">
        <f ca="1">YEAR(TODAY())-Table1[[#This Row],[Year Built]]</f>
        <v>65</v>
      </c>
      <c r="S72" t="str">
        <f>IF(Table1[[#This Row],[Days on Market]] &lt; 30,"Fast",IF(Table1[[#This Row],[Days on Market]]&lt;= 90,"Average", "Slow"))</f>
        <v>Fast</v>
      </c>
      <c r="T72" t="str">
        <f>IF(Table1[[#This Row],[Price2]]&lt;500000,"Affordable",IF(Table1[[#This Row],[Price2]]&lt;1000000,"Mid range","Luxury"))</f>
        <v>Affordable</v>
      </c>
    </row>
    <row r="73" spans="1:20" x14ac:dyDescent="0.35">
      <c r="A73" s="3">
        <v>135403</v>
      </c>
      <c r="B73" s="2" t="s">
        <v>27</v>
      </c>
      <c r="C73">
        <v>65534</v>
      </c>
      <c r="D73" s="2" t="s">
        <v>23</v>
      </c>
      <c r="E73">
        <v>3</v>
      </c>
      <c r="F73">
        <v>2</v>
      </c>
      <c r="G73" s="4">
        <f>VALUE(SUBSTITUTE(SUBSTITUTE(Table1[[#This Row],[Price]],"$",""),",",""))</f>
        <v>135403</v>
      </c>
      <c r="H73" s="1">
        <f>Table1[[#This Row],[Price2]]/Table1[[#This Row],[Area]]</f>
        <v>45.728807835190814</v>
      </c>
      <c r="I73">
        <v>2961</v>
      </c>
      <c r="J73">
        <v>1970</v>
      </c>
      <c r="K73">
        <v>76</v>
      </c>
      <c r="L73" t="s">
        <v>40</v>
      </c>
      <c r="M73" t="s">
        <v>2999</v>
      </c>
      <c r="N73" s="2" t="s">
        <v>3027</v>
      </c>
      <c r="O73" t="s">
        <v>3028</v>
      </c>
      <c r="P73" t="s">
        <v>26</v>
      </c>
      <c r="Q73">
        <v>45.728807835190814</v>
      </c>
      <c r="R73">
        <f ca="1">YEAR(TODAY())-Table1[[#This Row],[Year Built]]</f>
        <v>56</v>
      </c>
      <c r="S73" t="str">
        <f>IF(Table1[[#This Row],[Days on Market]] &lt; 30,"Fast",IF(Table1[[#This Row],[Days on Market]]&lt;= 90,"Average", "Slow"))</f>
        <v>Average</v>
      </c>
      <c r="T73" t="str">
        <f>IF(Table1[[#This Row],[Price2]]&lt;500000,"Affordable",IF(Table1[[#This Row],[Price2]]&lt;1000000,"Mid range","Luxury"))</f>
        <v>Affordable</v>
      </c>
    </row>
    <row r="74" spans="1:20" x14ac:dyDescent="0.35">
      <c r="A74" s="3">
        <v>135966</v>
      </c>
      <c r="B74" s="2" t="s">
        <v>27</v>
      </c>
      <c r="C74">
        <v>97508</v>
      </c>
      <c r="D74" s="2" t="s">
        <v>13</v>
      </c>
      <c r="E74">
        <v>6</v>
      </c>
      <c r="F74">
        <v>4</v>
      </c>
      <c r="G74" s="4">
        <f>VALUE(SUBSTITUTE(SUBSTITUTE(Table1[[#This Row],[Price]],"$",""),",",""))</f>
        <v>135966</v>
      </c>
      <c r="H74" s="1">
        <f>Table1[[#This Row],[Price2]]/Table1[[#This Row],[Area]]</f>
        <v>35.15149948293692</v>
      </c>
      <c r="I74">
        <v>3868</v>
      </c>
      <c r="J74">
        <v>2010</v>
      </c>
      <c r="K74">
        <v>13</v>
      </c>
      <c r="L74" t="s">
        <v>14</v>
      </c>
      <c r="M74" t="s">
        <v>1562</v>
      </c>
      <c r="N74" s="2" t="s">
        <v>3029</v>
      </c>
      <c r="O74" t="s">
        <v>3030</v>
      </c>
      <c r="P74" t="s">
        <v>26</v>
      </c>
      <c r="Q74">
        <v>35.15149948293692</v>
      </c>
      <c r="R74">
        <f ca="1">YEAR(TODAY())-Table1[[#This Row],[Year Built]]</f>
        <v>16</v>
      </c>
      <c r="S74" t="str">
        <f>IF(Table1[[#This Row],[Days on Market]] &lt; 30,"Fast",IF(Table1[[#This Row],[Days on Market]]&lt;= 90,"Average", "Slow"))</f>
        <v>Fast</v>
      </c>
      <c r="T74" t="str">
        <f>IF(Table1[[#This Row],[Price2]]&lt;500000,"Affordable",IF(Table1[[#This Row],[Price2]]&lt;1000000,"Mid range","Luxury"))</f>
        <v>Affordable</v>
      </c>
    </row>
    <row r="75" spans="1:20" x14ac:dyDescent="0.35">
      <c r="A75" s="3">
        <v>136498</v>
      </c>
      <c r="B75" s="2" t="s">
        <v>27</v>
      </c>
      <c r="C75">
        <v>60339</v>
      </c>
      <c r="D75" s="2" t="s">
        <v>13</v>
      </c>
      <c r="E75">
        <v>5</v>
      </c>
      <c r="F75">
        <v>4</v>
      </c>
      <c r="G75" s="4">
        <f>VALUE(SUBSTITUTE(SUBSTITUTE(Table1[[#This Row],[Price]],"$",""),",",""))</f>
        <v>136498</v>
      </c>
      <c r="H75" s="1">
        <f>Table1[[#This Row],[Price2]]/Table1[[#This Row],[Area]]</f>
        <v>40.028739002932554</v>
      </c>
      <c r="I75">
        <v>3410</v>
      </c>
      <c r="J75">
        <v>1988</v>
      </c>
      <c r="K75">
        <v>71</v>
      </c>
      <c r="L75" t="s">
        <v>14</v>
      </c>
      <c r="M75" t="s">
        <v>90</v>
      </c>
      <c r="N75" s="2" t="s">
        <v>3027</v>
      </c>
      <c r="O75" t="s">
        <v>3028</v>
      </c>
      <c r="P75" t="s">
        <v>26</v>
      </c>
      <c r="Q75">
        <v>40.028739002932554</v>
      </c>
      <c r="R75">
        <f ca="1">YEAR(TODAY())-Table1[[#This Row],[Year Built]]</f>
        <v>38</v>
      </c>
      <c r="S75" t="str">
        <f>IF(Table1[[#This Row],[Days on Market]] &lt; 30,"Fast",IF(Table1[[#This Row],[Days on Market]]&lt;= 90,"Average", "Slow"))</f>
        <v>Average</v>
      </c>
      <c r="T75" t="str">
        <f>IF(Table1[[#This Row],[Price2]]&lt;500000,"Affordable",IF(Table1[[#This Row],[Price2]]&lt;1000000,"Mid range","Luxury"))</f>
        <v>Affordable</v>
      </c>
    </row>
    <row r="76" spans="1:20" x14ac:dyDescent="0.35">
      <c r="A76" s="3">
        <v>136647</v>
      </c>
      <c r="B76" s="2" t="s">
        <v>27</v>
      </c>
      <c r="C76">
        <v>83045</v>
      </c>
      <c r="D76" s="2" t="s">
        <v>35</v>
      </c>
      <c r="E76">
        <v>1</v>
      </c>
      <c r="F76">
        <v>3</v>
      </c>
      <c r="G76" s="4">
        <f>VALUE(SUBSTITUTE(SUBSTITUTE(Table1[[#This Row],[Price]],"$",""),",",""))</f>
        <v>136647</v>
      </c>
      <c r="H76" s="1">
        <f>Table1[[#This Row],[Price2]]/Table1[[#This Row],[Area]]</f>
        <v>90.735059760956176</v>
      </c>
      <c r="I76">
        <v>1506</v>
      </c>
      <c r="J76">
        <v>1979</v>
      </c>
      <c r="K76">
        <v>28</v>
      </c>
      <c r="L76" t="s">
        <v>14</v>
      </c>
      <c r="M76" t="s">
        <v>2034</v>
      </c>
      <c r="N76" s="2" t="s">
        <v>3035</v>
      </c>
      <c r="O76" t="s">
        <v>3036</v>
      </c>
      <c r="P76" t="s">
        <v>26</v>
      </c>
      <c r="Q76">
        <v>90.735059760956176</v>
      </c>
      <c r="R76">
        <f ca="1">YEAR(TODAY())-Table1[[#This Row],[Year Built]]</f>
        <v>47</v>
      </c>
      <c r="S76" t="str">
        <f>IF(Table1[[#This Row],[Days on Market]] &lt; 30,"Fast",IF(Table1[[#This Row],[Days on Market]]&lt;= 90,"Average", "Slow"))</f>
        <v>Fast</v>
      </c>
      <c r="T76" t="str">
        <f>IF(Table1[[#This Row],[Price2]]&lt;500000,"Affordable",IF(Table1[[#This Row],[Price2]]&lt;1000000,"Mid range","Luxury"))</f>
        <v>Affordable</v>
      </c>
    </row>
    <row r="77" spans="1:20" x14ac:dyDescent="0.35">
      <c r="A77" s="3">
        <v>137256</v>
      </c>
      <c r="B77" s="2" t="s">
        <v>12</v>
      </c>
      <c r="C77">
        <v>53430</v>
      </c>
      <c r="D77" s="2" t="s">
        <v>18</v>
      </c>
      <c r="E77">
        <v>5</v>
      </c>
      <c r="F77">
        <v>3</v>
      </c>
      <c r="G77" s="4">
        <f>VALUE(SUBSTITUTE(SUBSTITUTE(Table1[[#This Row],[Price]],"$",""),",",""))</f>
        <v>137256</v>
      </c>
      <c r="H77" s="1">
        <f>Table1[[#This Row],[Price2]]/Table1[[#This Row],[Area]]</f>
        <v>48.897755610972567</v>
      </c>
      <c r="I77">
        <v>2807</v>
      </c>
      <c r="J77">
        <v>1955</v>
      </c>
      <c r="K77">
        <v>73</v>
      </c>
      <c r="L77" t="s">
        <v>30</v>
      </c>
      <c r="M77" t="s">
        <v>1944</v>
      </c>
      <c r="N77" s="2" t="s">
        <v>3031</v>
      </c>
      <c r="O77" t="s">
        <v>3032</v>
      </c>
      <c r="P77" t="s">
        <v>16</v>
      </c>
      <c r="Q77">
        <v>48.897755610972567</v>
      </c>
      <c r="R77">
        <f ca="1">YEAR(TODAY())-Table1[[#This Row],[Year Built]]</f>
        <v>71</v>
      </c>
      <c r="S77" t="str">
        <f>IF(Table1[[#This Row],[Days on Market]] &lt; 30,"Fast",IF(Table1[[#This Row],[Days on Market]]&lt;= 90,"Average", "Slow"))</f>
        <v>Average</v>
      </c>
      <c r="T77" t="str">
        <f>IF(Table1[[#This Row],[Price2]]&lt;500000,"Affordable",IF(Table1[[#This Row],[Price2]]&lt;1000000,"Mid range","Luxury"))</f>
        <v>Affordable</v>
      </c>
    </row>
    <row r="78" spans="1:20" x14ac:dyDescent="0.35">
      <c r="A78" s="3">
        <v>138025</v>
      </c>
      <c r="B78" s="2" t="s">
        <v>17</v>
      </c>
      <c r="C78">
        <v>19420</v>
      </c>
      <c r="D78" s="2" t="s">
        <v>23</v>
      </c>
      <c r="E78">
        <v>1</v>
      </c>
      <c r="F78">
        <v>1</v>
      </c>
      <c r="G78" s="4">
        <f>VALUE(SUBSTITUTE(SUBSTITUTE(Table1[[#This Row],[Price]],"$",""),",",""))</f>
        <v>138025</v>
      </c>
      <c r="H78" s="1">
        <f>Table1[[#This Row],[Price2]]/Table1[[#This Row],[Area]]</f>
        <v>66.35817307692308</v>
      </c>
      <c r="I78">
        <v>2080</v>
      </c>
      <c r="J78">
        <v>1999</v>
      </c>
      <c r="K78">
        <v>44</v>
      </c>
      <c r="L78" t="s">
        <v>19</v>
      </c>
      <c r="M78" t="s">
        <v>481</v>
      </c>
      <c r="N78" s="2" t="s">
        <v>3029</v>
      </c>
      <c r="O78" t="s">
        <v>3030</v>
      </c>
      <c r="P78" t="s">
        <v>21</v>
      </c>
      <c r="Q78">
        <v>66.35817307692308</v>
      </c>
      <c r="R78">
        <f ca="1">YEAR(TODAY())-Table1[[#This Row],[Year Built]]</f>
        <v>27</v>
      </c>
      <c r="S78" t="str">
        <f>IF(Table1[[#This Row],[Days on Market]] &lt; 30,"Fast",IF(Table1[[#This Row],[Days on Market]]&lt;= 90,"Average", "Slow"))</f>
        <v>Average</v>
      </c>
      <c r="T78" t="str">
        <f>IF(Table1[[#This Row],[Price2]]&lt;500000,"Affordable",IF(Table1[[#This Row],[Price2]]&lt;1000000,"Mid range","Luxury"))</f>
        <v>Affordable</v>
      </c>
    </row>
    <row r="79" spans="1:20" x14ac:dyDescent="0.35">
      <c r="A79" s="3">
        <v>138278</v>
      </c>
      <c r="B79" s="2" t="s">
        <v>34</v>
      </c>
      <c r="C79">
        <v>44229</v>
      </c>
      <c r="D79" s="2" t="s">
        <v>18</v>
      </c>
      <c r="E79">
        <v>6</v>
      </c>
      <c r="F79">
        <v>1</v>
      </c>
      <c r="G79" s="4">
        <f>VALUE(SUBSTITUTE(SUBSTITUTE(Table1[[#This Row],[Price]],"$",""),",",""))</f>
        <v>138278</v>
      </c>
      <c r="H79" s="1">
        <f>Table1[[#This Row],[Price2]]/Table1[[#This Row],[Area]]</f>
        <v>40.022575976845154</v>
      </c>
      <c r="I79">
        <v>3455</v>
      </c>
      <c r="J79">
        <v>2020</v>
      </c>
      <c r="K79">
        <v>19</v>
      </c>
      <c r="L79" t="s">
        <v>30</v>
      </c>
      <c r="M79" t="s">
        <v>2889</v>
      </c>
      <c r="N79" s="2" t="s">
        <v>3031</v>
      </c>
      <c r="O79" t="s">
        <v>3032</v>
      </c>
      <c r="P79" t="s">
        <v>16</v>
      </c>
      <c r="Q79">
        <v>40.022575976845154</v>
      </c>
      <c r="R79">
        <f ca="1">YEAR(TODAY())-Table1[[#This Row],[Year Built]]</f>
        <v>6</v>
      </c>
      <c r="S79" t="str">
        <f>IF(Table1[[#This Row],[Days on Market]] &lt; 30,"Fast",IF(Table1[[#This Row],[Days on Market]]&lt;= 90,"Average", "Slow"))</f>
        <v>Fast</v>
      </c>
      <c r="T79" t="str">
        <f>IF(Table1[[#This Row],[Price2]]&lt;500000,"Affordable",IF(Table1[[#This Row],[Price2]]&lt;1000000,"Mid range","Luxury"))</f>
        <v>Affordable</v>
      </c>
    </row>
    <row r="80" spans="1:20" x14ac:dyDescent="0.35">
      <c r="A80" s="3">
        <v>138456</v>
      </c>
      <c r="B80" s="2" t="s">
        <v>27</v>
      </c>
      <c r="C80">
        <v>85999</v>
      </c>
      <c r="D80" s="2" t="s">
        <v>18</v>
      </c>
      <c r="E80">
        <v>6</v>
      </c>
      <c r="F80">
        <v>4</v>
      </c>
      <c r="G80" s="4">
        <f>VALUE(SUBSTITUTE(SUBSTITUTE(Table1[[#This Row],[Price]],"$",""),",",""))</f>
        <v>138456</v>
      </c>
      <c r="H80" s="1">
        <f>Table1[[#This Row],[Price2]]/Table1[[#This Row],[Area]]</f>
        <v>107.66407465007777</v>
      </c>
      <c r="I80">
        <v>1286</v>
      </c>
      <c r="J80">
        <v>1996</v>
      </c>
      <c r="K80">
        <v>48</v>
      </c>
      <c r="L80" t="s">
        <v>19</v>
      </c>
      <c r="M80" t="s">
        <v>1596</v>
      </c>
      <c r="N80" s="2" t="s">
        <v>3027</v>
      </c>
      <c r="O80" t="s">
        <v>3028</v>
      </c>
      <c r="P80" t="s">
        <v>21</v>
      </c>
      <c r="Q80">
        <v>107.66407465007777</v>
      </c>
      <c r="R80">
        <f ca="1">YEAR(TODAY())-Table1[[#This Row],[Year Built]]</f>
        <v>30</v>
      </c>
      <c r="S80" t="str">
        <f>IF(Table1[[#This Row],[Days on Market]] &lt; 30,"Fast",IF(Table1[[#This Row],[Days on Market]]&lt;= 90,"Average", "Slow"))</f>
        <v>Average</v>
      </c>
      <c r="T80" t="str">
        <f>IF(Table1[[#This Row],[Price2]]&lt;500000,"Affordable",IF(Table1[[#This Row],[Price2]]&lt;1000000,"Mid range","Luxury"))</f>
        <v>Affordable</v>
      </c>
    </row>
    <row r="81" spans="1:20" x14ac:dyDescent="0.35">
      <c r="A81" s="3">
        <v>139505</v>
      </c>
      <c r="B81" s="2" t="s">
        <v>17</v>
      </c>
      <c r="C81">
        <v>73437</v>
      </c>
      <c r="D81" s="2" t="s">
        <v>23</v>
      </c>
      <c r="E81">
        <v>5</v>
      </c>
      <c r="F81">
        <v>4</v>
      </c>
      <c r="G81" s="4">
        <f>VALUE(SUBSTITUTE(SUBSTITUTE(Table1[[#This Row],[Price]],"$",""),",",""))</f>
        <v>139505</v>
      </c>
      <c r="H81" s="1">
        <f>Table1[[#This Row],[Price2]]/Table1[[#This Row],[Area]]</f>
        <v>60.391774891774894</v>
      </c>
      <c r="I81">
        <v>2310</v>
      </c>
      <c r="J81">
        <v>1974</v>
      </c>
      <c r="K81">
        <v>116</v>
      </c>
      <c r="L81" t="s">
        <v>14</v>
      </c>
      <c r="M81" t="s">
        <v>1760</v>
      </c>
      <c r="N81" s="2" t="s">
        <v>3031</v>
      </c>
      <c r="O81" t="s">
        <v>3032</v>
      </c>
      <c r="P81" t="s">
        <v>16</v>
      </c>
      <c r="Q81">
        <v>60.391774891774894</v>
      </c>
      <c r="R81">
        <f ca="1">YEAR(TODAY())-Table1[[#This Row],[Year Built]]</f>
        <v>52</v>
      </c>
      <c r="S81" t="str">
        <f>IF(Table1[[#This Row],[Days on Market]] &lt; 30,"Fast",IF(Table1[[#This Row],[Days on Market]]&lt;= 90,"Average", "Slow"))</f>
        <v>Slow</v>
      </c>
      <c r="T81" t="str">
        <f>IF(Table1[[#This Row],[Price2]]&lt;500000,"Affordable",IF(Table1[[#This Row],[Price2]]&lt;1000000,"Mid range","Luxury"))</f>
        <v>Affordable</v>
      </c>
    </row>
    <row r="82" spans="1:20" x14ac:dyDescent="0.35">
      <c r="A82" s="3">
        <v>139928</v>
      </c>
      <c r="B82" s="2" t="s">
        <v>34</v>
      </c>
      <c r="C82">
        <v>63039</v>
      </c>
      <c r="D82" s="2" t="s">
        <v>13</v>
      </c>
      <c r="E82">
        <v>1</v>
      </c>
      <c r="F82">
        <v>3</v>
      </c>
      <c r="G82" s="4">
        <f>VALUE(SUBSTITUTE(SUBSTITUTE(Table1[[#This Row],[Price]],"$",""),",",""))</f>
        <v>139928</v>
      </c>
      <c r="H82" s="1">
        <f>Table1[[#This Row],[Price2]]/Table1[[#This Row],[Area]]</f>
        <v>66.855231724796937</v>
      </c>
      <c r="I82">
        <v>2093</v>
      </c>
      <c r="J82">
        <v>1977</v>
      </c>
      <c r="K82">
        <v>34</v>
      </c>
      <c r="L82" t="s">
        <v>19</v>
      </c>
      <c r="M82" t="s">
        <v>124</v>
      </c>
      <c r="N82" s="2" t="s">
        <v>3029</v>
      </c>
      <c r="O82" t="s">
        <v>3030</v>
      </c>
      <c r="P82" t="s">
        <v>26</v>
      </c>
      <c r="Q82">
        <v>66.855231724796937</v>
      </c>
      <c r="R82">
        <f ca="1">YEAR(TODAY())-Table1[[#This Row],[Year Built]]</f>
        <v>49</v>
      </c>
      <c r="S82" t="str">
        <f>IF(Table1[[#This Row],[Days on Market]] &lt; 30,"Fast",IF(Table1[[#This Row],[Days on Market]]&lt;= 90,"Average", "Slow"))</f>
        <v>Average</v>
      </c>
      <c r="T82" t="str">
        <f>IF(Table1[[#This Row],[Price2]]&lt;500000,"Affordable",IF(Table1[[#This Row],[Price2]]&lt;1000000,"Mid range","Luxury"))</f>
        <v>Affordable</v>
      </c>
    </row>
    <row r="83" spans="1:20" x14ac:dyDescent="0.35">
      <c r="A83" s="3">
        <v>140023</v>
      </c>
      <c r="B83" s="2" t="s">
        <v>27</v>
      </c>
      <c r="C83">
        <v>65443</v>
      </c>
      <c r="D83" s="2" t="s">
        <v>13</v>
      </c>
      <c r="E83">
        <v>1</v>
      </c>
      <c r="F83">
        <v>4</v>
      </c>
      <c r="G83" s="4">
        <f>VALUE(SUBSTITUTE(SUBSTITUTE(Table1[[#This Row],[Price]],"$",""),",",""))</f>
        <v>140023</v>
      </c>
      <c r="H83" s="1">
        <f>Table1[[#This Row],[Price2]]/Table1[[#This Row],[Area]]</f>
        <v>96.56758620689655</v>
      </c>
      <c r="I83">
        <v>1450</v>
      </c>
      <c r="J83">
        <v>2018</v>
      </c>
      <c r="K83">
        <v>16</v>
      </c>
      <c r="L83" t="s">
        <v>30</v>
      </c>
      <c r="M83" t="s">
        <v>2765</v>
      </c>
      <c r="N83" s="2" t="s">
        <v>3033</v>
      </c>
      <c r="O83" t="s">
        <v>3034</v>
      </c>
      <c r="P83" t="s">
        <v>26</v>
      </c>
      <c r="Q83">
        <v>96.56758620689655</v>
      </c>
      <c r="R83">
        <f ca="1">YEAR(TODAY())-Table1[[#This Row],[Year Built]]</f>
        <v>8</v>
      </c>
      <c r="S83" t="str">
        <f>IF(Table1[[#This Row],[Days on Market]] &lt; 30,"Fast",IF(Table1[[#This Row],[Days on Market]]&lt;= 90,"Average", "Slow"))</f>
        <v>Fast</v>
      </c>
      <c r="T83" t="str">
        <f>IF(Table1[[#This Row],[Price2]]&lt;500000,"Affordable",IF(Table1[[#This Row],[Price2]]&lt;1000000,"Mid range","Luxury"))</f>
        <v>Affordable</v>
      </c>
    </row>
    <row r="84" spans="1:20" x14ac:dyDescent="0.35">
      <c r="A84" s="3">
        <v>140103</v>
      </c>
      <c r="B84" s="2" t="s">
        <v>27</v>
      </c>
      <c r="C84">
        <v>49902</v>
      </c>
      <c r="D84" s="2" t="s">
        <v>13</v>
      </c>
      <c r="E84">
        <v>3</v>
      </c>
      <c r="F84">
        <v>2</v>
      </c>
      <c r="G84" s="4">
        <f>VALUE(SUBSTITUTE(SUBSTITUTE(Table1[[#This Row],[Price]],"$",""),",",""))</f>
        <v>140103</v>
      </c>
      <c r="H84" s="1">
        <f>Table1[[#This Row],[Price2]]/Table1[[#This Row],[Area]]</f>
        <v>79.876282782212087</v>
      </c>
      <c r="I84">
        <v>1754</v>
      </c>
      <c r="J84">
        <v>1999</v>
      </c>
      <c r="K84">
        <v>26</v>
      </c>
      <c r="L84" t="s">
        <v>40</v>
      </c>
      <c r="M84" t="s">
        <v>1652</v>
      </c>
      <c r="N84" s="2" t="s">
        <v>3027</v>
      </c>
      <c r="O84" t="s">
        <v>3028</v>
      </c>
      <c r="P84" t="s">
        <v>26</v>
      </c>
      <c r="Q84">
        <v>79.876282782212087</v>
      </c>
      <c r="R84">
        <f ca="1">YEAR(TODAY())-Table1[[#This Row],[Year Built]]</f>
        <v>27</v>
      </c>
      <c r="S84" t="str">
        <f>IF(Table1[[#This Row],[Days on Market]] &lt; 30,"Fast",IF(Table1[[#This Row],[Days on Market]]&lt;= 90,"Average", "Slow"))</f>
        <v>Fast</v>
      </c>
      <c r="T84" t="str">
        <f>IF(Table1[[#This Row],[Price2]]&lt;500000,"Affordable",IF(Table1[[#This Row],[Price2]]&lt;1000000,"Mid range","Luxury"))</f>
        <v>Affordable</v>
      </c>
    </row>
    <row r="85" spans="1:20" x14ac:dyDescent="0.35">
      <c r="A85" s="3">
        <v>140316</v>
      </c>
      <c r="B85" s="2" t="s">
        <v>22</v>
      </c>
      <c r="C85">
        <v>22614</v>
      </c>
      <c r="D85" s="2" t="s">
        <v>29</v>
      </c>
      <c r="E85">
        <v>1</v>
      </c>
      <c r="F85">
        <v>4</v>
      </c>
      <c r="G85" s="4">
        <f>VALUE(SUBSTITUTE(SUBSTITUTE(Table1[[#This Row],[Price]],"$",""),",",""))</f>
        <v>140316</v>
      </c>
      <c r="H85" s="1">
        <f>Table1[[#This Row],[Price2]]/Table1[[#This Row],[Area]]</f>
        <v>89.601532567049802</v>
      </c>
      <c r="I85">
        <v>1566</v>
      </c>
      <c r="J85">
        <v>1956</v>
      </c>
      <c r="K85">
        <v>19</v>
      </c>
      <c r="L85" t="s">
        <v>30</v>
      </c>
      <c r="M85" t="s">
        <v>1961</v>
      </c>
      <c r="N85" s="2" t="s">
        <v>3035</v>
      </c>
      <c r="O85" t="s">
        <v>3036</v>
      </c>
      <c r="P85" t="s">
        <v>26</v>
      </c>
      <c r="Q85">
        <v>89.601532567049802</v>
      </c>
      <c r="R85">
        <f ca="1">YEAR(TODAY())-Table1[[#This Row],[Year Built]]</f>
        <v>70</v>
      </c>
      <c r="S85" t="str">
        <f>IF(Table1[[#This Row],[Days on Market]] &lt; 30,"Fast",IF(Table1[[#This Row],[Days on Market]]&lt;= 90,"Average", "Slow"))</f>
        <v>Fast</v>
      </c>
      <c r="T85" t="str">
        <f>IF(Table1[[#This Row],[Price2]]&lt;500000,"Affordable",IF(Table1[[#This Row],[Price2]]&lt;1000000,"Mid range","Luxury"))</f>
        <v>Affordable</v>
      </c>
    </row>
    <row r="86" spans="1:20" x14ac:dyDescent="0.35">
      <c r="A86" s="3">
        <v>141534</v>
      </c>
      <c r="B86" s="2" t="s">
        <v>17</v>
      </c>
      <c r="C86">
        <v>79869</v>
      </c>
      <c r="D86" s="2" t="s">
        <v>13</v>
      </c>
      <c r="E86">
        <v>1</v>
      </c>
      <c r="F86">
        <v>3</v>
      </c>
      <c r="G86" s="4">
        <f>VALUE(SUBSTITUTE(SUBSTITUTE(Table1[[#This Row],[Price]],"$",""),",",""))</f>
        <v>141534</v>
      </c>
      <c r="H86" s="1">
        <f>Table1[[#This Row],[Price2]]/Table1[[#This Row],[Area]]</f>
        <v>44.437676609105182</v>
      </c>
      <c r="I86">
        <v>3185</v>
      </c>
      <c r="J86">
        <v>2014</v>
      </c>
      <c r="K86">
        <v>63</v>
      </c>
      <c r="L86" t="s">
        <v>14</v>
      </c>
      <c r="M86" t="s">
        <v>2293</v>
      </c>
      <c r="N86" s="2" t="s">
        <v>3027</v>
      </c>
      <c r="O86" t="s">
        <v>3028</v>
      </c>
      <c r="P86" t="s">
        <v>26</v>
      </c>
      <c r="Q86">
        <v>44.437676609105182</v>
      </c>
      <c r="R86">
        <f ca="1">YEAR(TODAY())-Table1[[#This Row],[Year Built]]</f>
        <v>12</v>
      </c>
      <c r="S86" t="str">
        <f>IF(Table1[[#This Row],[Days on Market]] &lt; 30,"Fast",IF(Table1[[#This Row],[Days on Market]]&lt;= 90,"Average", "Slow"))</f>
        <v>Average</v>
      </c>
      <c r="T86" t="str">
        <f>IF(Table1[[#This Row],[Price2]]&lt;500000,"Affordable",IF(Table1[[#This Row],[Price2]]&lt;1000000,"Mid range","Luxury"))</f>
        <v>Affordable</v>
      </c>
    </row>
    <row r="87" spans="1:20" x14ac:dyDescent="0.35">
      <c r="A87" s="3">
        <v>142558</v>
      </c>
      <c r="B87" s="2" t="s">
        <v>17</v>
      </c>
      <c r="C87">
        <v>83599</v>
      </c>
      <c r="D87" s="2" t="s">
        <v>29</v>
      </c>
      <c r="E87">
        <v>5</v>
      </c>
      <c r="F87">
        <v>2</v>
      </c>
      <c r="G87" s="4">
        <f>VALUE(SUBSTITUTE(SUBSTITUTE(Table1[[#This Row],[Price]],"$",""),",",""))</f>
        <v>142558</v>
      </c>
      <c r="H87" s="1">
        <f>Table1[[#This Row],[Price2]]/Table1[[#This Row],[Area]]</f>
        <v>41.273306311522873</v>
      </c>
      <c r="I87">
        <v>3454</v>
      </c>
      <c r="J87">
        <v>1997</v>
      </c>
      <c r="K87">
        <v>35</v>
      </c>
      <c r="L87" t="s">
        <v>14</v>
      </c>
      <c r="M87" t="s">
        <v>462</v>
      </c>
      <c r="N87" s="2" t="s">
        <v>3033</v>
      </c>
      <c r="O87" t="s">
        <v>3034</v>
      </c>
      <c r="P87" t="s">
        <v>21</v>
      </c>
      <c r="Q87">
        <v>41.273306311522873</v>
      </c>
      <c r="R87">
        <f ca="1">YEAR(TODAY())-Table1[[#This Row],[Year Built]]</f>
        <v>29</v>
      </c>
      <c r="S87" t="str">
        <f>IF(Table1[[#This Row],[Days on Market]] &lt; 30,"Fast",IF(Table1[[#This Row],[Days on Market]]&lt;= 90,"Average", "Slow"))</f>
        <v>Average</v>
      </c>
      <c r="T87" t="str">
        <f>IF(Table1[[#This Row],[Price2]]&lt;500000,"Affordable",IF(Table1[[#This Row],[Price2]]&lt;1000000,"Mid range","Luxury"))</f>
        <v>Affordable</v>
      </c>
    </row>
    <row r="88" spans="1:20" x14ac:dyDescent="0.35">
      <c r="A88" s="3">
        <v>142594</v>
      </c>
      <c r="B88" s="2" t="s">
        <v>12</v>
      </c>
      <c r="C88">
        <v>48533</v>
      </c>
      <c r="D88" s="2" t="s">
        <v>13</v>
      </c>
      <c r="E88">
        <v>2</v>
      </c>
      <c r="F88">
        <v>2</v>
      </c>
      <c r="G88" s="4">
        <f>VALUE(SUBSTITUTE(SUBSTITUTE(Table1[[#This Row],[Price]],"$",""),",",""))</f>
        <v>142594</v>
      </c>
      <c r="H88" s="1">
        <f>Table1[[#This Row],[Price2]]/Table1[[#This Row],[Area]]</f>
        <v>98.40855762594893</v>
      </c>
      <c r="I88">
        <v>1449</v>
      </c>
      <c r="J88">
        <v>1995</v>
      </c>
      <c r="K88">
        <v>80</v>
      </c>
      <c r="L88" t="s">
        <v>40</v>
      </c>
      <c r="M88" t="s">
        <v>1477</v>
      </c>
      <c r="N88" s="2" t="s">
        <v>3027</v>
      </c>
      <c r="O88" t="s">
        <v>3028</v>
      </c>
      <c r="P88" t="s">
        <v>16</v>
      </c>
      <c r="Q88">
        <v>98.40855762594893</v>
      </c>
      <c r="R88">
        <f ca="1">YEAR(TODAY())-Table1[[#This Row],[Year Built]]</f>
        <v>31</v>
      </c>
      <c r="S88" t="str">
        <f>IF(Table1[[#This Row],[Days on Market]] &lt; 30,"Fast",IF(Table1[[#This Row],[Days on Market]]&lt;= 90,"Average", "Slow"))</f>
        <v>Average</v>
      </c>
      <c r="T88" t="str">
        <f>IF(Table1[[#This Row],[Price2]]&lt;500000,"Affordable",IF(Table1[[#This Row],[Price2]]&lt;1000000,"Mid range","Luxury"))</f>
        <v>Affordable</v>
      </c>
    </row>
    <row r="89" spans="1:20" x14ac:dyDescent="0.35">
      <c r="A89" s="3">
        <v>142832</v>
      </c>
      <c r="B89" s="2" t="s">
        <v>22</v>
      </c>
      <c r="C89">
        <v>14393</v>
      </c>
      <c r="D89" s="2" t="s">
        <v>35</v>
      </c>
      <c r="E89">
        <v>5</v>
      </c>
      <c r="F89">
        <v>1</v>
      </c>
      <c r="G89" s="4">
        <f>VALUE(SUBSTITUTE(SUBSTITUTE(Table1[[#This Row],[Price]],"$",""),",",""))</f>
        <v>142832</v>
      </c>
      <c r="H89" s="1">
        <f>Table1[[#This Row],[Price2]]/Table1[[#This Row],[Area]]</f>
        <v>43.746401225114852</v>
      </c>
      <c r="I89">
        <v>3265</v>
      </c>
      <c r="J89">
        <v>2018</v>
      </c>
      <c r="K89">
        <v>105</v>
      </c>
      <c r="L89" t="s">
        <v>40</v>
      </c>
      <c r="M89" t="s">
        <v>1019</v>
      </c>
      <c r="N89" s="2" t="s">
        <v>3033</v>
      </c>
      <c r="O89" t="s">
        <v>3034</v>
      </c>
      <c r="P89" t="s">
        <v>16</v>
      </c>
      <c r="Q89">
        <v>43.746401225114852</v>
      </c>
      <c r="R89">
        <f ca="1">YEAR(TODAY())-Table1[[#This Row],[Year Built]]</f>
        <v>8</v>
      </c>
      <c r="S89" t="str">
        <f>IF(Table1[[#This Row],[Days on Market]] &lt; 30,"Fast",IF(Table1[[#This Row],[Days on Market]]&lt;= 90,"Average", "Slow"))</f>
        <v>Slow</v>
      </c>
      <c r="T89" t="str">
        <f>IF(Table1[[#This Row],[Price2]]&lt;500000,"Affordable",IF(Table1[[#This Row],[Price2]]&lt;1000000,"Mid range","Luxury"))</f>
        <v>Affordable</v>
      </c>
    </row>
    <row r="90" spans="1:20" x14ac:dyDescent="0.35">
      <c r="A90" s="3">
        <v>143167</v>
      </c>
      <c r="B90" s="2" t="s">
        <v>27</v>
      </c>
      <c r="C90">
        <v>64025</v>
      </c>
      <c r="D90" s="2" t="s">
        <v>23</v>
      </c>
      <c r="E90">
        <v>2</v>
      </c>
      <c r="F90">
        <v>1</v>
      </c>
      <c r="G90" s="4">
        <f>VALUE(SUBSTITUTE(SUBSTITUTE(Table1[[#This Row],[Price]],"$",""),",",""))</f>
        <v>143167</v>
      </c>
      <c r="H90" s="1">
        <f>Table1[[#This Row],[Price2]]/Table1[[#This Row],[Area]]</f>
        <v>46.049211965262145</v>
      </c>
      <c r="I90">
        <v>3109</v>
      </c>
      <c r="J90">
        <v>1959</v>
      </c>
      <c r="K90">
        <v>50</v>
      </c>
      <c r="L90" t="s">
        <v>14</v>
      </c>
      <c r="M90" t="s">
        <v>2888</v>
      </c>
      <c r="N90" s="2" t="s">
        <v>3031</v>
      </c>
      <c r="O90" t="s">
        <v>3032</v>
      </c>
      <c r="P90" t="s">
        <v>16</v>
      </c>
      <c r="Q90">
        <v>46.049211965262145</v>
      </c>
      <c r="R90">
        <f ca="1">YEAR(TODAY())-Table1[[#This Row],[Year Built]]</f>
        <v>67</v>
      </c>
      <c r="S90" t="str">
        <f>IF(Table1[[#This Row],[Days on Market]] &lt; 30,"Fast",IF(Table1[[#This Row],[Days on Market]]&lt;= 90,"Average", "Slow"))</f>
        <v>Average</v>
      </c>
      <c r="T90" t="str">
        <f>IF(Table1[[#This Row],[Price2]]&lt;500000,"Affordable",IF(Table1[[#This Row],[Price2]]&lt;1000000,"Mid range","Luxury"))</f>
        <v>Affordable</v>
      </c>
    </row>
    <row r="91" spans="1:20" x14ac:dyDescent="0.35">
      <c r="A91" s="3">
        <v>144023</v>
      </c>
      <c r="B91" s="2" t="s">
        <v>12</v>
      </c>
      <c r="C91">
        <v>30564</v>
      </c>
      <c r="D91" s="2" t="s">
        <v>23</v>
      </c>
      <c r="E91">
        <v>6</v>
      </c>
      <c r="F91">
        <v>4</v>
      </c>
      <c r="G91" s="4">
        <f>VALUE(SUBSTITUTE(SUBSTITUTE(Table1[[#This Row],[Price]],"$",""),",",""))</f>
        <v>144023</v>
      </c>
      <c r="H91" s="1">
        <f>Table1[[#This Row],[Price2]]/Table1[[#This Row],[Area]]</f>
        <v>50.445884413309983</v>
      </c>
      <c r="I91">
        <v>2855</v>
      </c>
      <c r="J91">
        <v>1987</v>
      </c>
      <c r="K91">
        <v>115</v>
      </c>
      <c r="L91" t="s">
        <v>19</v>
      </c>
      <c r="M91" t="s">
        <v>2095</v>
      </c>
      <c r="N91" s="2" t="s">
        <v>3031</v>
      </c>
      <c r="O91" t="s">
        <v>3032</v>
      </c>
      <c r="P91" t="s">
        <v>21</v>
      </c>
      <c r="Q91">
        <v>50.445884413309983</v>
      </c>
      <c r="R91">
        <f ca="1">YEAR(TODAY())-Table1[[#This Row],[Year Built]]</f>
        <v>39</v>
      </c>
      <c r="S91" t="str">
        <f>IF(Table1[[#This Row],[Days on Market]] &lt; 30,"Fast",IF(Table1[[#This Row],[Days on Market]]&lt;= 90,"Average", "Slow"))</f>
        <v>Slow</v>
      </c>
      <c r="T91" t="str">
        <f>IF(Table1[[#This Row],[Price2]]&lt;500000,"Affordable",IF(Table1[[#This Row],[Price2]]&lt;1000000,"Mid range","Luxury"))</f>
        <v>Affordable</v>
      </c>
    </row>
    <row r="92" spans="1:20" x14ac:dyDescent="0.35">
      <c r="A92" s="3">
        <v>144964</v>
      </c>
      <c r="B92" s="2" t="s">
        <v>22</v>
      </c>
      <c r="C92">
        <v>81788</v>
      </c>
      <c r="D92" s="2" t="s">
        <v>18</v>
      </c>
      <c r="E92">
        <v>5</v>
      </c>
      <c r="F92">
        <v>3</v>
      </c>
      <c r="G92" s="4">
        <f>VALUE(SUBSTITUTE(SUBSTITUTE(Table1[[#This Row],[Price]],"$",""),",",""))</f>
        <v>144964</v>
      </c>
      <c r="H92" s="1">
        <f>Table1[[#This Row],[Price2]]/Table1[[#This Row],[Area]]</f>
        <v>127.04995617879054</v>
      </c>
      <c r="I92">
        <v>1141</v>
      </c>
      <c r="J92">
        <v>1994</v>
      </c>
      <c r="K92">
        <v>62</v>
      </c>
      <c r="L92" t="s">
        <v>19</v>
      </c>
      <c r="M92" t="s">
        <v>261</v>
      </c>
      <c r="N92" s="2" t="s">
        <v>3027</v>
      </c>
      <c r="O92" t="s">
        <v>3028</v>
      </c>
      <c r="P92" t="s">
        <v>21</v>
      </c>
      <c r="Q92">
        <v>127.04995617879054</v>
      </c>
      <c r="R92">
        <f ca="1">YEAR(TODAY())-Table1[[#This Row],[Year Built]]</f>
        <v>32</v>
      </c>
      <c r="S92" t="str">
        <f>IF(Table1[[#This Row],[Days on Market]] &lt; 30,"Fast",IF(Table1[[#This Row],[Days on Market]]&lt;= 90,"Average", "Slow"))</f>
        <v>Average</v>
      </c>
      <c r="T92" t="str">
        <f>IF(Table1[[#This Row],[Price2]]&lt;500000,"Affordable",IF(Table1[[#This Row],[Price2]]&lt;1000000,"Mid range","Luxury"))</f>
        <v>Affordable</v>
      </c>
    </row>
    <row r="93" spans="1:20" x14ac:dyDescent="0.35">
      <c r="A93" s="3">
        <v>145136</v>
      </c>
      <c r="B93" s="2" t="s">
        <v>12</v>
      </c>
      <c r="C93">
        <v>37330</v>
      </c>
      <c r="D93" s="2" t="s">
        <v>13</v>
      </c>
      <c r="E93">
        <v>6</v>
      </c>
      <c r="F93">
        <v>4</v>
      </c>
      <c r="G93" s="4">
        <f>VALUE(SUBSTITUTE(SUBSTITUTE(Table1[[#This Row],[Price]],"$",""),",",""))</f>
        <v>145136</v>
      </c>
      <c r="H93" s="1">
        <f>Table1[[#This Row],[Price2]]/Table1[[#This Row],[Area]]</f>
        <v>71.920713577799802</v>
      </c>
      <c r="I93">
        <v>2018</v>
      </c>
      <c r="J93">
        <v>1990</v>
      </c>
      <c r="K93">
        <v>59</v>
      </c>
      <c r="L93" t="s">
        <v>19</v>
      </c>
      <c r="M93" t="s">
        <v>1386</v>
      </c>
      <c r="N93" s="2" t="s">
        <v>3029</v>
      </c>
      <c r="O93" t="s">
        <v>3030</v>
      </c>
      <c r="P93" t="s">
        <v>21</v>
      </c>
      <c r="Q93">
        <v>71.920713577799802</v>
      </c>
      <c r="R93">
        <f ca="1">YEAR(TODAY())-Table1[[#This Row],[Year Built]]</f>
        <v>36</v>
      </c>
      <c r="S93" t="str">
        <f>IF(Table1[[#This Row],[Days on Market]] &lt; 30,"Fast",IF(Table1[[#This Row],[Days on Market]]&lt;= 90,"Average", "Slow"))</f>
        <v>Average</v>
      </c>
      <c r="T93" t="str">
        <f>IF(Table1[[#This Row],[Price2]]&lt;500000,"Affordable",IF(Table1[[#This Row],[Price2]]&lt;1000000,"Mid range","Luxury"))</f>
        <v>Affordable</v>
      </c>
    </row>
    <row r="94" spans="1:20" x14ac:dyDescent="0.35">
      <c r="A94" s="3">
        <v>145267</v>
      </c>
      <c r="B94" s="2" t="s">
        <v>22</v>
      </c>
      <c r="C94">
        <v>67674</v>
      </c>
      <c r="D94" s="2" t="s">
        <v>23</v>
      </c>
      <c r="E94">
        <v>5</v>
      </c>
      <c r="F94">
        <v>2</v>
      </c>
      <c r="G94" s="4">
        <f>VALUE(SUBSTITUTE(SUBSTITUTE(Table1[[#This Row],[Price]],"$",""),",",""))</f>
        <v>145267</v>
      </c>
      <c r="H94" s="1">
        <f>Table1[[#This Row],[Price2]]/Table1[[#This Row],[Area]]</f>
        <v>242.11166666666668</v>
      </c>
      <c r="I94">
        <v>600</v>
      </c>
      <c r="J94">
        <v>1964</v>
      </c>
      <c r="K94">
        <v>63</v>
      </c>
      <c r="L94" t="s">
        <v>40</v>
      </c>
      <c r="M94" t="s">
        <v>2249</v>
      </c>
      <c r="N94" s="2" t="s">
        <v>3029</v>
      </c>
      <c r="O94" t="s">
        <v>3030</v>
      </c>
      <c r="P94" t="s">
        <v>26</v>
      </c>
      <c r="Q94">
        <v>242.11166666666668</v>
      </c>
      <c r="R94">
        <f ca="1">YEAR(TODAY())-Table1[[#This Row],[Year Built]]</f>
        <v>62</v>
      </c>
      <c r="S94" t="str">
        <f>IF(Table1[[#This Row],[Days on Market]] &lt; 30,"Fast",IF(Table1[[#This Row],[Days on Market]]&lt;= 90,"Average", "Slow"))</f>
        <v>Average</v>
      </c>
      <c r="T94" t="str">
        <f>IF(Table1[[#This Row],[Price2]]&lt;500000,"Affordable",IF(Table1[[#This Row],[Price2]]&lt;1000000,"Mid range","Luxury"))</f>
        <v>Affordable</v>
      </c>
    </row>
    <row r="95" spans="1:20" x14ac:dyDescent="0.35">
      <c r="A95" s="3">
        <v>145438</v>
      </c>
      <c r="B95" s="2" t="s">
        <v>12</v>
      </c>
      <c r="C95">
        <v>70440</v>
      </c>
      <c r="D95" s="2" t="s">
        <v>23</v>
      </c>
      <c r="E95">
        <v>5</v>
      </c>
      <c r="F95">
        <v>3</v>
      </c>
      <c r="G95" s="4">
        <f>VALUE(SUBSTITUTE(SUBSTITUTE(Table1[[#This Row],[Price]],"$",""),",",""))</f>
        <v>145438</v>
      </c>
      <c r="H95" s="1">
        <f>Table1[[#This Row],[Price2]]/Table1[[#This Row],[Area]]</f>
        <v>44.57186638063132</v>
      </c>
      <c r="I95">
        <v>3263</v>
      </c>
      <c r="J95">
        <v>2018</v>
      </c>
      <c r="K95">
        <v>32</v>
      </c>
      <c r="L95" t="s">
        <v>30</v>
      </c>
      <c r="M95" t="s">
        <v>2609</v>
      </c>
      <c r="N95" s="2" t="s">
        <v>3031</v>
      </c>
      <c r="O95" t="s">
        <v>3032</v>
      </c>
      <c r="P95" t="s">
        <v>16</v>
      </c>
      <c r="Q95">
        <v>44.57186638063132</v>
      </c>
      <c r="R95">
        <f ca="1">YEAR(TODAY())-Table1[[#This Row],[Year Built]]</f>
        <v>8</v>
      </c>
      <c r="S95" t="str">
        <f>IF(Table1[[#This Row],[Days on Market]] &lt; 30,"Fast",IF(Table1[[#This Row],[Days on Market]]&lt;= 90,"Average", "Slow"))</f>
        <v>Average</v>
      </c>
      <c r="T95" t="str">
        <f>IF(Table1[[#This Row],[Price2]]&lt;500000,"Affordable",IF(Table1[[#This Row],[Price2]]&lt;1000000,"Mid range","Luxury"))</f>
        <v>Affordable</v>
      </c>
    </row>
    <row r="96" spans="1:20" x14ac:dyDescent="0.35">
      <c r="A96" s="3">
        <v>146019</v>
      </c>
      <c r="B96" s="2" t="s">
        <v>34</v>
      </c>
      <c r="C96">
        <v>99955</v>
      </c>
      <c r="D96" s="2" t="s">
        <v>18</v>
      </c>
      <c r="E96">
        <v>2</v>
      </c>
      <c r="F96">
        <v>1</v>
      </c>
      <c r="G96" s="4">
        <f>VALUE(SUBSTITUTE(SUBSTITUTE(Table1[[#This Row],[Price]],"$",""),",",""))</f>
        <v>146019</v>
      </c>
      <c r="H96" s="1">
        <f>Table1[[#This Row],[Price2]]/Table1[[#This Row],[Area]]</f>
        <v>120.47772277227723</v>
      </c>
      <c r="I96">
        <v>1212</v>
      </c>
      <c r="J96">
        <v>2009</v>
      </c>
      <c r="K96">
        <v>78</v>
      </c>
      <c r="L96" t="s">
        <v>30</v>
      </c>
      <c r="M96" t="s">
        <v>1529</v>
      </c>
      <c r="N96" s="2" t="s">
        <v>3029</v>
      </c>
      <c r="O96" t="s">
        <v>3030</v>
      </c>
      <c r="P96" t="s">
        <v>21</v>
      </c>
      <c r="Q96">
        <v>120.47772277227723</v>
      </c>
      <c r="R96">
        <f ca="1">YEAR(TODAY())-Table1[[#This Row],[Year Built]]</f>
        <v>17</v>
      </c>
      <c r="S96" t="str">
        <f>IF(Table1[[#This Row],[Days on Market]] &lt; 30,"Fast",IF(Table1[[#This Row],[Days on Market]]&lt;= 90,"Average", "Slow"))</f>
        <v>Average</v>
      </c>
      <c r="T96" t="str">
        <f>IF(Table1[[#This Row],[Price2]]&lt;500000,"Affordable",IF(Table1[[#This Row],[Price2]]&lt;1000000,"Mid range","Luxury"))</f>
        <v>Affordable</v>
      </c>
    </row>
    <row r="97" spans="1:20" x14ac:dyDescent="0.35">
      <c r="A97" s="3">
        <v>146864</v>
      </c>
      <c r="B97" s="2" t="s">
        <v>22</v>
      </c>
      <c r="C97">
        <v>34517</v>
      </c>
      <c r="D97" s="2" t="s">
        <v>29</v>
      </c>
      <c r="E97">
        <v>1</v>
      </c>
      <c r="F97">
        <v>4</v>
      </c>
      <c r="G97" s="4">
        <f>VALUE(SUBSTITUTE(SUBSTITUTE(Table1[[#This Row],[Price]],"$",""),",",""))</f>
        <v>146864</v>
      </c>
      <c r="H97" s="1">
        <f>Table1[[#This Row],[Price2]]/Table1[[#This Row],[Area]]</f>
        <v>108.70762398223538</v>
      </c>
      <c r="I97">
        <v>1351</v>
      </c>
      <c r="J97">
        <v>1976</v>
      </c>
      <c r="K97">
        <v>42</v>
      </c>
      <c r="L97" t="s">
        <v>52</v>
      </c>
      <c r="M97" t="s">
        <v>484</v>
      </c>
      <c r="N97" s="2" t="s">
        <v>3035</v>
      </c>
      <c r="O97" t="s">
        <v>3036</v>
      </c>
      <c r="P97" t="s">
        <v>16</v>
      </c>
      <c r="Q97">
        <v>108.70762398223538</v>
      </c>
      <c r="R97">
        <f ca="1">YEAR(TODAY())-Table1[[#This Row],[Year Built]]</f>
        <v>50</v>
      </c>
      <c r="S97" t="str">
        <f>IF(Table1[[#This Row],[Days on Market]] &lt; 30,"Fast",IF(Table1[[#This Row],[Days on Market]]&lt;= 90,"Average", "Slow"))</f>
        <v>Average</v>
      </c>
      <c r="T97" t="str">
        <f>IF(Table1[[#This Row],[Price2]]&lt;500000,"Affordable",IF(Table1[[#This Row],[Price2]]&lt;1000000,"Mid range","Luxury"))</f>
        <v>Affordable</v>
      </c>
    </row>
    <row r="98" spans="1:20" x14ac:dyDescent="0.35">
      <c r="A98" s="3">
        <v>147047</v>
      </c>
      <c r="B98" s="2" t="s">
        <v>34</v>
      </c>
      <c r="C98">
        <v>55113</v>
      </c>
      <c r="D98" s="2" t="s">
        <v>23</v>
      </c>
      <c r="E98">
        <v>1</v>
      </c>
      <c r="F98">
        <v>4</v>
      </c>
      <c r="G98" s="4">
        <f>VALUE(SUBSTITUTE(SUBSTITUTE(Table1[[#This Row],[Price]],"$",""),",",""))</f>
        <v>147047</v>
      </c>
      <c r="H98" s="1">
        <f>Table1[[#This Row],[Price2]]/Table1[[#This Row],[Area]]</f>
        <v>104.73433048433048</v>
      </c>
      <c r="I98">
        <v>1404</v>
      </c>
      <c r="J98">
        <v>1969</v>
      </c>
      <c r="K98">
        <v>12</v>
      </c>
      <c r="L98" t="s">
        <v>19</v>
      </c>
      <c r="M98" t="s">
        <v>1688</v>
      </c>
      <c r="N98" s="2" t="s">
        <v>3031</v>
      </c>
      <c r="O98" t="s">
        <v>3032</v>
      </c>
      <c r="P98" t="s">
        <v>16</v>
      </c>
      <c r="Q98">
        <v>104.73433048433048</v>
      </c>
      <c r="R98">
        <f ca="1">YEAR(TODAY())-Table1[[#This Row],[Year Built]]</f>
        <v>57</v>
      </c>
      <c r="S98" t="str">
        <f>IF(Table1[[#This Row],[Days on Market]] &lt; 30,"Fast",IF(Table1[[#This Row],[Days on Market]]&lt;= 90,"Average", "Slow"))</f>
        <v>Fast</v>
      </c>
      <c r="T98" t="str">
        <f>IF(Table1[[#This Row],[Price2]]&lt;500000,"Affordable",IF(Table1[[#This Row],[Price2]]&lt;1000000,"Mid range","Luxury"))</f>
        <v>Affordable</v>
      </c>
    </row>
    <row r="99" spans="1:20" x14ac:dyDescent="0.35">
      <c r="A99" s="3">
        <v>147111</v>
      </c>
      <c r="B99" s="2" t="s">
        <v>34</v>
      </c>
      <c r="C99">
        <v>64978</v>
      </c>
      <c r="D99" s="2" t="s">
        <v>13</v>
      </c>
      <c r="E99">
        <v>6</v>
      </c>
      <c r="F99">
        <v>2</v>
      </c>
      <c r="G99" s="4">
        <f>VALUE(SUBSTITUTE(SUBSTITUTE(Table1[[#This Row],[Price]],"$",""),",",""))</f>
        <v>147111</v>
      </c>
      <c r="H99" s="1">
        <f>Table1[[#This Row],[Price2]]/Table1[[#This Row],[Area]]</f>
        <v>65.237694013303766</v>
      </c>
      <c r="I99">
        <v>2255</v>
      </c>
      <c r="J99">
        <v>2006</v>
      </c>
      <c r="K99">
        <v>70</v>
      </c>
      <c r="L99" t="s">
        <v>14</v>
      </c>
      <c r="M99" t="s">
        <v>1375</v>
      </c>
      <c r="N99" s="2" t="s">
        <v>3029</v>
      </c>
      <c r="O99" t="s">
        <v>3030</v>
      </c>
      <c r="P99" t="s">
        <v>26</v>
      </c>
      <c r="Q99">
        <v>65.237694013303766</v>
      </c>
      <c r="R99">
        <f ca="1">YEAR(TODAY())-Table1[[#This Row],[Year Built]]</f>
        <v>20</v>
      </c>
      <c r="S99" t="str">
        <f>IF(Table1[[#This Row],[Days on Market]] &lt; 30,"Fast",IF(Table1[[#This Row],[Days on Market]]&lt;= 90,"Average", "Slow"))</f>
        <v>Average</v>
      </c>
      <c r="T99" t="str">
        <f>IF(Table1[[#This Row],[Price2]]&lt;500000,"Affordable",IF(Table1[[#This Row],[Price2]]&lt;1000000,"Mid range","Luxury"))</f>
        <v>Affordable</v>
      </c>
    </row>
    <row r="100" spans="1:20" x14ac:dyDescent="0.35">
      <c r="A100" s="3">
        <v>147625</v>
      </c>
      <c r="B100" s="2" t="s">
        <v>34</v>
      </c>
      <c r="C100">
        <v>82956</v>
      </c>
      <c r="D100" s="2" t="s">
        <v>23</v>
      </c>
      <c r="E100">
        <v>3</v>
      </c>
      <c r="F100">
        <v>1</v>
      </c>
      <c r="G100" s="4">
        <f>VALUE(SUBSTITUTE(SUBSTITUTE(Table1[[#This Row],[Price]],"$",""),",",""))</f>
        <v>147625</v>
      </c>
      <c r="H100" s="1">
        <f>Table1[[#This Row],[Price2]]/Table1[[#This Row],[Area]]</f>
        <v>48.656888595912989</v>
      </c>
      <c r="I100">
        <v>3034</v>
      </c>
      <c r="J100">
        <v>1981</v>
      </c>
      <c r="K100">
        <v>101</v>
      </c>
      <c r="L100" t="s">
        <v>19</v>
      </c>
      <c r="M100" t="s">
        <v>2265</v>
      </c>
      <c r="N100" s="2" t="s">
        <v>3033</v>
      </c>
      <c r="O100" t="s">
        <v>3034</v>
      </c>
      <c r="P100" t="s">
        <v>21</v>
      </c>
      <c r="Q100">
        <v>48.656888595912989</v>
      </c>
      <c r="R100">
        <f ca="1">YEAR(TODAY())-Table1[[#This Row],[Year Built]]</f>
        <v>45</v>
      </c>
      <c r="S100" t="str">
        <f>IF(Table1[[#This Row],[Days on Market]] &lt; 30,"Fast",IF(Table1[[#This Row],[Days on Market]]&lt;= 90,"Average", "Slow"))</f>
        <v>Slow</v>
      </c>
      <c r="T100" t="str">
        <f>IF(Table1[[#This Row],[Price2]]&lt;500000,"Affordable",IF(Table1[[#This Row],[Price2]]&lt;1000000,"Mid range","Luxury"))</f>
        <v>Affordable</v>
      </c>
    </row>
    <row r="101" spans="1:20" x14ac:dyDescent="0.35">
      <c r="A101" s="3">
        <v>148463</v>
      </c>
      <c r="B101" s="2" t="s">
        <v>34</v>
      </c>
      <c r="C101">
        <v>99056</v>
      </c>
      <c r="D101" s="2" t="s">
        <v>23</v>
      </c>
      <c r="E101">
        <v>3</v>
      </c>
      <c r="F101">
        <v>2</v>
      </c>
      <c r="G101" s="4">
        <f>VALUE(SUBSTITUTE(SUBSTITUTE(Table1[[#This Row],[Price]],"$",""),",",""))</f>
        <v>148463</v>
      </c>
      <c r="H101" s="1">
        <f>Table1[[#This Row],[Price2]]/Table1[[#This Row],[Area]]</f>
        <v>41.832347140039445</v>
      </c>
      <c r="I101">
        <v>3549</v>
      </c>
      <c r="J101">
        <v>1962</v>
      </c>
      <c r="K101">
        <v>16</v>
      </c>
      <c r="L101" t="s">
        <v>19</v>
      </c>
      <c r="M101" t="s">
        <v>251</v>
      </c>
      <c r="N101" s="2" t="s">
        <v>3035</v>
      </c>
      <c r="O101" t="s">
        <v>3036</v>
      </c>
      <c r="P101" t="s">
        <v>26</v>
      </c>
      <c r="Q101">
        <v>41.832347140039445</v>
      </c>
      <c r="R101">
        <f ca="1">YEAR(TODAY())-Table1[[#This Row],[Year Built]]</f>
        <v>64</v>
      </c>
      <c r="S101" t="str">
        <f>IF(Table1[[#This Row],[Days on Market]] &lt; 30,"Fast",IF(Table1[[#This Row],[Days on Market]]&lt;= 90,"Average", "Slow"))</f>
        <v>Fast</v>
      </c>
      <c r="T101" t="str">
        <f>IF(Table1[[#This Row],[Price2]]&lt;500000,"Affordable",IF(Table1[[#This Row],[Price2]]&lt;1000000,"Mid range","Luxury"))</f>
        <v>Affordable</v>
      </c>
    </row>
    <row r="102" spans="1:20" x14ac:dyDescent="0.35">
      <c r="A102" s="3">
        <v>149578</v>
      </c>
      <c r="B102" s="2" t="s">
        <v>34</v>
      </c>
      <c r="C102">
        <v>37799</v>
      </c>
      <c r="D102" s="2" t="s">
        <v>18</v>
      </c>
      <c r="E102">
        <v>3</v>
      </c>
      <c r="F102">
        <v>3</v>
      </c>
      <c r="G102" s="4">
        <f>VALUE(SUBSTITUTE(SUBSTITUTE(Table1[[#This Row],[Price]],"$",""),",",""))</f>
        <v>149578</v>
      </c>
      <c r="H102" s="1">
        <f>Table1[[#This Row],[Price2]]/Table1[[#This Row],[Area]]</f>
        <v>92.847920546244566</v>
      </c>
      <c r="I102">
        <v>1611</v>
      </c>
      <c r="J102">
        <v>1954</v>
      </c>
      <c r="K102">
        <v>120</v>
      </c>
      <c r="L102" t="s">
        <v>52</v>
      </c>
      <c r="M102" t="s">
        <v>2703</v>
      </c>
      <c r="N102" s="2" t="s">
        <v>3035</v>
      </c>
      <c r="O102" t="s">
        <v>3036</v>
      </c>
      <c r="P102" t="s">
        <v>16</v>
      </c>
      <c r="Q102">
        <v>92.847920546244566</v>
      </c>
      <c r="R102">
        <f ca="1">YEAR(TODAY())-Table1[[#This Row],[Year Built]]</f>
        <v>72</v>
      </c>
      <c r="S102" t="str">
        <f>IF(Table1[[#This Row],[Days on Market]] &lt; 30,"Fast",IF(Table1[[#This Row],[Days on Market]]&lt;= 90,"Average", "Slow"))</f>
        <v>Slow</v>
      </c>
      <c r="T102" t="str">
        <f>IF(Table1[[#This Row],[Price2]]&lt;500000,"Affordable",IF(Table1[[#This Row],[Price2]]&lt;1000000,"Mid range","Luxury"))</f>
        <v>Affordable</v>
      </c>
    </row>
    <row r="103" spans="1:20" x14ac:dyDescent="0.35">
      <c r="A103" s="3">
        <v>151541</v>
      </c>
      <c r="B103" s="2" t="s">
        <v>12</v>
      </c>
      <c r="C103">
        <v>35797</v>
      </c>
      <c r="D103" s="2" t="s">
        <v>13</v>
      </c>
      <c r="E103">
        <v>5</v>
      </c>
      <c r="F103">
        <v>1</v>
      </c>
      <c r="G103" s="4">
        <f>VALUE(SUBSTITUTE(SUBSTITUTE(Table1[[#This Row],[Price]],"$",""),",",""))</f>
        <v>151541</v>
      </c>
      <c r="H103" s="1">
        <f>Table1[[#This Row],[Price2]]/Table1[[#This Row],[Area]]</f>
        <v>91.015615615615616</v>
      </c>
      <c r="I103">
        <v>1665</v>
      </c>
      <c r="J103">
        <v>2010</v>
      </c>
      <c r="K103">
        <v>33</v>
      </c>
      <c r="L103" t="s">
        <v>19</v>
      </c>
      <c r="M103" t="s">
        <v>546</v>
      </c>
      <c r="N103" s="2" t="s">
        <v>3029</v>
      </c>
      <c r="O103" t="s">
        <v>3030</v>
      </c>
      <c r="P103" t="s">
        <v>16</v>
      </c>
      <c r="Q103">
        <v>91.015615615615616</v>
      </c>
      <c r="R103">
        <f ca="1">YEAR(TODAY())-Table1[[#This Row],[Year Built]]</f>
        <v>16</v>
      </c>
      <c r="S103" t="str">
        <f>IF(Table1[[#This Row],[Days on Market]] &lt; 30,"Fast",IF(Table1[[#This Row],[Days on Market]]&lt;= 90,"Average", "Slow"))</f>
        <v>Average</v>
      </c>
      <c r="T103" t="str">
        <f>IF(Table1[[#This Row],[Price2]]&lt;500000,"Affordable",IF(Table1[[#This Row],[Price2]]&lt;1000000,"Mid range","Luxury"))</f>
        <v>Affordable</v>
      </c>
    </row>
    <row r="104" spans="1:20" x14ac:dyDescent="0.35">
      <c r="A104" s="3">
        <v>151730</v>
      </c>
      <c r="B104" s="2" t="s">
        <v>12</v>
      </c>
      <c r="C104">
        <v>94807</v>
      </c>
      <c r="D104" s="2" t="s">
        <v>35</v>
      </c>
      <c r="E104">
        <v>3</v>
      </c>
      <c r="F104">
        <v>1</v>
      </c>
      <c r="G104" s="4">
        <f>VALUE(SUBSTITUTE(SUBSTITUTE(Table1[[#This Row],[Price]],"$",""),",",""))</f>
        <v>151730</v>
      </c>
      <c r="H104" s="1">
        <f>Table1[[#This Row],[Price2]]/Table1[[#This Row],[Area]]</f>
        <v>221.82748538011697</v>
      </c>
      <c r="I104">
        <v>684</v>
      </c>
      <c r="J104">
        <v>1985</v>
      </c>
      <c r="K104">
        <v>72</v>
      </c>
      <c r="L104" t="s">
        <v>14</v>
      </c>
      <c r="M104" t="s">
        <v>1355</v>
      </c>
      <c r="N104" s="2" t="s">
        <v>3035</v>
      </c>
      <c r="O104" t="s">
        <v>3036</v>
      </c>
      <c r="P104" t="s">
        <v>26</v>
      </c>
      <c r="Q104">
        <v>221.82748538011697</v>
      </c>
      <c r="R104">
        <f ca="1">YEAR(TODAY())-Table1[[#This Row],[Year Built]]</f>
        <v>41</v>
      </c>
      <c r="S104" t="str">
        <f>IF(Table1[[#This Row],[Days on Market]] &lt; 30,"Fast",IF(Table1[[#This Row],[Days on Market]]&lt;= 90,"Average", "Slow"))</f>
        <v>Average</v>
      </c>
      <c r="T104" t="str">
        <f>IF(Table1[[#This Row],[Price2]]&lt;500000,"Affordable",IF(Table1[[#This Row],[Price2]]&lt;1000000,"Mid range","Luxury"))</f>
        <v>Affordable</v>
      </c>
    </row>
    <row r="105" spans="1:20" x14ac:dyDescent="0.35">
      <c r="A105" s="3">
        <v>151810</v>
      </c>
      <c r="B105" s="2" t="s">
        <v>12</v>
      </c>
      <c r="C105">
        <v>91142</v>
      </c>
      <c r="D105" s="2" t="s">
        <v>18</v>
      </c>
      <c r="E105">
        <v>2</v>
      </c>
      <c r="F105">
        <v>1</v>
      </c>
      <c r="G105" s="4">
        <f>VALUE(SUBSTITUTE(SUBSTITUTE(Table1[[#This Row],[Price]],"$",""),",",""))</f>
        <v>151810</v>
      </c>
      <c r="H105" s="1">
        <f>Table1[[#This Row],[Price2]]/Table1[[#This Row],[Area]]</f>
        <v>104.12208504801097</v>
      </c>
      <c r="I105">
        <v>1458</v>
      </c>
      <c r="J105">
        <v>1964</v>
      </c>
      <c r="K105">
        <v>47</v>
      </c>
      <c r="L105" t="s">
        <v>14</v>
      </c>
      <c r="M105" t="s">
        <v>1004</v>
      </c>
      <c r="N105" s="2" t="s">
        <v>3035</v>
      </c>
      <c r="O105" t="s">
        <v>3036</v>
      </c>
      <c r="P105" t="s">
        <v>21</v>
      </c>
      <c r="Q105">
        <v>104.12208504801097</v>
      </c>
      <c r="R105">
        <f ca="1">YEAR(TODAY())-Table1[[#This Row],[Year Built]]</f>
        <v>62</v>
      </c>
      <c r="S105" t="str">
        <f>IF(Table1[[#This Row],[Days on Market]] &lt; 30,"Fast",IF(Table1[[#This Row],[Days on Market]]&lt;= 90,"Average", "Slow"))</f>
        <v>Average</v>
      </c>
      <c r="T105" t="str">
        <f>IF(Table1[[#This Row],[Price2]]&lt;500000,"Affordable",IF(Table1[[#This Row],[Price2]]&lt;1000000,"Mid range","Luxury"))</f>
        <v>Affordable</v>
      </c>
    </row>
    <row r="106" spans="1:20" x14ac:dyDescent="0.35">
      <c r="A106" s="3">
        <v>151954</v>
      </c>
      <c r="B106" s="2" t="s">
        <v>22</v>
      </c>
      <c r="C106">
        <v>19818</v>
      </c>
      <c r="D106" s="2" t="s">
        <v>23</v>
      </c>
      <c r="E106">
        <v>5</v>
      </c>
      <c r="F106">
        <v>3</v>
      </c>
      <c r="G106" s="4">
        <f>VALUE(SUBSTITUTE(SUBSTITUTE(Table1[[#This Row],[Price]],"$",""),",",""))</f>
        <v>151954</v>
      </c>
      <c r="H106" s="1">
        <f>Table1[[#This Row],[Price2]]/Table1[[#This Row],[Area]]</f>
        <v>73.266152362584378</v>
      </c>
      <c r="I106">
        <v>2074</v>
      </c>
      <c r="J106">
        <v>1995</v>
      </c>
      <c r="K106">
        <v>13</v>
      </c>
      <c r="L106" t="s">
        <v>19</v>
      </c>
      <c r="M106" t="s">
        <v>1116</v>
      </c>
      <c r="N106" s="2" t="s">
        <v>3035</v>
      </c>
      <c r="O106" t="s">
        <v>3036</v>
      </c>
      <c r="P106" t="s">
        <v>26</v>
      </c>
      <c r="Q106">
        <v>73.266152362584378</v>
      </c>
      <c r="R106">
        <f ca="1">YEAR(TODAY())-Table1[[#This Row],[Year Built]]</f>
        <v>31</v>
      </c>
      <c r="S106" t="str">
        <f>IF(Table1[[#This Row],[Days on Market]] &lt; 30,"Fast",IF(Table1[[#This Row],[Days on Market]]&lt;= 90,"Average", "Slow"))</f>
        <v>Fast</v>
      </c>
      <c r="T106" t="str">
        <f>IF(Table1[[#This Row],[Price2]]&lt;500000,"Affordable",IF(Table1[[#This Row],[Price2]]&lt;1000000,"Mid range","Luxury"))</f>
        <v>Affordable</v>
      </c>
    </row>
    <row r="107" spans="1:20" x14ac:dyDescent="0.35">
      <c r="A107" s="3">
        <v>152511</v>
      </c>
      <c r="B107" s="2" t="s">
        <v>27</v>
      </c>
      <c r="C107">
        <v>28325</v>
      </c>
      <c r="D107" s="2" t="s">
        <v>18</v>
      </c>
      <c r="E107">
        <v>5</v>
      </c>
      <c r="F107">
        <v>3</v>
      </c>
      <c r="G107" s="4">
        <f>VALUE(SUBSTITUTE(SUBSTITUTE(Table1[[#This Row],[Price]],"$",""),",",""))</f>
        <v>152511</v>
      </c>
      <c r="H107" s="1">
        <f>Table1[[#This Row],[Price2]]/Table1[[#This Row],[Area]]</f>
        <v>44.078323699421965</v>
      </c>
      <c r="I107">
        <v>3460</v>
      </c>
      <c r="J107">
        <v>2014</v>
      </c>
      <c r="K107">
        <v>40</v>
      </c>
      <c r="L107" t="s">
        <v>52</v>
      </c>
      <c r="M107" t="s">
        <v>815</v>
      </c>
      <c r="N107" s="2" t="s">
        <v>3033</v>
      </c>
      <c r="O107" t="s">
        <v>3034</v>
      </c>
      <c r="P107" t="s">
        <v>16</v>
      </c>
      <c r="Q107">
        <v>44.078323699421965</v>
      </c>
      <c r="R107">
        <f ca="1">YEAR(TODAY())-Table1[[#This Row],[Year Built]]</f>
        <v>12</v>
      </c>
      <c r="S107" t="str">
        <f>IF(Table1[[#This Row],[Days on Market]] &lt; 30,"Fast",IF(Table1[[#This Row],[Days on Market]]&lt;= 90,"Average", "Slow"))</f>
        <v>Average</v>
      </c>
      <c r="T107" t="str">
        <f>IF(Table1[[#This Row],[Price2]]&lt;500000,"Affordable",IF(Table1[[#This Row],[Price2]]&lt;1000000,"Mid range","Luxury"))</f>
        <v>Affordable</v>
      </c>
    </row>
    <row r="108" spans="1:20" x14ac:dyDescent="0.35">
      <c r="A108" s="3">
        <v>153639</v>
      </c>
      <c r="B108" s="2" t="s">
        <v>34</v>
      </c>
      <c r="C108">
        <v>37560</v>
      </c>
      <c r="D108" s="2" t="s">
        <v>18</v>
      </c>
      <c r="E108">
        <v>5</v>
      </c>
      <c r="F108">
        <v>2</v>
      </c>
      <c r="G108" s="4">
        <f>VALUE(SUBSTITUTE(SUBSTITUTE(Table1[[#This Row],[Price]],"$",""),",",""))</f>
        <v>153639</v>
      </c>
      <c r="H108" s="1">
        <f>Table1[[#This Row],[Price2]]/Table1[[#This Row],[Area]]</f>
        <v>138.53832281334536</v>
      </c>
      <c r="I108">
        <v>1109</v>
      </c>
      <c r="J108">
        <v>1967</v>
      </c>
      <c r="K108">
        <v>30</v>
      </c>
      <c r="L108" t="s">
        <v>52</v>
      </c>
      <c r="M108" t="s">
        <v>2177</v>
      </c>
      <c r="N108" s="2" t="s">
        <v>3031</v>
      </c>
      <c r="O108" t="s">
        <v>3032</v>
      </c>
      <c r="P108" t="s">
        <v>16</v>
      </c>
      <c r="Q108">
        <v>138.53832281334536</v>
      </c>
      <c r="R108">
        <f ca="1">YEAR(TODAY())-Table1[[#This Row],[Year Built]]</f>
        <v>59</v>
      </c>
      <c r="S108" t="str">
        <f>IF(Table1[[#This Row],[Days on Market]] &lt; 30,"Fast",IF(Table1[[#This Row],[Days on Market]]&lt;= 90,"Average", "Slow"))</f>
        <v>Average</v>
      </c>
      <c r="T108" t="str">
        <f>IF(Table1[[#This Row],[Price2]]&lt;500000,"Affordable",IF(Table1[[#This Row],[Price2]]&lt;1000000,"Mid range","Luxury"))</f>
        <v>Affordable</v>
      </c>
    </row>
    <row r="109" spans="1:20" x14ac:dyDescent="0.35">
      <c r="A109" s="3">
        <v>153968</v>
      </c>
      <c r="B109" s="2" t="s">
        <v>17</v>
      </c>
      <c r="C109">
        <v>92018</v>
      </c>
      <c r="D109" s="2" t="s">
        <v>29</v>
      </c>
      <c r="E109">
        <v>4</v>
      </c>
      <c r="F109">
        <v>3</v>
      </c>
      <c r="G109" s="4">
        <f>VALUE(SUBSTITUTE(SUBSTITUTE(Table1[[#This Row],[Price]],"$",""),",",""))</f>
        <v>153968</v>
      </c>
      <c r="H109" s="1">
        <f>Table1[[#This Row],[Price2]]/Table1[[#This Row],[Area]]</f>
        <v>45.019883040935675</v>
      </c>
      <c r="I109">
        <v>3420</v>
      </c>
      <c r="J109">
        <v>1973</v>
      </c>
      <c r="K109">
        <v>50</v>
      </c>
      <c r="L109" t="s">
        <v>40</v>
      </c>
      <c r="M109" t="s">
        <v>2273</v>
      </c>
      <c r="N109" s="2" t="s">
        <v>3029</v>
      </c>
      <c r="O109" t="s">
        <v>3030</v>
      </c>
      <c r="P109" t="s">
        <v>21</v>
      </c>
      <c r="Q109">
        <v>45.019883040935675</v>
      </c>
      <c r="R109">
        <f ca="1">YEAR(TODAY())-Table1[[#This Row],[Year Built]]</f>
        <v>53</v>
      </c>
      <c r="S109" t="str">
        <f>IF(Table1[[#This Row],[Days on Market]] &lt; 30,"Fast",IF(Table1[[#This Row],[Days on Market]]&lt;= 90,"Average", "Slow"))</f>
        <v>Average</v>
      </c>
      <c r="T109" t="str">
        <f>IF(Table1[[#This Row],[Price2]]&lt;500000,"Affordable",IF(Table1[[#This Row],[Price2]]&lt;1000000,"Mid range","Luxury"))</f>
        <v>Affordable</v>
      </c>
    </row>
    <row r="110" spans="1:20" x14ac:dyDescent="0.35">
      <c r="A110" s="3">
        <v>154069</v>
      </c>
      <c r="B110" s="2" t="s">
        <v>12</v>
      </c>
      <c r="C110">
        <v>22902</v>
      </c>
      <c r="D110" s="2" t="s">
        <v>29</v>
      </c>
      <c r="E110">
        <v>4</v>
      </c>
      <c r="F110">
        <v>1</v>
      </c>
      <c r="G110" s="4">
        <f>VALUE(SUBSTITUTE(SUBSTITUTE(Table1[[#This Row],[Price]],"$",""),",",""))</f>
        <v>154069</v>
      </c>
      <c r="H110" s="1">
        <f>Table1[[#This Row],[Price2]]/Table1[[#This Row],[Area]]</f>
        <v>68.14197257850509</v>
      </c>
      <c r="I110">
        <v>2261</v>
      </c>
      <c r="J110">
        <v>2022</v>
      </c>
      <c r="K110">
        <v>19</v>
      </c>
      <c r="L110" t="s">
        <v>19</v>
      </c>
      <c r="M110" t="s">
        <v>2469</v>
      </c>
      <c r="N110" s="2" t="s">
        <v>3035</v>
      </c>
      <c r="O110" t="s">
        <v>3036</v>
      </c>
      <c r="P110" t="s">
        <v>26</v>
      </c>
      <c r="Q110">
        <v>68.14197257850509</v>
      </c>
      <c r="R110">
        <f ca="1">YEAR(TODAY())-Table1[[#This Row],[Year Built]]</f>
        <v>4</v>
      </c>
      <c r="S110" t="str">
        <f>IF(Table1[[#This Row],[Days on Market]] &lt; 30,"Fast",IF(Table1[[#This Row],[Days on Market]]&lt;= 90,"Average", "Slow"))</f>
        <v>Fast</v>
      </c>
      <c r="T110" t="str">
        <f>IF(Table1[[#This Row],[Price2]]&lt;500000,"Affordable",IF(Table1[[#This Row],[Price2]]&lt;1000000,"Mid range","Luxury"))</f>
        <v>Affordable</v>
      </c>
    </row>
    <row r="111" spans="1:20" x14ac:dyDescent="0.35">
      <c r="A111" s="3">
        <v>154706</v>
      </c>
      <c r="B111" s="2" t="s">
        <v>34</v>
      </c>
      <c r="C111">
        <v>72148</v>
      </c>
      <c r="D111" s="2" t="s">
        <v>23</v>
      </c>
      <c r="E111">
        <v>6</v>
      </c>
      <c r="F111">
        <v>2</v>
      </c>
      <c r="G111" s="4">
        <f>VALUE(SUBSTITUTE(SUBSTITUTE(Table1[[#This Row],[Price]],"$",""),",",""))</f>
        <v>154706</v>
      </c>
      <c r="H111" s="1">
        <f>Table1[[#This Row],[Price2]]/Table1[[#This Row],[Area]]</f>
        <v>46.923263572945103</v>
      </c>
      <c r="I111">
        <v>3297</v>
      </c>
      <c r="J111">
        <v>2009</v>
      </c>
      <c r="K111">
        <v>50</v>
      </c>
      <c r="L111" t="s">
        <v>40</v>
      </c>
      <c r="M111" t="s">
        <v>2071</v>
      </c>
      <c r="N111" s="2" t="s">
        <v>3033</v>
      </c>
      <c r="O111" t="s">
        <v>3034</v>
      </c>
      <c r="P111" t="s">
        <v>21</v>
      </c>
      <c r="Q111">
        <v>46.923263572945103</v>
      </c>
      <c r="R111">
        <f ca="1">YEAR(TODAY())-Table1[[#This Row],[Year Built]]</f>
        <v>17</v>
      </c>
      <c r="S111" t="str">
        <f>IF(Table1[[#This Row],[Days on Market]] &lt; 30,"Fast",IF(Table1[[#This Row],[Days on Market]]&lt;= 90,"Average", "Slow"))</f>
        <v>Average</v>
      </c>
      <c r="T111" t="str">
        <f>IF(Table1[[#This Row],[Price2]]&lt;500000,"Affordable",IF(Table1[[#This Row],[Price2]]&lt;1000000,"Mid range","Luxury"))</f>
        <v>Affordable</v>
      </c>
    </row>
    <row r="112" spans="1:20" x14ac:dyDescent="0.35">
      <c r="A112" s="3">
        <v>154749</v>
      </c>
      <c r="B112" s="2" t="s">
        <v>27</v>
      </c>
      <c r="C112">
        <v>35075</v>
      </c>
      <c r="D112" s="2" t="s">
        <v>29</v>
      </c>
      <c r="E112">
        <v>1</v>
      </c>
      <c r="F112">
        <v>1</v>
      </c>
      <c r="G112" s="4">
        <f>VALUE(SUBSTITUTE(SUBSTITUTE(Table1[[#This Row],[Price]],"$",""),",",""))</f>
        <v>154749</v>
      </c>
      <c r="H112" s="1">
        <f>Table1[[#This Row],[Price2]]/Table1[[#This Row],[Area]]</f>
        <v>39.009074867658178</v>
      </c>
      <c r="I112">
        <v>3967</v>
      </c>
      <c r="J112">
        <v>1962</v>
      </c>
      <c r="K112">
        <v>100</v>
      </c>
      <c r="L112" t="s">
        <v>30</v>
      </c>
      <c r="M112" t="s">
        <v>2214</v>
      </c>
      <c r="N112" s="2" t="s">
        <v>3035</v>
      </c>
      <c r="O112" t="s">
        <v>3036</v>
      </c>
      <c r="P112" t="s">
        <v>26</v>
      </c>
      <c r="Q112">
        <v>39.009074867658178</v>
      </c>
      <c r="R112">
        <f ca="1">YEAR(TODAY())-Table1[[#This Row],[Year Built]]</f>
        <v>64</v>
      </c>
      <c r="S112" t="str">
        <f>IF(Table1[[#This Row],[Days on Market]] &lt; 30,"Fast",IF(Table1[[#This Row],[Days on Market]]&lt;= 90,"Average", "Slow"))</f>
        <v>Slow</v>
      </c>
      <c r="T112" t="str">
        <f>IF(Table1[[#This Row],[Price2]]&lt;500000,"Affordable",IF(Table1[[#This Row],[Price2]]&lt;1000000,"Mid range","Luxury"))</f>
        <v>Affordable</v>
      </c>
    </row>
    <row r="113" spans="1:20" x14ac:dyDescent="0.35">
      <c r="A113" s="3">
        <v>155283</v>
      </c>
      <c r="B113" s="2" t="s">
        <v>17</v>
      </c>
      <c r="C113">
        <v>18979</v>
      </c>
      <c r="D113" s="2" t="s">
        <v>35</v>
      </c>
      <c r="E113">
        <v>6</v>
      </c>
      <c r="F113">
        <v>1</v>
      </c>
      <c r="G113" s="4">
        <f>VALUE(SUBSTITUTE(SUBSTITUTE(Table1[[#This Row],[Price]],"$",""),",",""))</f>
        <v>155283</v>
      </c>
      <c r="H113" s="1">
        <f>Table1[[#This Row],[Price2]]/Table1[[#This Row],[Area]]</f>
        <v>63.329119086460032</v>
      </c>
      <c r="I113">
        <v>2452</v>
      </c>
      <c r="J113">
        <v>2016</v>
      </c>
      <c r="K113">
        <v>87</v>
      </c>
      <c r="L113" t="s">
        <v>14</v>
      </c>
      <c r="M113" t="s">
        <v>491</v>
      </c>
      <c r="N113" s="2" t="s">
        <v>3035</v>
      </c>
      <c r="O113" t="s">
        <v>3036</v>
      </c>
      <c r="P113" t="s">
        <v>16</v>
      </c>
      <c r="Q113">
        <v>63.329119086460032</v>
      </c>
      <c r="R113">
        <f ca="1">YEAR(TODAY())-Table1[[#This Row],[Year Built]]</f>
        <v>10</v>
      </c>
      <c r="S113" t="str">
        <f>IF(Table1[[#This Row],[Days on Market]] &lt; 30,"Fast",IF(Table1[[#This Row],[Days on Market]]&lt;= 90,"Average", "Slow"))</f>
        <v>Average</v>
      </c>
      <c r="T113" t="str">
        <f>IF(Table1[[#This Row],[Price2]]&lt;500000,"Affordable",IF(Table1[[#This Row],[Price2]]&lt;1000000,"Mid range","Luxury"))</f>
        <v>Affordable</v>
      </c>
    </row>
    <row r="114" spans="1:20" x14ac:dyDescent="0.35">
      <c r="A114" s="3">
        <v>156591</v>
      </c>
      <c r="B114" s="2" t="s">
        <v>22</v>
      </c>
      <c r="C114">
        <v>20843</v>
      </c>
      <c r="D114" s="2" t="s">
        <v>13</v>
      </c>
      <c r="E114">
        <v>6</v>
      </c>
      <c r="F114">
        <v>4</v>
      </c>
      <c r="G114" s="4">
        <f>VALUE(SUBSTITUTE(SUBSTITUTE(Table1[[#This Row],[Price]],"$",""),",",""))</f>
        <v>156591</v>
      </c>
      <c r="H114" s="1">
        <f>Table1[[#This Row],[Price2]]/Table1[[#This Row],[Area]]</f>
        <v>77.443620178041542</v>
      </c>
      <c r="I114">
        <v>2022</v>
      </c>
      <c r="J114">
        <v>1965</v>
      </c>
      <c r="K114">
        <v>22</v>
      </c>
      <c r="L114" t="s">
        <v>19</v>
      </c>
      <c r="M114" t="s">
        <v>2907</v>
      </c>
      <c r="N114" s="2" t="s">
        <v>3035</v>
      </c>
      <c r="O114" t="s">
        <v>3036</v>
      </c>
      <c r="P114" t="s">
        <v>26</v>
      </c>
      <c r="Q114">
        <v>77.443620178041542</v>
      </c>
      <c r="R114">
        <f ca="1">YEAR(TODAY())-Table1[[#This Row],[Year Built]]</f>
        <v>61</v>
      </c>
      <c r="S114" t="str">
        <f>IF(Table1[[#This Row],[Days on Market]] &lt; 30,"Fast",IF(Table1[[#This Row],[Days on Market]]&lt;= 90,"Average", "Slow"))</f>
        <v>Fast</v>
      </c>
      <c r="T114" t="str">
        <f>IF(Table1[[#This Row],[Price2]]&lt;500000,"Affordable",IF(Table1[[#This Row],[Price2]]&lt;1000000,"Mid range","Luxury"))</f>
        <v>Affordable</v>
      </c>
    </row>
    <row r="115" spans="1:20" x14ac:dyDescent="0.35">
      <c r="A115" s="3">
        <v>156731</v>
      </c>
      <c r="B115" s="2" t="s">
        <v>27</v>
      </c>
      <c r="C115">
        <v>44822</v>
      </c>
      <c r="D115" s="2" t="s">
        <v>29</v>
      </c>
      <c r="E115">
        <v>2</v>
      </c>
      <c r="F115">
        <v>2</v>
      </c>
      <c r="G115" s="4">
        <f>VALUE(SUBSTITUTE(SUBSTITUTE(Table1[[#This Row],[Price]],"$",""),",",""))</f>
        <v>156731</v>
      </c>
      <c r="H115" s="1">
        <f>Table1[[#This Row],[Price2]]/Table1[[#This Row],[Area]]</f>
        <v>83.723824786324784</v>
      </c>
      <c r="I115">
        <v>1872</v>
      </c>
      <c r="J115">
        <v>1980</v>
      </c>
      <c r="K115">
        <v>32</v>
      </c>
      <c r="L115" t="s">
        <v>19</v>
      </c>
      <c r="M115" t="s">
        <v>2400</v>
      </c>
      <c r="N115" s="2" t="s">
        <v>3027</v>
      </c>
      <c r="O115" t="s">
        <v>3028</v>
      </c>
      <c r="P115" t="s">
        <v>21</v>
      </c>
      <c r="Q115">
        <v>83.723824786324784</v>
      </c>
      <c r="R115">
        <f ca="1">YEAR(TODAY())-Table1[[#This Row],[Year Built]]</f>
        <v>46</v>
      </c>
      <c r="S115" t="str">
        <f>IF(Table1[[#This Row],[Days on Market]] &lt; 30,"Fast",IF(Table1[[#This Row],[Days on Market]]&lt;= 90,"Average", "Slow"))</f>
        <v>Average</v>
      </c>
      <c r="T115" t="str">
        <f>IF(Table1[[#This Row],[Price2]]&lt;500000,"Affordable",IF(Table1[[#This Row],[Price2]]&lt;1000000,"Mid range","Luxury"))</f>
        <v>Affordable</v>
      </c>
    </row>
    <row r="116" spans="1:20" x14ac:dyDescent="0.35">
      <c r="A116" s="3">
        <v>157609</v>
      </c>
      <c r="B116" s="2" t="s">
        <v>27</v>
      </c>
      <c r="C116">
        <v>89342</v>
      </c>
      <c r="D116" s="2" t="s">
        <v>13</v>
      </c>
      <c r="E116">
        <v>3</v>
      </c>
      <c r="F116">
        <v>2</v>
      </c>
      <c r="G116" s="4">
        <f>VALUE(SUBSTITUTE(SUBSTITUTE(Table1[[#This Row],[Price]],"$",""),",",""))</f>
        <v>157609</v>
      </c>
      <c r="H116" s="1">
        <f>Table1[[#This Row],[Price2]]/Table1[[#This Row],[Area]]</f>
        <v>143.28090909090909</v>
      </c>
      <c r="I116">
        <v>1100</v>
      </c>
      <c r="J116">
        <v>2019</v>
      </c>
      <c r="K116">
        <v>11</v>
      </c>
      <c r="L116" t="s">
        <v>30</v>
      </c>
      <c r="M116" t="s">
        <v>259</v>
      </c>
      <c r="N116" s="2" t="s">
        <v>3031</v>
      </c>
      <c r="O116" t="s">
        <v>3032</v>
      </c>
      <c r="P116" t="s">
        <v>21</v>
      </c>
      <c r="Q116">
        <v>143.28090909090909</v>
      </c>
      <c r="R116">
        <f ca="1">YEAR(TODAY())-Table1[[#This Row],[Year Built]]</f>
        <v>7</v>
      </c>
      <c r="S116" t="str">
        <f>IF(Table1[[#This Row],[Days on Market]] &lt; 30,"Fast",IF(Table1[[#This Row],[Days on Market]]&lt;= 90,"Average", "Slow"))</f>
        <v>Fast</v>
      </c>
      <c r="T116" t="str">
        <f>IF(Table1[[#This Row],[Price2]]&lt;500000,"Affordable",IF(Table1[[#This Row],[Price2]]&lt;1000000,"Mid range","Luxury"))</f>
        <v>Affordable</v>
      </c>
    </row>
    <row r="117" spans="1:20" x14ac:dyDescent="0.35">
      <c r="A117" s="3">
        <v>157884</v>
      </c>
      <c r="B117" s="2" t="s">
        <v>27</v>
      </c>
      <c r="C117">
        <v>94630</v>
      </c>
      <c r="D117" s="2" t="s">
        <v>23</v>
      </c>
      <c r="E117">
        <v>3</v>
      </c>
      <c r="F117">
        <v>4</v>
      </c>
      <c r="G117" s="4">
        <f>VALUE(SUBSTITUTE(SUBSTITUTE(Table1[[#This Row],[Price]],"$",""),",",""))</f>
        <v>157884</v>
      </c>
      <c r="H117" s="1">
        <f>Table1[[#This Row],[Price2]]/Table1[[#This Row],[Area]]</f>
        <v>100.11667723525682</v>
      </c>
      <c r="I117">
        <v>1577</v>
      </c>
      <c r="J117">
        <v>1965</v>
      </c>
      <c r="K117">
        <v>39</v>
      </c>
      <c r="L117" t="s">
        <v>30</v>
      </c>
      <c r="M117" t="s">
        <v>247</v>
      </c>
      <c r="N117" s="2" t="s">
        <v>3029</v>
      </c>
      <c r="O117" t="s">
        <v>3030</v>
      </c>
      <c r="P117" t="s">
        <v>21</v>
      </c>
      <c r="Q117">
        <v>100.11667723525682</v>
      </c>
      <c r="R117">
        <f ca="1">YEAR(TODAY())-Table1[[#This Row],[Year Built]]</f>
        <v>61</v>
      </c>
      <c r="S117" t="str">
        <f>IF(Table1[[#This Row],[Days on Market]] &lt; 30,"Fast",IF(Table1[[#This Row],[Days on Market]]&lt;= 90,"Average", "Slow"))</f>
        <v>Average</v>
      </c>
      <c r="T117" t="str">
        <f>IF(Table1[[#This Row],[Price2]]&lt;500000,"Affordable",IF(Table1[[#This Row],[Price2]]&lt;1000000,"Mid range","Luxury"))</f>
        <v>Affordable</v>
      </c>
    </row>
    <row r="118" spans="1:20" x14ac:dyDescent="0.35">
      <c r="A118" s="3">
        <v>157925</v>
      </c>
      <c r="B118" s="2" t="s">
        <v>27</v>
      </c>
      <c r="C118">
        <v>13121</v>
      </c>
      <c r="D118" s="2" t="s">
        <v>18</v>
      </c>
      <c r="E118">
        <v>6</v>
      </c>
      <c r="F118">
        <v>1</v>
      </c>
      <c r="G118" s="4">
        <f>VALUE(SUBSTITUTE(SUBSTITUTE(Table1[[#This Row],[Price]],"$",""),",",""))</f>
        <v>157925</v>
      </c>
      <c r="H118" s="1">
        <f>Table1[[#This Row],[Price2]]/Table1[[#This Row],[Area]]</f>
        <v>47.029481834425255</v>
      </c>
      <c r="I118">
        <v>3358</v>
      </c>
      <c r="J118">
        <v>1991</v>
      </c>
      <c r="K118">
        <v>39</v>
      </c>
      <c r="L118" t="s">
        <v>19</v>
      </c>
      <c r="M118" t="s">
        <v>2626</v>
      </c>
      <c r="N118" s="2" t="s">
        <v>3029</v>
      </c>
      <c r="O118" t="s">
        <v>3030</v>
      </c>
      <c r="P118" t="s">
        <v>16</v>
      </c>
      <c r="Q118">
        <v>47.029481834425255</v>
      </c>
      <c r="R118">
        <f ca="1">YEAR(TODAY())-Table1[[#This Row],[Year Built]]</f>
        <v>35</v>
      </c>
      <c r="S118" t="str">
        <f>IF(Table1[[#This Row],[Days on Market]] &lt; 30,"Fast",IF(Table1[[#This Row],[Days on Market]]&lt;= 90,"Average", "Slow"))</f>
        <v>Average</v>
      </c>
      <c r="T118" t="str">
        <f>IF(Table1[[#This Row],[Price2]]&lt;500000,"Affordable",IF(Table1[[#This Row],[Price2]]&lt;1000000,"Mid range","Luxury"))</f>
        <v>Affordable</v>
      </c>
    </row>
    <row r="119" spans="1:20" x14ac:dyDescent="0.35">
      <c r="A119" s="3">
        <v>158429</v>
      </c>
      <c r="B119" s="2" t="s">
        <v>17</v>
      </c>
      <c r="C119">
        <v>51176</v>
      </c>
      <c r="D119" s="2" t="s">
        <v>35</v>
      </c>
      <c r="E119">
        <v>3</v>
      </c>
      <c r="F119">
        <v>3</v>
      </c>
      <c r="G119" s="4">
        <f>VALUE(SUBSTITUTE(SUBSTITUTE(Table1[[#This Row],[Price]],"$",""),",",""))</f>
        <v>158429</v>
      </c>
      <c r="H119" s="1">
        <f>Table1[[#This Row],[Price2]]/Table1[[#This Row],[Area]]</f>
        <v>52.809666666666665</v>
      </c>
      <c r="I119">
        <v>3000</v>
      </c>
      <c r="J119">
        <v>1950</v>
      </c>
      <c r="K119">
        <v>84</v>
      </c>
      <c r="L119" t="s">
        <v>19</v>
      </c>
      <c r="M119" t="s">
        <v>2975</v>
      </c>
      <c r="N119" s="2" t="s">
        <v>3027</v>
      </c>
      <c r="O119" t="s">
        <v>3028</v>
      </c>
      <c r="P119" t="s">
        <v>21</v>
      </c>
      <c r="Q119">
        <v>52.809666666666665</v>
      </c>
      <c r="R119">
        <f ca="1">YEAR(TODAY())-Table1[[#This Row],[Year Built]]</f>
        <v>76</v>
      </c>
      <c r="S119" t="str">
        <f>IF(Table1[[#This Row],[Days on Market]] &lt; 30,"Fast",IF(Table1[[#This Row],[Days on Market]]&lt;= 90,"Average", "Slow"))</f>
        <v>Average</v>
      </c>
      <c r="T119" t="str">
        <f>IF(Table1[[#This Row],[Price2]]&lt;500000,"Affordable",IF(Table1[[#This Row],[Price2]]&lt;1000000,"Mid range","Luxury"))</f>
        <v>Affordable</v>
      </c>
    </row>
    <row r="120" spans="1:20" x14ac:dyDescent="0.35">
      <c r="A120" s="3">
        <v>159682</v>
      </c>
      <c r="B120" s="2" t="s">
        <v>22</v>
      </c>
      <c r="C120">
        <v>63062</v>
      </c>
      <c r="D120" s="2" t="s">
        <v>13</v>
      </c>
      <c r="E120">
        <v>3</v>
      </c>
      <c r="F120">
        <v>1</v>
      </c>
      <c r="G120" s="4">
        <f>VALUE(SUBSTITUTE(SUBSTITUTE(Table1[[#This Row],[Price]],"$",""),",",""))</f>
        <v>159682</v>
      </c>
      <c r="H120" s="1">
        <f>Table1[[#This Row],[Price2]]/Table1[[#This Row],[Area]]</f>
        <v>46.67699503069278</v>
      </c>
      <c r="I120">
        <v>3421</v>
      </c>
      <c r="J120">
        <v>1992</v>
      </c>
      <c r="K120">
        <v>39</v>
      </c>
      <c r="L120" t="s">
        <v>30</v>
      </c>
      <c r="M120" t="s">
        <v>299</v>
      </c>
      <c r="N120" s="2" t="s">
        <v>3027</v>
      </c>
      <c r="O120" t="s">
        <v>3028</v>
      </c>
      <c r="P120" t="s">
        <v>21</v>
      </c>
      <c r="Q120">
        <v>46.67699503069278</v>
      </c>
      <c r="R120">
        <f ca="1">YEAR(TODAY())-Table1[[#This Row],[Year Built]]</f>
        <v>34</v>
      </c>
      <c r="S120" t="str">
        <f>IF(Table1[[#This Row],[Days on Market]] &lt; 30,"Fast",IF(Table1[[#This Row],[Days on Market]]&lt;= 90,"Average", "Slow"))</f>
        <v>Average</v>
      </c>
      <c r="T120" t="str">
        <f>IF(Table1[[#This Row],[Price2]]&lt;500000,"Affordable",IF(Table1[[#This Row],[Price2]]&lt;1000000,"Mid range","Luxury"))</f>
        <v>Affordable</v>
      </c>
    </row>
    <row r="121" spans="1:20" x14ac:dyDescent="0.35">
      <c r="A121" s="3">
        <v>159743</v>
      </c>
      <c r="B121" s="2" t="s">
        <v>34</v>
      </c>
      <c r="C121">
        <v>55455</v>
      </c>
      <c r="D121" s="2" t="s">
        <v>29</v>
      </c>
      <c r="E121">
        <v>4</v>
      </c>
      <c r="F121">
        <v>3</v>
      </c>
      <c r="G121" s="4">
        <f>VALUE(SUBSTITUTE(SUBSTITUTE(Table1[[#This Row],[Price]],"$",""),",",""))</f>
        <v>159743</v>
      </c>
      <c r="H121" s="1">
        <f>Table1[[#This Row],[Price2]]/Table1[[#This Row],[Area]]</f>
        <v>62.472819710598358</v>
      </c>
      <c r="I121">
        <v>2557</v>
      </c>
      <c r="J121">
        <v>1963</v>
      </c>
      <c r="K121">
        <v>11</v>
      </c>
      <c r="L121" t="s">
        <v>52</v>
      </c>
      <c r="M121" t="s">
        <v>2949</v>
      </c>
      <c r="N121" s="2" t="s">
        <v>3035</v>
      </c>
      <c r="O121" t="s">
        <v>3036</v>
      </c>
      <c r="P121" t="s">
        <v>16</v>
      </c>
      <c r="Q121">
        <v>62.472819710598358</v>
      </c>
      <c r="R121">
        <f ca="1">YEAR(TODAY())-Table1[[#This Row],[Year Built]]</f>
        <v>63</v>
      </c>
      <c r="S121" t="str">
        <f>IF(Table1[[#This Row],[Days on Market]] &lt; 30,"Fast",IF(Table1[[#This Row],[Days on Market]]&lt;= 90,"Average", "Slow"))</f>
        <v>Fast</v>
      </c>
      <c r="T121" t="str">
        <f>IF(Table1[[#This Row],[Price2]]&lt;500000,"Affordable",IF(Table1[[#This Row],[Price2]]&lt;1000000,"Mid range","Luxury"))</f>
        <v>Affordable</v>
      </c>
    </row>
    <row r="122" spans="1:20" x14ac:dyDescent="0.35">
      <c r="A122" s="3">
        <v>159757</v>
      </c>
      <c r="B122" s="2" t="s">
        <v>12</v>
      </c>
      <c r="C122">
        <v>24971</v>
      </c>
      <c r="D122" s="2" t="s">
        <v>23</v>
      </c>
      <c r="E122">
        <v>6</v>
      </c>
      <c r="F122">
        <v>1</v>
      </c>
      <c r="G122" s="4">
        <f>VALUE(SUBSTITUTE(SUBSTITUTE(Table1[[#This Row],[Price]],"$",""),",",""))</f>
        <v>159757</v>
      </c>
      <c r="H122" s="1">
        <f>Table1[[#This Row],[Price2]]/Table1[[#This Row],[Area]]</f>
        <v>76.880173243503364</v>
      </c>
      <c r="I122">
        <v>2078</v>
      </c>
      <c r="J122">
        <v>2001</v>
      </c>
      <c r="K122">
        <v>1</v>
      </c>
      <c r="L122" t="s">
        <v>19</v>
      </c>
      <c r="M122" t="s">
        <v>2438</v>
      </c>
      <c r="N122" s="2" t="s">
        <v>3033</v>
      </c>
      <c r="O122" t="s">
        <v>3034</v>
      </c>
      <c r="P122" t="s">
        <v>16</v>
      </c>
      <c r="Q122">
        <v>76.880173243503364</v>
      </c>
      <c r="R122">
        <f ca="1">YEAR(TODAY())-Table1[[#This Row],[Year Built]]</f>
        <v>25</v>
      </c>
      <c r="S122" t="str">
        <f>IF(Table1[[#This Row],[Days on Market]] &lt; 30,"Fast",IF(Table1[[#This Row],[Days on Market]]&lt;= 90,"Average", "Slow"))</f>
        <v>Fast</v>
      </c>
      <c r="T122" t="str">
        <f>IF(Table1[[#This Row],[Price2]]&lt;500000,"Affordable",IF(Table1[[#This Row],[Price2]]&lt;1000000,"Mid range","Luxury"))</f>
        <v>Affordable</v>
      </c>
    </row>
    <row r="123" spans="1:20" x14ac:dyDescent="0.35">
      <c r="A123" s="3">
        <v>160897</v>
      </c>
      <c r="B123" s="2" t="s">
        <v>17</v>
      </c>
      <c r="C123">
        <v>40673</v>
      </c>
      <c r="D123" s="2" t="s">
        <v>29</v>
      </c>
      <c r="E123">
        <v>5</v>
      </c>
      <c r="F123">
        <v>2</v>
      </c>
      <c r="G123" s="4">
        <f>VALUE(SUBSTITUTE(SUBSTITUTE(Table1[[#This Row],[Price]],"$",""),",",""))</f>
        <v>160897</v>
      </c>
      <c r="H123" s="1">
        <f>Table1[[#This Row],[Price2]]/Table1[[#This Row],[Area]]</f>
        <v>40.888691232528586</v>
      </c>
      <c r="I123">
        <v>3935</v>
      </c>
      <c r="J123">
        <v>1980</v>
      </c>
      <c r="K123">
        <v>119</v>
      </c>
      <c r="L123" t="s">
        <v>30</v>
      </c>
      <c r="M123" t="s">
        <v>2969</v>
      </c>
      <c r="N123" s="2" t="s">
        <v>3029</v>
      </c>
      <c r="O123" t="s">
        <v>3030</v>
      </c>
      <c r="P123" t="s">
        <v>16</v>
      </c>
      <c r="Q123">
        <v>40.888691232528586</v>
      </c>
      <c r="R123">
        <f ca="1">YEAR(TODAY())-Table1[[#This Row],[Year Built]]</f>
        <v>46</v>
      </c>
      <c r="S123" t="str">
        <f>IF(Table1[[#This Row],[Days on Market]] &lt; 30,"Fast",IF(Table1[[#This Row],[Days on Market]]&lt;= 90,"Average", "Slow"))</f>
        <v>Slow</v>
      </c>
      <c r="T123" t="str">
        <f>IF(Table1[[#This Row],[Price2]]&lt;500000,"Affordable",IF(Table1[[#This Row],[Price2]]&lt;1000000,"Mid range","Luxury"))</f>
        <v>Affordable</v>
      </c>
    </row>
    <row r="124" spans="1:20" x14ac:dyDescent="0.35">
      <c r="A124" s="3">
        <v>161115</v>
      </c>
      <c r="B124" s="2" t="s">
        <v>12</v>
      </c>
      <c r="C124">
        <v>95539</v>
      </c>
      <c r="D124" s="2" t="s">
        <v>13</v>
      </c>
      <c r="E124">
        <v>2</v>
      </c>
      <c r="F124">
        <v>4</v>
      </c>
      <c r="G124" s="4">
        <f>VALUE(SUBSTITUTE(SUBSTITUTE(Table1[[#This Row],[Price]],"$",""),",",""))</f>
        <v>161115</v>
      </c>
      <c r="H124" s="1">
        <f>Table1[[#This Row],[Price2]]/Table1[[#This Row],[Area]]</f>
        <v>42.645579671784013</v>
      </c>
      <c r="I124">
        <v>3778</v>
      </c>
      <c r="J124">
        <v>2022</v>
      </c>
      <c r="K124">
        <v>113</v>
      </c>
      <c r="L124" t="s">
        <v>40</v>
      </c>
      <c r="M124" t="s">
        <v>2798</v>
      </c>
      <c r="N124" s="2" t="s">
        <v>3033</v>
      </c>
      <c r="O124" t="s">
        <v>3034</v>
      </c>
      <c r="P124" t="s">
        <v>21</v>
      </c>
      <c r="Q124">
        <v>42.645579671784013</v>
      </c>
      <c r="R124">
        <f ca="1">YEAR(TODAY())-Table1[[#This Row],[Year Built]]</f>
        <v>4</v>
      </c>
      <c r="S124" t="str">
        <f>IF(Table1[[#This Row],[Days on Market]] &lt; 30,"Fast",IF(Table1[[#This Row],[Days on Market]]&lt;= 90,"Average", "Slow"))</f>
        <v>Slow</v>
      </c>
      <c r="T124" t="str">
        <f>IF(Table1[[#This Row],[Price2]]&lt;500000,"Affordable",IF(Table1[[#This Row],[Price2]]&lt;1000000,"Mid range","Luxury"))</f>
        <v>Affordable</v>
      </c>
    </row>
    <row r="125" spans="1:20" x14ac:dyDescent="0.35">
      <c r="A125" s="3">
        <v>161264</v>
      </c>
      <c r="B125" s="2" t="s">
        <v>34</v>
      </c>
      <c r="C125">
        <v>89187</v>
      </c>
      <c r="D125" s="2" t="s">
        <v>18</v>
      </c>
      <c r="E125">
        <v>2</v>
      </c>
      <c r="F125">
        <v>1</v>
      </c>
      <c r="G125" s="4">
        <f>VALUE(SUBSTITUTE(SUBSTITUTE(Table1[[#This Row],[Price]],"$",""),",",""))</f>
        <v>161264</v>
      </c>
      <c r="H125" s="1">
        <f>Table1[[#This Row],[Price2]]/Table1[[#This Row],[Area]]</f>
        <v>57.024045261669023</v>
      </c>
      <c r="I125">
        <v>2828</v>
      </c>
      <c r="J125">
        <v>1986</v>
      </c>
      <c r="K125">
        <v>118</v>
      </c>
      <c r="L125" t="s">
        <v>19</v>
      </c>
      <c r="M125" t="s">
        <v>802</v>
      </c>
      <c r="N125" s="2" t="s">
        <v>3027</v>
      </c>
      <c r="O125" t="s">
        <v>3028</v>
      </c>
      <c r="P125" t="s">
        <v>16</v>
      </c>
      <c r="Q125">
        <v>57.024045261669023</v>
      </c>
      <c r="R125">
        <f ca="1">YEAR(TODAY())-Table1[[#This Row],[Year Built]]</f>
        <v>40</v>
      </c>
      <c r="S125" t="str">
        <f>IF(Table1[[#This Row],[Days on Market]] &lt; 30,"Fast",IF(Table1[[#This Row],[Days on Market]]&lt;= 90,"Average", "Slow"))</f>
        <v>Slow</v>
      </c>
      <c r="T125" t="str">
        <f>IF(Table1[[#This Row],[Price2]]&lt;500000,"Affordable",IF(Table1[[#This Row],[Price2]]&lt;1000000,"Mid range","Luxury"))</f>
        <v>Affordable</v>
      </c>
    </row>
    <row r="126" spans="1:20" x14ac:dyDescent="0.35">
      <c r="A126" s="3">
        <v>161267</v>
      </c>
      <c r="B126" s="2" t="s">
        <v>22</v>
      </c>
      <c r="C126">
        <v>63439</v>
      </c>
      <c r="D126" s="2" t="s">
        <v>18</v>
      </c>
      <c r="E126">
        <v>5</v>
      </c>
      <c r="F126">
        <v>2</v>
      </c>
      <c r="G126" s="4">
        <f>VALUE(SUBSTITUTE(SUBSTITUTE(Table1[[#This Row],[Price]],"$",""),",",""))</f>
        <v>161267</v>
      </c>
      <c r="H126" s="1">
        <f>Table1[[#This Row],[Price2]]/Table1[[#This Row],[Area]]</f>
        <v>51.424426020408163</v>
      </c>
      <c r="I126">
        <v>3136</v>
      </c>
      <c r="J126">
        <v>1997</v>
      </c>
      <c r="K126">
        <v>50</v>
      </c>
      <c r="L126" t="s">
        <v>52</v>
      </c>
      <c r="M126" t="s">
        <v>632</v>
      </c>
      <c r="N126" s="2" t="s">
        <v>3029</v>
      </c>
      <c r="O126" t="s">
        <v>3030</v>
      </c>
      <c r="P126" t="s">
        <v>16</v>
      </c>
      <c r="Q126">
        <v>51.424426020408163</v>
      </c>
      <c r="R126">
        <f ca="1">YEAR(TODAY())-Table1[[#This Row],[Year Built]]</f>
        <v>29</v>
      </c>
      <c r="S126" t="str">
        <f>IF(Table1[[#This Row],[Days on Market]] &lt; 30,"Fast",IF(Table1[[#This Row],[Days on Market]]&lt;= 90,"Average", "Slow"))</f>
        <v>Average</v>
      </c>
      <c r="T126" t="str">
        <f>IF(Table1[[#This Row],[Price2]]&lt;500000,"Affordable",IF(Table1[[#This Row],[Price2]]&lt;1000000,"Mid range","Luxury"))</f>
        <v>Affordable</v>
      </c>
    </row>
    <row r="127" spans="1:20" x14ac:dyDescent="0.35">
      <c r="A127" s="3">
        <v>162524</v>
      </c>
      <c r="B127" s="2" t="s">
        <v>12</v>
      </c>
      <c r="C127">
        <v>60440</v>
      </c>
      <c r="D127" s="2" t="s">
        <v>13</v>
      </c>
      <c r="E127">
        <v>4</v>
      </c>
      <c r="F127">
        <v>3</v>
      </c>
      <c r="G127" s="4">
        <f>VALUE(SUBSTITUTE(SUBSTITUTE(Table1[[#This Row],[Price]],"$",""),",",""))</f>
        <v>162524</v>
      </c>
      <c r="H127" s="1">
        <f>Table1[[#This Row],[Price2]]/Table1[[#This Row],[Area]]</f>
        <v>59.380343441724513</v>
      </c>
      <c r="I127">
        <v>2737</v>
      </c>
      <c r="J127">
        <v>2018</v>
      </c>
      <c r="K127">
        <v>8</v>
      </c>
      <c r="L127" t="s">
        <v>40</v>
      </c>
      <c r="M127" t="s">
        <v>1673</v>
      </c>
      <c r="N127" s="2" t="s">
        <v>3027</v>
      </c>
      <c r="O127" t="s">
        <v>3028</v>
      </c>
      <c r="P127" t="s">
        <v>26</v>
      </c>
      <c r="Q127">
        <v>59.380343441724513</v>
      </c>
      <c r="R127">
        <f ca="1">YEAR(TODAY())-Table1[[#This Row],[Year Built]]</f>
        <v>8</v>
      </c>
      <c r="S127" t="str">
        <f>IF(Table1[[#This Row],[Days on Market]] &lt; 30,"Fast",IF(Table1[[#This Row],[Days on Market]]&lt;= 90,"Average", "Slow"))</f>
        <v>Fast</v>
      </c>
      <c r="T127" t="str">
        <f>IF(Table1[[#This Row],[Price2]]&lt;500000,"Affordable",IF(Table1[[#This Row],[Price2]]&lt;1000000,"Mid range","Luxury"))</f>
        <v>Affordable</v>
      </c>
    </row>
    <row r="128" spans="1:20" x14ac:dyDescent="0.35">
      <c r="A128" s="3">
        <v>162697</v>
      </c>
      <c r="B128" s="2" t="s">
        <v>22</v>
      </c>
      <c r="C128">
        <v>32785</v>
      </c>
      <c r="D128" s="2" t="s">
        <v>18</v>
      </c>
      <c r="E128">
        <v>6</v>
      </c>
      <c r="F128">
        <v>3</v>
      </c>
      <c r="G128" s="4">
        <f>VALUE(SUBSTITUTE(SUBSTITUTE(Table1[[#This Row],[Price]],"$",""),",",""))</f>
        <v>162697</v>
      </c>
      <c r="H128" s="1">
        <f>Table1[[#This Row],[Price2]]/Table1[[#This Row],[Area]]</f>
        <v>100.18288177339902</v>
      </c>
      <c r="I128">
        <v>1624</v>
      </c>
      <c r="J128">
        <v>1972</v>
      </c>
      <c r="K128">
        <v>18</v>
      </c>
      <c r="L128" t="s">
        <v>14</v>
      </c>
      <c r="M128" t="s">
        <v>168</v>
      </c>
      <c r="N128" s="2" t="s">
        <v>3029</v>
      </c>
      <c r="O128" t="s">
        <v>3030</v>
      </c>
      <c r="P128" t="s">
        <v>16</v>
      </c>
      <c r="Q128">
        <v>100.18288177339902</v>
      </c>
      <c r="R128">
        <f ca="1">YEAR(TODAY())-Table1[[#This Row],[Year Built]]</f>
        <v>54</v>
      </c>
      <c r="S128" t="str">
        <f>IF(Table1[[#This Row],[Days on Market]] &lt; 30,"Fast",IF(Table1[[#This Row],[Days on Market]]&lt;= 90,"Average", "Slow"))</f>
        <v>Fast</v>
      </c>
      <c r="T128" t="str">
        <f>IF(Table1[[#This Row],[Price2]]&lt;500000,"Affordable",IF(Table1[[#This Row],[Price2]]&lt;1000000,"Mid range","Luxury"))</f>
        <v>Affordable</v>
      </c>
    </row>
    <row r="129" spans="1:20" x14ac:dyDescent="0.35">
      <c r="A129" s="3">
        <v>163960</v>
      </c>
      <c r="B129" s="2" t="s">
        <v>27</v>
      </c>
      <c r="C129">
        <v>13319</v>
      </c>
      <c r="D129" s="2" t="s">
        <v>13</v>
      </c>
      <c r="E129">
        <v>2</v>
      </c>
      <c r="F129">
        <v>4</v>
      </c>
      <c r="G129" s="4">
        <f>VALUE(SUBSTITUTE(SUBSTITUTE(Table1[[#This Row],[Price]],"$",""),",",""))</f>
        <v>163960</v>
      </c>
      <c r="H129" s="1">
        <f>Table1[[#This Row],[Price2]]/Table1[[#This Row],[Area]]</f>
        <v>59.298372513562384</v>
      </c>
      <c r="I129">
        <v>2765</v>
      </c>
      <c r="J129">
        <v>2021</v>
      </c>
      <c r="K129">
        <v>67</v>
      </c>
      <c r="L129" t="s">
        <v>14</v>
      </c>
      <c r="M129" t="s">
        <v>2080</v>
      </c>
      <c r="N129" s="2" t="s">
        <v>3035</v>
      </c>
      <c r="O129" t="s">
        <v>3036</v>
      </c>
      <c r="P129" t="s">
        <v>26</v>
      </c>
      <c r="Q129">
        <v>59.298372513562384</v>
      </c>
      <c r="R129">
        <f ca="1">YEAR(TODAY())-Table1[[#This Row],[Year Built]]</f>
        <v>5</v>
      </c>
      <c r="S129" t="str">
        <f>IF(Table1[[#This Row],[Days on Market]] &lt; 30,"Fast",IF(Table1[[#This Row],[Days on Market]]&lt;= 90,"Average", "Slow"))</f>
        <v>Average</v>
      </c>
      <c r="T129" t="str">
        <f>IF(Table1[[#This Row],[Price2]]&lt;500000,"Affordable",IF(Table1[[#This Row],[Price2]]&lt;1000000,"Mid range","Luxury"))</f>
        <v>Affordable</v>
      </c>
    </row>
    <row r="130" spans="1:20" x14ac:dyDescent="0.35">
      <c r="A130" s="3">
        <v>164337</v>
      </c>
      <c r="B130" s="2" t="s">
        <v>34</v>
      </c>
      <c r="C130">
        <v>48114</v>
      </c>
      <c r="D130" s="2" t="s">
        <v>18</v>
      </c>
      <c r="E130">
        <v>3</v>
      </c>
      <c r="F130">
        <v>1</v>
      </c>
      <c r="G130" s="4">
        <f>VALUE(SUBSTITUTE(SUBSTITUTE(Table1[[#This Row],[Price]],"$",""),",",""))</f>
        <v>164337</v>
      </c>
      <c r="H130" s="1">
        <f>Table1[[#This Row],[Price2]]/Table1[[#This Row],[Area]]</f>
        <v>165.66229838709677</v>
      </c>
      <c r="I130">
        <v>992</v>
      </c>
      <c r="J130">
        <v>1992</v>
      </c>
      <c r="K130">
        <v>88</v>
      </c>
      <c r="L130" t="s">
        <v>30</v>
      </c>
      <c r="M130" t="s">
        <v>1096</v>
      </c>
      <c r="N130" s="2" t="s">
        <v>3027</v>
      </c>
      <c r="O130" t="s">
        <v>3028</v>
      </c>
      <c r="P130" t="s">
        <v>16</v>
      </c>
      <c r="Q130">
        <v>165.66229838709677</v>
      </c>
      <c r="R130">
        <f ca="1">YEAR(TODAY())-Table1[[#This Row],[Year Built]]</f>
        <v>34</v>
      </c>
      <c r="S130" t="str">
        <f>IF(Table1[[#This Row],[Days on Market]] &lt; 30,"Fast",IF(Table1[[#This Row],[Days on Market]]&lt;= 90,"Average", "Slow"))</f>
        <v>Average</v>
      </c>
      <c r="T130" t="str">
        <f>IF(Table1[[#This Row],[Price2]]&lt;500000,"Affordable",IF(Table1[[#This Row],[Price2]]&lt;1000000,"Mid range","Luxury"))</f>
        <v>Affordable</v>
      </c>
    </row>
    <row r="131" spans="1:20" x14ac:dyDescent="0.35">
      <c r="A131" s="3">
        <v>164454</v>
      </c>
      <c r="B131" s="2" t="s">
        <v>17</v>
      </c>
      <c r="C131">
        <v>79339</v>
      </c>
      <c r="D131" s="2" t="s">
        <v>18</v>
      </c>
      <c r="E131">
        <v>1</v>
      </c>
      <c r="F131">
        <v>1</v>
      </c>
      <c r="G131" s="4">
        <f>VALUE(SUBSTITUTE(SUBSTITUTE(Table1[[#This Row],[Price]],"$",""),",",""))</f>
        <v>164454</v>
      </c>
      <c r="H131" s="1">
        <f>Table1[[#This Row],[Price2]]/Table1[[#This Row],[Area]]</f>
        <v>70.040034071550252</v>
      </c>
      <c r="I131">
        <v>2348</v>
      </c>
      <c r="J131">
        <v>1969</v>
      </c>
      <c r="K131">
        <v>46</v>
      </c>
      <c r="L131" t="s">
        <v>19</v>
      </c>
      <c r="M131" t="s">
        <v>20</v>
      </c>
      <c r="N131" s="2" t="s">
        <v>3029</v>
      </c>
      <c r="O131" t="s">
        <v>3030</v>
      </c>
      <c r="P131" t="s">
        <v>21</v>
      </c>
      <c r="Q131">
        <v>70.040034071550252</v>
      </c>
      <c r="R131">
        <f ca="1">YEAR(TODAY())-Table1[[#This Row],[Year Built]]</f>
        <v>57</v>
      </c>
      <c r="S131" t="str">
        <f>IF(Table1[[#This Row],[Days on Market]] &lt; 30,"Fast",IF(Table1[[#This Row],[Days on Market]]&lt;= 90,"Average", "Slow"))</f>
        <v>Average</v>
      </c>
      <c r="T131" t="str">
        <f>IF(Table1[[#This Row],[Price2]]&lt;500000,"Affordable",IF(Table1[[#This Row],[Price2]]&lt;1000000,"Mid range","Luxury"))</f>
        <v>Affordable</v>
      </c>
    </row>
    <row r="132" spans="1:20" x14ac:dyDescent="0.35">
      <c r="A132" s="3">
        <v>165820</v>
      </c>
      <c r="B132" s="2" t="s">
        <v>22</v>
      </c>
      <c r="C132">
        <v>53456</v>
      </c>
      <c r="D132" s="2" t="s">
        <v>35</v>
      </c>
      <c r="E132">
        <v>1</v>
      </c>
      <c r="F132">
        <v>3</v>
      </c>
      <c r="G132" s="4">
        <f>VALUE(SUBSTITUTE(SUBSTITUTE(Table1[[#This Row],[Price]],"$",""),",",""))</f>
        <v>165820</v>
      </c>
      <c r="H132" s="1">
        <f>Table1[[#This Row],[Price2]]/Table1[[#This Row],[Area]]</f>
        <v>56.516700749829582</v>
      </c>
      <c r="I132">
        <v>2934</v>
      </c>
      <c r="J132">
        <v>2001</v>
      </c>
      <c r="K132">
        <v>4</v>
      </c>
      <c r="L132" t="s">
        <v>14</v>
      </c>
      <c r="M132" t="s">
        <v>1974</v>
      </c>
      <c r="N132" s="2" t="s">
        <v>3035</v>
      </c>
      <c r="O132" t="s">
        <v>3036</v>
      </c>
      <c r="P132" t="s">
        <v>26</v>
      </c>
      <c r="Q132">
        <v>56.516700749829582</v>
      </c>
      <c r="R132">
        <f ca="1">YEAR(TODAY())-Table1[[#This Row],[Year Built]]</f>
        <v>25</v>
      </c>
      <c r="S132" t="str">
        <f>IF(Table1[[#This Row],[Days on Market]] &lt; 30,"Fast",IF(Table1[[#This Row],[Days on Market]]&lt;= 90,"Average", "Slow"))</f>
        <v>Fast</v>
      </c>
      <c r="T132" t="str">
        <f>IF(Table1[[#This Row],[Price2]]&lt;500000,"Affordable",IF(Table1[[#This Row],[Price2]]&lt;1000000,"Mid range","Luxury"))</f>
        <v>Affordable</v>
      </c>
    </row>
    <row r="133" spans="1:20" x14ac:dyDescent="0.35">
      <c r="A133" s="3">
        <v>166017</v>
      </c>
      <c r="B133" s="2" t="s">
        <v>34</v>
      </c>
      <c r="C133">
        <v>88279</v>
      </c>
      <c r="D133" s="2" t="s">
        <v>23</v>
      </c>
      <c r="E133">
        <v>3</v>
      </c>
      <c r="F133">
        <v>2</v>
      </c>
      <c r="G133" s="4">
        <f>VALUE(SUBSTITUTE(SUBSTITUTE(Table1[[#This Row],[Price]],"$",""),",",""))</f>
        <v>166017</v>
      </c>
      <c r="H133" s="1">
        <f>Table1[[#This Row],[Price2]]/Table1[[#This Row],[Area]]</f>
        <v>58.725504067916518</v>
      </c>
      <c r="I133">
        <v>2827</v>
      </c>
      <c r="J133">
        <v>2007</v>
      </c>
      <c r="K133">
        <v>11</v>
      </c>
      <c r="L133" t="s">
        <v>19</v>
      </c>
      <c r="M133" t="s">
        <v>1081</v>
      </c>
      <c r="N133" s="2" t="s">
        <v>3033</v>
      </c>
      <c r="O133" t="s">
        <v>3034</v>
      </c>
      <c r="P133" t="s">
        <v>26</v>
      </c>
      <c r="Q133">
        <v>58.725504067916518</v>
      </c>
      <c r="R133">
        <f ca="1">YEAR(TODAY())-Table1[[#This Row],[Year Built]]</f>
        <v>19</v>
      </c>
      <c r="S133" t="str">
        <f>IF(Table1[[#This Row],[Days on Market]] &lt; 30,"Fast",IF(Table1[[#This Row],[Days on Market]]&lt;= 90,"Average", "Slow"))</f>
        <v>Fast</v>
      </c>
      <c r="T133" t="str">
        <f>IF(Table1[[#This Row],[Price2]]&lt;500000,"Affordable",IF(Table1[[#This Row],[Price2]]&lt;1000000,"Mid range","Luxury"))</f>
        <v>Affordable</v>
      </c>
    </row>
    <row r="134" spans="1:20" x14ac:dyDescent="0.35">
      <c r="A134" s="3">
        <v>166868</v>
      </c>
      <c r="B134" s="2" t="s">
        <v>22</v>
      </c>
      <c r="C134">
        <v>77255</v>
      </c>
      <c r="D134" s="2" t="s">
        <v>18</v>
      </c>
      <c r="E134">
        <v>1</v>
      </c>
      <c r="F134">
        <v>2</v>
      </c>
      <c r="G134" s="4">
        <f>VALUE(SUBSTITUTE(SUBSTITUTE(Table1[[#This Row],[Price]],"$",""),",",""))</f>
        <v>166868</v>
      </c>
      <c r="H134" s="1">
        <f>Table1[[#This Row],[Price2]]/Table1[[#This Row],[Area]]</f>
        <v>64.527455529775722</v>
      </c>
      <c r="I134">
        <v>2586</v>
      </c>
      <c r="J134">
        <v>2014</v>
      </c>
      <c r="K134">
        <v>115</v>
      </c>
      <c r="L134" t="s">
        <v>30</v>
      </c>
      <c r="M134" t="s">
        <v>714</v>
      </c>
      <c r="N134" s="2" t="s">
        <v>3033</v>
      </c>
      <c r="O134" t="s">
        <v>3034</v>
      </c>
      <c r="P134" t="s">
        <v>16</v>
      </c>
      <c r="Q134">
        <v>64.527455529775722</v>
      </c>
      <c r="R134">
        <f ca="1">YEAR(TODAY())-Table1[[#This Row],[Year Built]]</f>
        <v>12</v>
      </c>
      <c r="S134" t="str">
        <f>IF(Table1[[#This Row],[Days on Market]] &lt; 30,"Fast",IF(Table1[[#This Row],[Days on Market]]&lt;= 90,"Average", "Slow"))</f>
        <v>Slow</v>
      </c>
      <c r="T134" t="str">
        <f>IF(Table1[[#This Row],[Price2]]&lt;500000,"Affordable",IF(Table1[[#This Row],[Price2]]&lt;1000000,"Mid range","Luxury"))</f>
        <v>Affordable</v>
      </c>
    </row>
    <row r="135" spans="1:20" x14ac:dyDescent="0.35">
      <c r="A135" s="3">
        <v>167620</v>
      </c>
      <c r="B135" s="2" t="s">
        <v>34</v>
      </c>
      <c r="C135">
        <v>54024</v>
      </c>
      <c r="D135" s="2" t="s">
        <v>35</v>
      </c>
      <c r="E135">
        <v>1</v>
      </c>
      <c r="F135">
        <v>2</v>
      </c>
      <c r="G135" s="4">
        <f>VALUE(SUBSTITUTE(SUBSTITUTE(Table1[[#This Row],[Price]],"$",""),",",""))</f>
        <v>167620</v>
      </c>
      <c r="H135" s="1">
        <f>Table1[[#This Row],[Price2]]/Table1[[#This Row],[Area]]</f>
        <v>52.644472361809044</v>
      </c>
      <c r="I135">
        <v>3184</v>
      </c>
      <c r="J135">
        <v>2007</v>
      </c>
      <c r="K135">
        <v>117</v>
      </c>
      <c r="L135" t="s">
        <v>52</v>
      </c>
      <c r="M135" t="s">
        <v>1670</v>
      </c>
      <c r="N135" s="2" t="s">
        <v>3035</v>
      </c>
      <c r="O135" t="s">
        <v>3036</v>
      </c>
      <c r="P135" t="s">
        <v>21</v>
      </c>
      <c r="Q135">
        <v>52.644472361809044</v>
      </c>
      <c r="R135">
        <f ca="1">YEAR(TODAY())-Table1[[#This Row],[Year Built]]</f>
        <v>19</v>
      </c>
      <c r="S135" t="str">
        <f>IF(Table1[[#This Row],[Days on Market]] &lt; 30,"Fast",IF(Table1[[#This Row],[Days on Market]]&lt;= 90,"Average", "Slow"))</f>
        <v>Slow</v>
      </c>
      <c r="T135" t="str">
        <f>IF(Table1[[#This Row],[Price2]]&lt;500000,"Affordable",IF(Table1[[#This Row],[Price2]]&lt;1000000,"Mid range","Luxury"))</f>
        <v>Affordable</v>
      </c>
    </row>
    <row r="136" spans="1:20" x14ac:dyDescent="0.35">
      <c r="A136" s="3">
        <v>168943</v>
      </c>
      <c r="B136" s="2" t="s">
        <v>22</v>
      </c>
      <c r="C136">
        <v>36868</v>
      </c>
      <c r="D136" s="2" t="s">
        <v>13</v>
      </c>
      <c r="E136">
        <v>4</v>
      </c>
      <c r="F136">
        <v>1</v>
      </c>
      <c r="G136" s="4">
        <f>VALUE(SUBSTITUTE(SUBSTITUTE(Table1[[#This Row],[Price]],"$",""),",",""))</f>
        <v>168943</v>
      </c>
      <c r="H136" s="1">
        <f>Table1[[#This Row],[Price2]]/Table1[[#This Row],[Area]]</f>
        <v>117.24011103400416</v>
      </c>
      <c r="I136">
        <v>1441</v>
      </c>
      <c r="J136">
        <v>1993</v>
      </c>
      <c r="K136">
        <v>9</v>
      </c>
      <c r="L136" t="s">
        <v>52</v>
      </c>
      <c r="M136" t="s">
        <v>2341</v>
      </c>
      <c r="N136" s="2" t="s">
        <v>3035</v>
      </c>
      <c r="O136" t="s">
        <v>3036</v>
      </c>
      <c r="P136" t="s">
        <v>26</v>
      </c>
      <c r="Q136">
        <v>117.24011103400416</v>
      </c>
      <c r="R136">
        <f ca="1">YEAR(TODAY())-Table1[[#This Row],[Year Built]]</f>
        <v>33</v>
      </c>
      <c r="S136" t="str">
        <f>IF(Table1[[#This Row],[Days on Market]] &lt; 30,"Fast",IF(Table1[[#This Row],[Days on Market]]&lt;= 90,"Average", "Slow"))</f>
        <v>Fast</v>
      </c>
      <c r="T136" t="str">
        <f>IF(Table1[[#This Row],[Price2]]&lt;500000,"Affordable",IF(Table1[[#This Row],[Price2]]&lt;1000000,"Mid range","Luxury"))</f>
        <v>Affordable</v>
      </c>
    </row>
    <row r="137" spans="1:20" x14ac:dyDescent="0.35">
      <c r="A137" s="3">
        <v>169640</v>
      </c>
      <c r="B137" s="2" t="s">
        <v>12</v>
      </c>
      <c r="C137">
        <v>61427</v>
      </c>
      <c r="D137" s="2" t="s">
        <v>18</v>
      </c>
      <c r="E137">
        <v>2</v>
      </c>
      <c r="F137">
        <v>2</v>
      </c>
      <c r="G137" s="4">
        <f>VALUE(SUBSTITUTE(SUBSTITUTE(Table1[[#This Row],[Price]],"$",""),",",""))</f>
        <v>169640</v>
      </c>
      <c r="H137" s="1">
        <f>Table1[[#This Row],[Price2]]/Table1[[#This Row],[Area]]</f>
        <v>51.328290468986381</v>
      </c>
      <c r="I137">
        <v>3305</v>
      </c>
      <c r="J137">
        <v>1972</v>
      </c>
      <c r="K137">
        <v>119</v>
      </c>
      <c r="L137" t="s">
        <v>40</v>
      </c>
      <c r="M137" t="s">
        <v>2446</v>
      </c>
      <c r="N137" s="2" t="s">
        <v>3027</v>
      </c>
      <c r="O137" t="s">
        <v>3028</v>
      </c>
      <c r="P137" t="s">
        <v>16</v>
      </c>
      <c r="Q137">
        <v>51.328290468986381</v>
      </c>
      <c r="R137">
        <f ca="1">YEAR(TODAY())-Table1[[#This Row],[Year Built]]</f>
        <v>54</v>
      </c>
      <c r="S137" t="str">
        <f>IF(Table1[[#This Row],[Days on Market]] &lt; 30,"Fast",IF(Table1[[#This Row],[Days on Market]]&lt;= 90,"Average", "Slow"))</f>
        <v>Slow</v>
      </c>
      <c r="T137" t="str">
        <f>IF(Table1[[#This Row],[Price2]]&lt;500000,"Affordable",IF(Table1[[#This Row],[Price2]]&lt;1000000,"Mid range","Luxury"))</f>
        <v>Affordable</v>
      </c>
    </row>
    <row r="138" spans="1:20" x14ac:dyDescent="0.35">
      <c r="A138" s="3">
        <v>171018</v>
      </c>
      <c r="B138" s="2" t="s">
        <v>34</v>
      </c>
      <c r="C138">
        <v>18188</v>
      </c>
      <c r="D138" s="2" t="s">
        <v>35</v>
      </c>
      <c r="E138">
        <v>5</v>
      </c>
      <c r="F138">
        <v>2</v>
      </c>
      <c r="G138" s="4">
        <f>VALUE(SUBSTITUTE(SUBSTITUTE(Table1[[#This Row],[Price]],"$",""),",",""))</f>
        <v>171018</v>
      </c>
      <c r="H138" s="1">
        <f>Table1[[#This Row],[Price2]]/Table1[[#This Row],[Area]]</f>
        <v>277.6266233766234</v>
      </c>
      <c r="I138">
        <v>616</v>
      </c>
      <c r="J138">
        <v>1986</v>
      </c>
      <c r="K138">
        <v>17</v>
      </c>
      <c r="L138" t="s">
        <v>30</v>
      </c>
      <c r="M138" t="s">
        <v>913</v>
      </c>
      <c r="N138" s="2" t="s">
        <v>3031</v>
      </c>
      <c r="O138" t="s">
        <v>3032</v>
      </c>
      <c r="P138" t="s">
        <v>21</v>
      </c>
      <c r="Q138">
        <v>277.6266233766234</v>
      </c>
      <c r="R138">
        <f ca="1">YEAR(TODAY())-Table1[[#This Row],[Year Built]]</f>
        <v>40</v>
      </c>
      <c r="S138" t="str">
        <f>IF(Table1[[#This Row],[Days on Market]] &lt; 30,"Fast",IF(Table1[[#This Row],[Days on Market]]&lt;= 90,"Average", "Slow"))</f>
        <v>Fast</v>
      </c>
      <c r="T138" t="str">
        <f>IF(Table1[[#This Row],[Price2]]&lt;500000,"Affordable",IF(Table1[[#This Row],[Price2]]&lt;1000000,"Mid range","Luxury"))</f>
        <v>Affordable</v>
      </c>
    </row>
    <row r="139" spans="1:20" x14ac:dyDescent="0.35">
      <c r="A139" s="3">
        <v>171171</v>
      </c>
      <c r="B139" s="2" t="s">
        <v>22</v>
      </c>
      <c r="C139">
        <v>71653</v>
      </c>
      <c r="D139" s="2" t="s">
        <v>23</v>
      </c>
      <c r="E139">
        <v>3</v>
      </c>
      <c r="F139">
        <v>2</v>
      </c>
      <c r="G139" s="4">
        <f>VALUE(SUBSTITUTE(SUBSTITUTE(Table1[[#This Row],[Price]],"$",""),",",""))</f>
        <v>171171</v>
      </c>
      <c r="H139" s="1">
        <f>Table1[[#This Row],[Price2]]/Table1[[#This Row],[Area]]</f>
        <v>92.07692307692308</v>
      </c>
      <c r="I139">
        <v>1859</v>
      </c>
      <c r="J139">
        <v>1988</v>
      </c>
      <c r="K139">
        <v>104</v>
      </c>
      <c r="L139" t="s">
        <v>19</v>
      </c>
      <c r="M139" t="s">
        <v>1357</v>
      </c>
      <c r="N139" s="2" t="s">
        <v>3027</v>
      </c>
      <c r="O139" t="s">
        <v>3028</v>
      </c>
      <c r="P139" t="s">
        <v>21</v>
      </c>
      <c r="Q139">
        <v>92.07692307692308</v>
      </c>
      <c r="R139">
        <f ca="1">YEAR(TODAY())-Table1[[#This Row],[Year Built]]</f>
        <v>38</v>
      </c>
      <c r="S139" t="str">
        <f>IF(Table1[[#This Row],[Days on Market]] &lt; 30,"Fast",IF(Table1[[#This Row],[Days on Market]]&lt;= 90,"Average", "Slow"))</f>
        <v>Slow</v>
      </c>
      <c r="T139" t="str">
        <f>IF(Table1[[#This Row],[Price2]]&lt;500000,"Affordable",IF(Table1[[#This Row],[Price2]]&lt;1000000,"Mid range","Luxury"))</f>
        <v>Affordable</v>
      </c>
    </row>
    <row r="140" spans="1:20" x14ac:dyDescent="0.35">
      <c r="A140" s="3">
        <v>172363</v>
      </c>
      <c r="B140" s="2" t="s">
        <v>17</v>
      </c>
      <c r="C140">
        <v>91382</v>
      </c>
      <c r="D140" s="2" t="s">
        <v>13</v>
      </c>
      <c r="E140">
        <v>2</v>
      </c>
      <c r="F140">
        <v>1</v>
      </c>
      <c r="G140" s="4">
        <f>VALUE(SUBSTITUTE(SUBSTITUTE(Table1[[#This Row],[Price]],"$",""),",",""))</f>
        <v>172363</v>
      </c>
      <c r="H140" s="1">
        <f>Table1[[#This Row],[Price2]]/Table1[[#This Row],[Area]]</f>
        <v>93.573832790445167</v>
      </c>
      <c r="I140">
        <v>1842</v>
      </c>
      <c r="J140">
        <v>2019</v>
      </c>
      <c r="K140">
        <v>57</v>
      </c>
      <c r="L140" t="s">
        <v>40</v>
      </c>
      <c r="M140" t="s">
        <v>2481</v>
      </c>
      <c r="N140" s="2" t="s">
        <v>3035</v>
      </c>
      <c r="O140" t="s">
        <v>3036</v>
      </c>
      <c r="P140" t="s">
        <v>16</v>
      </c>
      <c r="Q140">
        <v>93.573832790445167</v>
      </c>
      <c r="R140">
        <f ca="1">YEAR(TODAY())-Table1[[#This Row],[Year Built]]</f>
        <v>7</v>
      </c>
      <c r="S140" t="str">
        <f>IF(Table1[[#This Row],[Days on Market]] &lt; 30,"Fast",IF(Table1[[#This Row],[Days on Market]]&lt;= 90,"Average", "Slow"))</f>
        <v>Average</v>
      </c>
      <c r="T140" t="str">
        <f>IF(Table1[[#This Row],[Price2]]&lt;500000,"Affordable",IF(Table1[[#This Row],[Price2]]&lt;1000000,"Mid range","Luxury"))</f>
        <v>Affordable</v>
      </c>
    </row>
    <row r="141" spans="1:20" x14ac:dyDescent="0.35">
      <c r="A141" s="3">
        <v>173054</v>
      </c>
      <c r="B141" s="2" t="s">
        <v>12</v>
      </c>
      <c r="C141">
        <v>21488</v>
      </c>
      <c r="D141" s="2" t="s">
        <v>35</v>
      </c>
      <c r="E141">
        <v>1</v>
      </c>
      <c r="F141">
        <v>3</v>
      </c>
      <c r="G141" s="4">
        <f>VALUE(SUBSTITUTE(SUBSTITUTE(Table1[[#This Row],[Price]],"$",""),",",""))</f>
        <v>173054</v>
      </c>
      <c r="H141" s="1">
        <f>Table1[[#This Row],[Price2]]/Table1[[#This Row],[Area]]</f>
        <v>51.812574850299399</v>
      </c>
      <c r="I141">
        <v>3340</v>
      </c>
      <c r="J141">
        <v>1986</v>
      </c>
      <c r="K141">
        <v>68</v>
      </c>
      <c r="L141" t="s">
        <v>19</v>
      </c>
      <c r="M141" t="s">
        <v>1075</v>
      </c>
      <c r="N141" s="2" t="s">
        <v>3031</v>
      </c>
      <c r="O141" t="s">
        <v>3032</v>
      </c>
      <c r="P141" t="s">
        <v>26</v>
      </c>
      <c r="Q141">
        <v>51.812574850299399</v>
      </c>
      <c r="R141">
        <f ca="1">YEAR(TODAY())-Table1[[#This Row],[Year Built]]</f>
        <v>40</v>
      </c>
      <c r="S141" t="str">
        <f>IF(Table1[[#This Row],[Days on Market]] &lt; 30,"Fast",IF(Table1[[#This Row],[Days on Market]]&lt;= 90,"Average", "Slow"))</f>
        <v>Average</v>
      </c>
      <c r="T141" t="str">
        <f>IF(Table1[[#This Row],[Price2]]&lt;500000,"Affordable",IF(Table1[[#This Row],[Price2]]&lt;1000000,"Mid range","Luxury"))</f>
        <v>Affordable</v>
      </c>
    </row>
    <row r="142" spans="1:20" x14ac:dyDescent="0.35">
      <c r="A142" s="3">
        <v>173195</v>
      </c>
      <c r="B142" s="2" t="s">
        <v>22</v>
      </c>
      <c r="C142">
        <v>45292</v>
      </c>
      <c r="D142" s="2" t="s">
        <v>13</v>
      </c>
      <c r="E142">
        <v>5</v>
      </c>
      <c r="F142">
        <v>2</v>
      </c>
      <c r="G142" s="4">
        <f>VALUE(SUBSTITUTE(SUBSTITUTE(Table1[[#This Row],[Price]],"$",""),",",""))</f>
        <v>173195</v>
      </c>
      <c r="H142" s="1">
        <f>Table1[[#This Row],[Price2]]/Table1[[#This Row],[Area]]</f>
        <v>60.962689193945792</v>
      </c>
      <c r="I142">
        <v>2841</v>
      </c>
      <c r="J142">
        <v>1987</v>
      </c>
      <c r="K142">
        <v>83</v>
      </c>
      <c r="L142" t="s">
        <v>30</v>
      </c>
      <c r="M142" t="s">
        <v>1759</v>
      </c>
      <c r="N142" s="2" t="s">
        <v>3035</v>
      </c>
      <c r="O142" t="s">
        <v>3036</v>
      </c>
      <c r="P142" t="s">
        <v>21</v>
      </c>
      <c r="Q142">
        <v>60.962689193945792</v>
      </c>
      <c r="R142">
        <f ca="1">YEAR(TODAY())-Table1[[#This Row],[Year Built]]</f>
        <v>39</v>
      </c>
      <c r="S142" t="str">
        <f>IF(Table1[[#This Row],[Days on Market]] &lt; 30,"Fast",IF(Table1[[#This Row],[Days on Market]]&lt;= 90,"Average", "Slow"))</f>
        <v>Average</v>
      </c>
      <c r="T142" t="str">
        <f>IF(Table1[[#This Row],[Price2]]&lt;500000,"Affordable",IF(Table1[[#This Row],[Price2]]&lt;1000000,"Mid range","Luxury"))</f>
        <v>Affordable</v>
      </c>
    </row>
    <row r="143" spans="1:20" x14ac:dyDescent="0.35">
      <c r="A143" s="3">
        <v>173580</v>
      </c>
      <c r="B143" s="2" t="s">
        <v>17</v>
      </c>
      <c r="C143">
        <v>12309</v>
      </c>
      <c r="D143" s="2" t="s">
        <v>18</v>
      </c>
      <c r="E143">
        <v>4</v>
      </c>
      <c r="F143">
        <v>2</v>
      </c>
      <c r="G143" s="4">
        <f>VALUE(SUBSTITUTE(SUBSTITUTE(Table1[[#This Row],[Price]],"$",""),",",""))</f>
        <v>173580</v>
      </c>
      <c r="H143" s="1">
        <f>Table1[[#This Row],[Price2]]/Table1[[#This Row],[Area]]</f>
        <v>48.176519567027476</v>
      </c>
      <c r="I143">
        <v>3603</v>
      </c>
      <c r="J143">
        <v>1974</v>
      </c>
      <c r="K143">
        <v>109</v>
      </c>
      <c r="L143" t="s">
        <v>19</v>
      </c>
      <c r="M143" t="s">
        <v>2164</v>
      </c>
      <c r="N143" s="2" t="s">
        <v>3033</v>
      </c>
      <c r="O143" t="s">
        <v>3034</v>
      </c>
      <c r="P143" t="s">
        <v>16</v>
      </c>
      <c r="Q143">
        <v>48.176519567027476</v>
      </c>
      <c r="R143">
        <f ca="1">YEAR(TODAY())-Table1[[#This Row],[Year Built]]</f>
        <v>52</v>
      </c>
      <c r="S143" t="str">
        <f>IF(Table1[[#This Row],[Days on Market]] &lt; 30,"Fast",IF(Table1[[#This Row],[Days on Market]]&lt;= 90,"Average", "Slow"))</f>
        <v>Slow</v>
      </c>
      <c r="T143" t="str">
        <f>IF(Table1[[#This Row],[Price2]]&lt;500000,"Affordable",IF(Table1[[#This Row],[Price2]]&lt;1000000,"Mid range","Luxury"))</f>
        <v>Affordable</v>
      </c>
    </row>
    <row r="144" spans="1:20" x14ac:dyDescent="0.35">
      <c r="A144" s="3">
        <v>173956</v>
      </c>
      <c r="B144" s="2" t="s">
        <v>22</v>
      </c>
      <c r="C144">
        <v>56610</v>
      </c>
      <c r="D144" s="2" t="s">
        <v>13</v>
      </c>
      <c r="E144">
        <v>4</v>
      </c>
      <c r="F144">
        <v>2</v>
      </c>
      <c r="G144" s="4">
        <f>VALUE(SUBSTITUTE(SUBSTITUTE(Table1[[#This Row],[Price]],"$",""),",",""))</f>
        <v>173956</v>
      </c>
      <c r="H144" s="1">
        <f>Table1[[#This Row],[Price2]]/Table1[[#This Row],[Area]]</f>
        <v>83.392138063279006</v>
      </c>
      <c r="I144">
        <v>2086</v>
      </c>
      <c r="J144">
        <v>1990</v>
      </c>
      <c r="K144">
        <v>98</v>
      </c>
      <c r="L144" t="s">
        <v>40</v>
      </c>
      <c r="M144" t="s">
        <v>2420</v>
      </c>
      <c r="N144" s="2" t="s">
        <v>3027</v>
      </c>
      <c r="O144" t="s">
        <v>3028</v>
      </c>
      <c r="P144" t="s">
        <v>26</v>
      </c>
      <c r="Q144">
        <v>83.392138063279006</v>
      </c>
      <c r="R144">
        <f ca="1">YEAR(TODAY())-Table1[[#This Row],[Year Built]]</f>
        <v>36</v>
      </c>
      <c r="S144" t="str">
        <f>IF(Table1[[#This Row],[Days on Market]] &lt; 30,"Fast",IF(Table1[[#This Row],[Days on Market]]&lt;= 90,"Average", "Slow"))</f>
        <v>Slow</v>
      </c>
      <c r="T144" t="str">
        <f>IF(Table1[[#This Row],[Price2]]&lt;500000,"Affordable",IF(Table1[[#This Row],[Price2]]&lt;1000000,"Mid range","Luxury"))</f>
        <v>Affordable</v>
      </c>
    </row>
    <row r="145" spans="1:20" x14ac:dyDescent="0.35">
      <c r="A145" s="3">
        <v>174251</v>
      </c>
      <c r="B145" s="2" t="s">
        <v>17</v>
      </c>
      <c r="C145">
        <v>70215</v>
      </c>
      <c r="D145" s="2" t="s">
        <v>35</v>
      </c>
      <c r="E145">
        <v>4</v>
      </c>
      <c r="F145">
        <v>3</v>
      </c>
      <c r="G145" s="4">
        <f>VALUE(SUBSTITUTE(SUBSTITUTE(Table1[[#This Row],[Price]],"$",""),",",""))</f>
        <v>174251</v>
      </c>
      <c r="H145" s="1">
        <f>Table1[[#This Row],[Price2]]/Table1[[#This Row],[Area]]</f>
        <v>85.542955326460486</v>
      </c>
      <c r="I145">
        <v>2037</v>
      </c>
      <c r="J145">
        <v>1982</v>
      </c>
      <c r="K145">
        <v>62</v>
      </c>
      <c r="L145" t="s">
        <v>14</v>
      </c>
      <c r="M145" t="s">
        <v>1745</v>
      </c>
      <c r="N145" s="2" t="s">
        <v>3027</v>
      </c>
      <c r="O145" t="s">
        <v>3028</v>
      </c>
      <c r="P145" t="s">
        <v>16</v>
      </c>
      <c r="Q145">
        <v>85.542955326460486</v>
      </c>
      <c r="R145">
        <f ca="1">YEAR(TODAY())-Table1[[#This Row],[Year Built]]</f>
        <v>44</v>
      </c>
      <c r="S145" t="str">
        <f>IF(Table1[[#This Row],[Days on Market]] &lt; 30,"Fast",IF(Table1[[#This Row],[Days on Market]]&lt;= 90,"Average", "Slow"))</f>
        <v>Average</v>
      </c>
      <c r="T145" t="str">
        <f>IF(Table1[[#This Row],[Price2]]&lt;500000,"Affordable",IF(Table1[[#This Row],[Price2]]&lt;1000000,"Mid range","Luxury"))</f>
        <v>Affordable</v>
      </c>
    </row>
    <row r="146" spans="1:20" x14ac:dyDescent="0.35">
      <c r="A146" s="3">
        <v>174311</v>
      </c>
      <c r="B146" s="2" t="s">
        <v>12</v>
      </c>
      <c r="C146">
        <v>17198</v>
      </c>
      <c r="D146" s="2" t="s">
        <v>18</v>
      </c>
      <c r="E146">
        <v>3</v>
      </c>
      <c r="F146">
        <v>4</v>
      </c>
      <c r="G146" s="4">
        <f>VALUE(SUBSTITUTE(SUBSTITUTE(Table1[[#This Row],[Price]],"$",""),",",""))</f>
        <v>174311</v>
      </c>
      <c r="H146" s="1">
        <f>Table1[[#This Row],[Price2]]/Table1[[#This Row],[Area]]</f>
        <v>170.05951219512195</v>
      </c>
      <c r="I146">
        <v>1025</v>
      </c>
      <c r="J146">
        <v>1997</v>
      </c>
      <c r="K146">
        <v>1</v>
      </c>
      <c r="L146" t="s">
        <v>52</v>
      </c>
      <c r="M146" t="s">
        <v>2228</v>
      </c>
      <c r="N146" s="2" t="s">
        <v>3033</v>
      </c>
      <c r="O146" t="s">
        <v>3034</v>
      </c>
      <c r="P146" t="s">
        <v>21</v>
      </c>
      <c r="Q146">
        <v>170.05951219512195</v>
      </c>
      <c r="R146">
        <f ca="1">YEAR(TODAY())-Table1[[#This Row],[Year Built]]</f>
        <v>29</v>
      </c>
      <c r="S146" t="str">
        <f>IF(Table1[[#This Row],[Days on Market]] &lt; 30,"Fast",IF(Table1[[#This Row],[Days on Market]]&lt;= 90,"Average", "Slow"))</f>
        <v>Fast</v>
      </c>
      <c r="T146" t="str">
        <f>IF(Table1[[#This Row],[Price2]]&lt;500000,"Affordable",IF(Table1[[#This Row],[Price2]]&lt;1000000,"Mid range","Luxury"))</f>
        <v>Affordable</v>
      </c>
    </row>
    <row r="147" spans="1:20" x14ac:dyDescent="0.35">
      <c r="A147" s="3">
        <v>174659</v>
      </c>
      <c r="B147" s="2" t="s">
        <v>34</v>
      </c>
      <c r="C147">
        <v>37948</v>
      </c>
      <c r="D147" s="2" t="s">
        <v>23</v>
      </c>
      <c r="E147">
        <v>6</v>
      </c>
      <c r="F147">
        <v>4</v>
      </c>
      <c r="G147" s="4">
        <f>VALUE(SUBSTITUTE(SUBSTITUTE(Table1[[#This Row],[Price]],"$",""),",",""))</f>
        <v>174659</v>
      </c>
      <c r="H147" s="1">
        <f>Table1[[#This Row],[Price2]]/Table1[[#This Row],[Area]]</f>
        <v>160.97603686635944</v>
      </c>
      <c r="I147">
        <v>1085</v>
      </c>
      <c r="J147">
        <v>1952</v>
      </c>
      <c r="K147">
        <v>99</v>
      </c>
      <c r="L147" t="s">
        <v>40</v>
      </c>
      <c r="M147" t="s">
        <v>1295</v>
      </c>
      <c r="N147" s="2" t="s">
        <v>3027</v>
      </c>
      <c r="O147" t="s">
        <v>3028</v>
      </c>
      <c r="P147" t="s">
        <v>26</v>
      </c>
      <c r="Q147">
        <v>160.97603686635944</v>
      </c>
      <c r="R147">
        <f ca="1">YEAR(TODAY())-Table1[[#This Row],[Year Built]]</f>
        <v>74</v>
      </c>
      <c r="S147" t="str">
        <f>IF(Table1[[#This Row],[Days on Market]] &lt; 30,"Fast",IF(Table1[[#This Row],[Days on Market]]&lt;= 90,"Average", "Slow"))</f>
        <v>Slow</v>
      </c>
      <c r="T147" t="str">
        <f>IF(Table1[[#This Row],[Price2]]&lt;500000,"Affordable",IF(Table1[[#This Row],[Price2]]&lt;1000000,"Mid range","Luxury"))</f>
        <v>Affordable</v>
      </c>
    </row>
    <row r="148" spans="1:20" x14ac:dyDescent="0.35">
      <c r="A148" s="3">
        <v>174689</v>
      </c>
      <c r="B148" s="2" t="s">
        <v>27</v>
      </c>
      <c r="C148">
        <v>69649</v>
      </c>
      <c r="D148" s="2" t="s">
        <v>18</v>
      </c>
      <c r="E148">
        <v>4</v>
      </c>
      <c r="F148">
        <v>4</v>
      </c>
      <c r="G148" s="4">
        <f>VALUE(SUBSTITUTE(SUBSTITUTE(Table1[[#This Row],[Price]],"$",""),",",""))</f>
        <v>174689</v>
      </c>
      <c r="H148" s="1">
        <f>Table1[[#This Row],[Price2]]/Table1[[#This Row],[Area]]</f>
        <v>55.82901885586449</v>
      </c>
      <c r="I148">
        <v>3129</v>
      </c>
      <c r="J148">
        <v>1988</v>
      </c>
      <c r="K148">
        <v>17</v>
      </c>
      <c r="L148" t="s">
        <v>19</v>
      </c>
      <c r="M148" t="s">
        <v>1112</v>
      </c>
      <c r="N148" s="2" t="s">
        <v>3035</v>
      </c>
      <c r="O148" t="s">
        <v>3036</v>
      </c>
      <c r="P148" t="s">
        <v>26</v>
      </c>
      <c r="Q148">
        <v>55.82901885586449</v>
      </c>
      <c r="R148">
        <f ca="1">YEAR(TODAY())-Table1[[#This Row],[Year Built]]</f>
        <v>38</v>
      </c>
      <c r="S148" t="str">
        <f>IF(Table1[[#This Row],[Days on Market]] &lt; 30,"Fast",IF(Table1[[#This Row],[Days on Market]]&lt;= 90,"Average", "Slow"))</f>
        <v>Fast</v>
      </c>
      <c r="T148" t="str">
        <f>IF(Table1[[#This Row],[Price2]]&lt;500000,"Affordable",IF(Table1[[#This Row],[Price2]]&lt;1000000,"Mid range","Luxury"))</f>
        <v>Affordable</v>
      </c>
    </row>
    <row r="149" spans="1:20" x14ac:dyDescent="0.35">
      <c r="A149" s="3">
        <v>175100</v>
      </c>
      <c r="B149" s="2" t="s">
        <v>27</v>
      </c>
      <c r="C149">
        <v>97674</v>
      </c>
      <c r="D149" s="2" t="s">
        <v>18</v>
      </c>
      <c r="E149">
        <v>3</v>
      </c>
      <c r="F149">
        <v>2</v>
      </c>
      <c r="G149" s="4">
        <f>VALUE(SUBSTITUTE(SUBSTITUTE(Table1[[#This Row],[Price]],"$",""),",",""))</f>
        <v>175100</v>
      </c>
      <c r="H149" s="1">
        <f>Table1[[#This Row],[Price2]]/Table1[[#This Row],[Area]]</f>
        <v>115.88352084712112</v>
      </c>
      <c r="I149">
        <v>1511</v>
      </c>
      <c r="J149">
        <v>1956</v>
      </c>
      <c r="K149">
        <v>66</v>
      </c>
      <c r="L149" t="s">
        <v>52</v>
      </c>
      <c r="M149" t="s">
        <v>2170</v>
      </c>
      <c r="N149" s="2" t="s">
        <v>3033</v>
      </c>
      <c r="O149" t="s">
        <v>3034</v>
      </c>
      <c r="P149" t="s">
        <v>26</v>
      </c>
      <c r="Q149">
        <v>115.88352084712112</v>
      </c>
      <c r="R149">
        <f ca="1">YEAR(TODAY())-Table1[[#This Row],[Year Built]]</f>
        <v>70</v>
      </c>
      <c r="S149" t="str">
        <f>IF(Table1[[#This Row],[Days on Market]] &lt; 30,"Fast",IF(Table1[[#This Row],[Days on Market]]&lt;= 90,"Average", "Slow"))</f>
        <v>Average</v>
      </c>
      <c r="T149" t="str">
        <f>IF(Table1[[#This Row],[Price2]]&lt;500000,"Affordable",IF(Table1[[#This Row],[Price2]]&lt;1000000,"Mid range","Luxury"))</f>
        <v>Affordable</v>
      </c>
    </row>
    <row r="150" spans="1:20" x14ac:dyDescent="0.35">
      <c r="A150" s="3">
        <v>175195</v>
      </c>
      <c r="B150" s="2" t="s">
        <v>27</v>
      </c>
      <c r="C150">
        <v>76215</v>
      </c>
      <c r="D150" s="2" t="s">
        <v>13</v>
      </c>
      <c r="E150">
        <v>6</v>
      </c>
      <c r="F150">
        <v>1</v>
      </c>
      <c r="G150" s="4">
        <f>VALUE(SUBSTITUTE(SUBSTITUTE(Table1[[#This Row],[Price]],"$",""),",",""))</f>
        <v>175195</v>
      </c>
      <c r="H150" s="1">
        <f>Table1[[#This Row],[Price2]]/Table1[[#This Row],[Area]]</f>
        <v>53.642069810165339</v>
      </c>
      <c r="I150">
        <v>3266</v>
      </c>
      <c r="J150">
        <v>1970</v>
      </c>
      <c r="K150">
        <v>109</v>
      </c>
      <c r="L150" t="s">
        <v>40</v>
      </c>
      <c r="M150" t="s">
        <v>2924</v>
      </c>
      <c r="N150" s="2" t="s">
        <v>3031</v>
      </c>
      <c r="O150" t="s">
        <v>3032</v>
      </c>
      <c r="P150" t="s">
        <v>26</v>
      </c>
      <c r="Q150">
        <v>53.642069810165339</v>
      </c>
      <c r="R150">
        <f ca="1">YEAR(TODAY())-Table1[[#This Row],[Year Built]]</f>
        <v>56</v>
      </c>
      <c r="S150" t="str">
        <f>IF(Table1[[#This Row],[Days on Market]] &lt; 30,"Fast",IF(Table1[[#This Row],[Days on Market]]&lt;= 90,"Average", "Slow"))</f>
        <v>Slow</v>
      </c>
      <c r="T150" t="str">
        <f>IF(Table1[[#This Row],[Price2]]&lt;500000,"Affordable",IF(Table1[[#This Row],[Price2]]&lt;1000000,"Mid range","Luxury"))</f>
        <v>Affordable</v>
      </c>
    </row>
    <row r="151" spans="1:20" x14ac:dyDescent="0.35">
      <c r="A151" s="3">
        <v>176130</v>
      </c>
      <c r="B151" s="2" t="s">
        <v>34</v>
      </c>
      <c r="C151">
        <v>99845</v>
      </c>
      <c r="D151" s="2" t="s">
        <v>23</v>
      </c>
      <c r="E151">
        <v>2</v>
      </c>
      <c r="F151">
        <v>4</v>
      </c>
      <c r="G151" s="4">
        <f>VALUE(SUBSTITUTE(SUBSTITUTE(Table1[[#This Row],[Price]],"$",""),",",""))</f>
        <v>176130</v>
      </c>
      <c r="H151" s="1">
        <f>Table1[[#This Row],[Price2]]/Table1[[#This Row],[Area]]</f>
        <v>217.44444444444446</v>
      </c>
      <c r="I151">
        <v>810</v>
      </c>
      <c r="J151">
        <v>1985</v>
      </c>
      <c r="K151">
        <v>59</v>
      </c>
      <c r="L151" t="s">
        <v>52</v>
      </c>
      <c r="M151" t="s">
        <v>1071</v>
      </c>
      <c r="N151" s="2" t="s">
        <v>3031</v>
      </c>
      <c r="O151" t="s">
        <v>3032</v>
      </c>
      <c r="P151" t="s">
        <v>26</v>
      </c>
      <c r="Q151">
        <v>217.44444444444446</v>
      </c>
      <c r="R151">
        <f ca="1">YEAR(TODAY())-Table1[[#This Row],[Year Built]]</f>
        <v>41</v>
      </c>
      <c r="S151" t="str">
        <f>IF(Table1[[#This Row],[Days on Market]] &lt; 30,"Fast",IF(Table1[[#This Row],[Days on Market]]&lt;= 90,"Average", "Slow"))</f>
        <v>Average</v>
      </c>
      <c r="T151" t="str">
        <f>IF(Table1[[#This Row],[Price2]]&lt;500000,"Affordable",IF(Table1[[#This Row],[Price2]]&lt;1000000,"Mid range","Luxury"))</f>
        <v>Affordable</v>
      </c>
    </row>
    <row r="152" spans="1:20" x14ac:dyDescent="0.35">
      <c r="A152" s="3">
        <v>176255</v>
      </c>
      <c r="B152" s="2" t="s">
        <v>22</v>
      </c>
      <c r="C152">
        <v>44381</v>
      </c>
      <c r="D152" s="2" t="s">
        <v>35</v>
      </c>
      <c r="E152">
        <v>3</v>
      </c>
      <c r="F152">
        <v>3</v>
      </c>
      <c r="G152" s="4">
        <f>VALUE(SUBSTITUTE(SUBSTITUTE(Table1[[#This Row],[Price]],"$",""),",",""))</f>
        <v>176255</v>
      </c>
      <c r="H152" s="1">
        <f>Table1[[#This Row],[Price2]]/Table1[[#This Row],[Area]]</f>
        <v>59.365106096328731</v>
      </c>
      <c r="I152">
        <v>2969</v>
      </c>
      <c r="J152">
        <v>1952</v>
      </c>
      <c r="K152">
        <v>97</v>
      </c>
      <c r="L152" t="s">
        <v>14</v>
      </c>
      <c r="M152" t="s">
        <v>1021</v>
      </c>
      <c r="N152" s="2" t="s">
        <v>3027</v>
      </c>
      <c r="O152" t="s">
        <v>3028</v>
      </c>
      <c r="P152" t="s">
        <v>16</v>
      </c>
      <c r="Q152">
        <v>59.365106096328731</v>
      </c>
      <c r="R152">
        <f ca="1">YEAR(TODAY())-Table1[[#This Row],[Year Built]]</f>
        <v>74</v>
      </c>
      <c r="S152" t="str">
        <f>IF(Table1[[#This Row],[Days on Market]] &lt; 30,"Fast",IF(Table1[[#This Row],[Days on Market]]&lt;= 90,"Average", "Slow"))</f>
        <v>Slow</v>
      </c>
      <c r="T152" t="str">
        <f>IF(Table1[[#This Row],[Price2]]&lt;500000,"Affordable",IF(Table1[[#This Row],[Price2]]&lt;1000000,"Mid range","Luxury"))</f>
        <v>Affordable</v>
      </c>
    </row>
    <row r="153" spans="1:20" x14ac:dyDescent="0.35">
      <c r="A153" s="3">
        <v>176303</v>
      </c>
      <c r="B153" s="2" t="s">
        <v>34</v>
      </c>
      <c r="C153">
        <v>55776</v>
      </c>
      <c r="D153" s="2" t="s">
        <v>29</v>
      </c>
      <c r="E153">
        <v>1</v>
      </c>
      <c r="F153">
        <v>1</v>
      </c>
      <c r="G153" s="4">
        <f>VALUE(SUBSTITUTE(SUBSTITUTE(Table1[[#This Row],[Price]],"$",""),",",""))</f>
        <v>176303</v>
      </c>
      <c r="H153" s="1">
        <f>Table1[[#This Row],[Price2]]/Table1[[#This Row],[Area]]</f>
        <v>55.198184095178462</v>
      </c>
      <c r="I153">
        <v>3194</v>
      </c>
      <c r="J153">
        <v>1950</v>
      </c>
      <c r="K153">
        <v>69</v>
      </c>
      <c r="L153" t="s">
        <v>30</v>
      </c>
      <c r="M153" t="s">
        <v>2676</v>
      </c>
      <c r="N153" s="2" t="s">
        <v>3027</v>
      </c>
      <c r="O153" t="s">
        <v>3028</v>
      </c>
      <c r="P153" t="s">
        <v>21</v>
      </c>
      <c r="Q153">
        <v>55.198184095178462</v>
      </c>
      <c r="R153">
        <f ca="1">YEAR(TODAY())-Table1[[#This Row],[Year Built]]</f>
        <v>76</v>
      </c>
      <c r="S153" t="str">
        <f>IF(Table1[[#This Row],[Days on Market]] &lt; 30,"Fast",IF(Table1[[#This Row],[Days on Market]]&lt;= 90,"Average", "Slow"))</f>
        <v>Average</v>
      </c>
      <c r="T153" t="str">
        <f>IF(Table1[[#This Row],[Price2]]&lt;500000,"Affordable",IF(Table1[[#This Row],[Price2]]&lt;1000000,"Mid range","Luxury"))</f>
        <v>Affordable</v>
      </c>
    </row>
    <row r="154" spans="1:20" x14ac:dyDescent="0.35">
      <c r="A154" s="3">
        <v>176979</v>
      </c>
      <c r="B154" s="2" t="s">
        <v>34</v>
      </c>
      <c r="C154">
        <v>64916</v>
      </c>
      <c r="D154" s="2" t="s">
        <v>23</v>
      </c>
      <c r="E154">
        <v>3</v>
      </c>
      <c r="F154">
        <v>4</v>
      </c>
      <c r="G154" s="4">
        <f>VALUE(SUBSTITUTE(SUBSTITUTE(Table1[[#This Row],[Price]],"$",""),",",""))</f>
        <v>176979</v>
      </c>
      <c r="H154" s="1">
        <f>Table1[[#This Row],[Price2]]/Table1[[#This Row],[Area]]</f>
        <v>96.974794520547945</v>
      </c>
      <c r="I154">
        <v>1825</v>
      </c>
      <c r="J154">
        <v>2012</v>
      </c>
      <c r="K154">
        <v>32</v>
      </c>
      <c r="L154" t="s">
        <v>19</v>
      </c>
      <c r="M154" t="s">
        <v>2406</v>
      </c>
      <c r="N154" s="2" t="s">
        <v>3029</v>
      </c>
      <c r="O154" t="s">
        <v>3030</v>
      </c>
      <c r="P154" t="s">
        <v>21</v>
      </c>
      <c r="Q154">
        <v>96.974794520547945</v>
      </c>
      <c r="R154">
        <f ca="1">YEAR(TODAY())-Table1[[#This Row],[Year Built]]</f>
        <v>14</v>
      </c>
      <c r="S154" t="str">
        <f>IF(Table1[[#This Row],[Days on Market]] &lt; 30,"Fast",IF(Table1[[#This Row],[Days on Market]]&lt;= 90,"Average", "Slow"))</f>
        <v>Average</v>
      </c>
      <c r="T154" t="str">
        <f>IF(Table1[[#This Row],[Price2]]&lt;500000,"Affordable",IF(Table1[[#This Row],[Price2]]&lt;1000000,"Mid range","Luxury"))</f>
        <v>Affordable</v>
      </c>
    </row>
    <row r="155" spans="1:20" x14ac:dyDescent="0.35">
      <c r="A155" s="3">
        <v>177022</v>
      </c>
      <c r="B155" s="2" t="s">
        <v>17</v>
      </c>
      <c r="C155">
        <v>98694</v>
      </c>
      <c r="D155" s="2" t="s">
        <v>13</v>
      </c>
      <c r="E155">
        <v>6</v>
      </c>
      <c r="F155">
        <v>3</v>
      </c>
      <c r="G155" s="4">
        <f>VALUE(SUBSTITUTE(SUBSTITUTE(Table1[[#This Row],[Price]],"$",""),",",""))</f>
        <v>177022</v>
      </c>
      <c r="H155" s="1">
        <f>Table1[[#This Row],[Price2]]/Table1[[#This Row],[Area]]</f>
        <v>127.81371841155234</v>
      </c>
      <c r="I155">
        <v>1385</v>
      </c>
      <c r="J155">
        <v>2005</v>
      </c>
      <c r="K155">
        <v>39</v>
      </c>
      <c r="L155" t="s">
        <v>14</v>
      </c>
      <c r="M155" t="s">
        <v>1876</v>
      </c>
      <c r="N155" s="2" t="s">
        <v>3027</v>
      </c>
      <c r="O155" t="s">
        <v>3028</v>
      </c>
      <c r="P155" t="s">
        <v>26</v>
      </c>
      <c r="Q155">
        <v>127.81371841155234</v>
      </c>
      <c r="R155">
        <f ca="1">YEAR(TODAY())-Table1[[#This Row],[Year Built]]</f>
        <v>21</v>
      </c>
      <c r="S155" t="str">
        <f>IF(Table1[[#This Row],[Days on Market]] &lt; 30,"Fast",IF(Table1[[#This Row],[Days on Market]]&lt;= 90,"Average", "Slow"))</f>
        <v>Average</v>
      </c>
      <c r="T155" t="str">
        <f>IF(Table1[[#This Row],[Price2]]&lt;500000,"Affordable",IF(Table1[[#This Row],[Price2]]&lt;1000000,"Mid range","Luxury"))</f>
        <v>Affordable</v>
      </c>
    </row>
    <row r="156" spans="1:20" x14ac:dyDescent="0.35">
      <c r="A156" s="3">
        <v>179425</v>
      </c>
      <c r="B156" s="2" t="s">
        <v>12</v>
      </c>
      <c r="C156">
        <v>49965</v>
      </c>
      <c r="D156" s="2" t="s">
        <v>23</v>
      </c>
      <c r="E156">
        <v>3</v>
      </c>
      <c r="F156">
        <v>2</v>
      </c>
      <c r="G156" s="4">
        <f>VALUE(SUBSTITUTE(SUBSTITUTE(Table1[[#This Row],[Price]],"$",""),",",""))</f>
        <v>179425</v>
      </c>
      <c r="H156" s="1">
        <f>Table1[[#This Row],[Price2]]/Table1[[#This Row],[Area]]</f>
        <v>74.450207468879668</v>
      </c>
      <c r="I156">
        <v>2410</v>
      </c>
      <c r="J156">
        <v>2017</v>
      </c>
      <c r="K156">
        <v>2</v>
      </c>
      <c r="L156" t="s">
        <v>40</v>
      </c>
      <c r="M156" t="s">
        <v>1458</v>
      </c>
      <c r="N156" s="2" t="s">
        <v>3031</v>
      </c>
      <c r="O156" t="s">
        <v>3032</v>
      </c>
      <c r="P156" t="s">
        <v>26</v>
      </c>
      <c r="Q156">
        <v>74.450207468879668</v>
      </c>
      <c r="R156">
        <f ca="1">YEAR(TODAY())-Table1[[#This Row],[Year Built]]</f>
        <v>9</v>
      </c>
      <c r="S156" t="str">
        <f>IF(Table1[[#This Row],[Days on Market]] &lt; 30,"Fast",IF(Table1[[#This Row],[Days on Market]]&lt;= 90,"Average", "Slow"))</f>
        <v>Fast</v>
      </c>
      <c r="T156" t="str">
        <f>IF(Table1[[#This Row],[Price2]]&lt;500000,"Affordable",IF(Table1[[#This Row],[Price2]]&lt;1000000,"Mid range","Luxury"))</f>
        <v>Affordable</v>
      </c>
    </row>
    <row r="157" spans="1:20" x14ac:dyDescent="0.35">
      <c r="A157" s="3">
        <v>179767</v>
      </c>
      <c r="B157" s="2" t="s">
        <v>22</v>
      </c>
      <c r="C157">
        <v>97922</v>
      </c>
      <c r="D157" s="2" t="s">
        <v>29</v>
      </c>
      <c r="E157">
        <v>3</v>
      </c>
      <c r="F157">
        <v>2</v>
      </c>
      <c r="G157" s="4">
        <f>VALUE(SUBSTITUTE(SUBSTITUTE(Table1[[#This Row],[Price]],"$",""),",",""))</f>
        <v>179767</v>
      </c>
      <c r="H157" s="1">
        <f>Table1[[#This Row],[Price2]]/Table1[[#This Row],[Area]]</f>
        <v>71.026076649545629</v>
      </c>
      <c r="I157">
        <v>2531</v>
      </c>
      <c r="J157">
        <v>1987</v>
      </c>
      <c r="K157">
        <v>47</v>
      </c>
      <c r="L157" t="s">
        <v>52</v>
      </c>
      <c r="M157" t="s">
        <v>202</v>
      </c>
      <c r="N157" s="2" t="s">
        <v>3029</v>
      </c>
      <c r="O157" t="s">
        <v>3030</v>
      </c>
      <c r="P157" t="s">
        <v>26</v>
      </c>
      <c r="Q157">
        <v>71.026076649545629</v>
      </c>
      <c r="R157">
        <f ca="1">YEAR(TODAY())-Table1[[#This Row],[Year Built]]</f>
        <v>39</v>
      </c>
      <c r="S157" t="str">
        <f>IF(Table1[[#This Row],[Days on Market]] &lt; 30,"Fast",IF(Table1[[#This Row],[Days on Market]]&lt;= 90,"Average", "Slow"))</f>
        <v>Average</v>
      </c>
      <c r="T157" t="str">
        <f>IF(Table1[[#This Row],[Price2]]&lt;500000,"Affordable",IF(Table1[[#This Row],[Price2]]&lt;1000000,"Mid range","Luxury"))</f>
        <v>Affordable</v>
      </c>
    </row>
    <row r="158" spans="1:20" x14ac:dyDescent="0.35">
      <c r="A158" s="3">
        <v>179797</v>
      </c>
      <c r="B158" s="2" t="s">
        <v>34</v>
      </c>
      <c r="C158">
        <v>99211</v>
      </c>
      <c r="D158" s="2" t="s">
        <v>23</v>
      </c>
      <c r="E158">
        <v>2</v>
      </c>
      <c r="F158">
        <v>3</v>
      </c>
      <c r="G158" s="4">
        <f>VALUE(SUBSTITUTE(SUBSTITUTE(Table1[[#This Row],[Price]],"$",""),",",""))</f>
        <v>179797</v>
      </c>
      <c r="H158" s="1">
        <f>Table1[[#This Row],[Price2]]/Table1[[#This Row],[Area]]</f>
        <v>54.058027660853881</v>
      </c>
      <c r="I158">
        <v>3326</v>
      </c>
      <c r="J158">
        <v>2006</v>
      </c>
      <c r="K158">
        <v>87</v>
      </c>
      <c r="L158" t="s">
        <v>52</v>
      </c>
      <c r="M158" t="s">
        <v>1292</v>
      </c>
      <c r="N158" s="2" t="s">
        <v>3035</v>
      </c>
      <c r="O158" t="s">
        <v>3036</v>
      </c>
      <c r="P158" t="s">
        <v>21</v>
      </c>
      <c r="Q158">
        <v>54.058027660853881</v>
      </c>
      <c r="R158">
        <f ca="1">YEAR(TODAY())-Table1[[#This Row],[Year Built]]</f>
        <v>20</v>
      </c>
      <c r="S158" t="str">
        <f>IF(Table1[[#This Row],[Days on Market]] &lt; 30,"Fast",IF(Table1[[#This Row],[Days on Market]]&lt;= 90,"Average", "Slow"))</f>
        <v>Average</v>
      </c>
      <c r="T158" t="str">
        <f>IF(Table1[[#This Row],[Price2]]&lt;500000,"Affordable",IF(Table1[[#This Row],[Price2]]&lt;1000000,"Mid range","Luxury"))</f>
        <v>Affordable</v>
      </c>
    </row>
    <row r="159" spans="1:20" x14ac:dyDescent="0.35">
      <c r="A159" s="3">
        <v>180214</v>
      </c>
      <c r="B159" s="2" t="s">
        <v>27</v>
      </c>
      <c r="C159">
        <v>65504</v>
      </c>
      <c r="D159" s="2" t="s">
        <v>23</v>
      </c>
      <c r="E159">
        <v>5</v>
      </c>
      <c r="F159">
        <v>2</v>
      </c>
      <c r="G159" s="4">
        <f>VALUE(SUBSTITUTE(SUBSTITUTE(Table1[[#This Row],[Price]],"$",""),",",""))</f>
        <v>180214</v>
      </c>
      <c r="H159" s="1">
        <f>Table1[[#This Row],[Price2]]/Table1[[#This Row],[Area]]</f>
        <v>69.877471888328813</v>
      </c>
      <c r="I159">
        <v>2579</v>
      </c>
      <c r="J159">
        <v>1979</v>
      </c>
      <c r="K159">
        <v>108</v>
      </c>
      <c r="L159" t="s">
        <v>52</v>
      </c>
      <c r="M159" t="s">
        <v>1941</v>
      </c>
      <c r="N159" s="2" t="s">
        <v>3029</v>
      </c>
      <c r="O159" t="s">
        <v>3030</v>
      </c>
      <c r="P159" t="s">
        <v>16</v>
      </c>
      <c r="Q159">
        <v>69.877471888328813</v>
      </c>
      <c r="R159">
        <f ca="1">YEAR(TODAY())-Table1[[#This Row],[Year Built]]</f>
        <v>47</v>
      </c>
      <c r="S159" t="str">
        <f>IF(Table1[[#This Row],[Days on Market]] &lt; 30,"Fast",IF(Table1[[#This Row],[Days on Market]]&lt;= 90,"Average", "Slow"))</f>
        <v>Slow</v>
      </c>
      <c r="T159" t="str">
        <f>IF(Table1[[#This Row],[Price2]]&lt;500000,"Affordable",IF(Table1[[#This Row],[Price2]]&lt;1000000,"Mid range","Luxury"))</f>
        <v>Affordable</v>
      </c>
    </row>
    <row r="160" spans="1:20" x14ac:dyDescent="0.35">
      <c r="A160" s="3">
        <v>181093</v>
      </c>
      <c r="B160" s="2" t="s">
        <v>12</v>
      </c>
      <c r="C160">
        <v>21705</v>
      </c>
      <c r="D160" s="2" t="s">
        <v>18</v>
      </c>
      <c r="E160">
        <v>2</v>
      </c>
      <c r="F160">
        <v>4</v>
      </c>
      <c r="G160" s="4">
        <f>VALUE(SUBSTITUTE(SUBSTITUTE(Table1[[#This Row],[Price]],"$",""),",",""))</f>
        <v>181093</v>
      </c>
      <c r="H160" s="1">
        <f>Table1[[#This Row],[Price2]]/Table1[[#This Row],[Area]]</f>
        <v>119.37574159525379</v>
      </c>
      <c r="I160">
        <v>1517</v>
      </c>
      <c r="J160">
        <v>1967</v>
      </c>
      <c r="K160">
        <v>55</v>
      </c>
      <c r="L160" t="s">
        <v>40</v>
      </c>
      <c r="M160" t="s">
        <v>1675</v>
      </c>
      <c r="N160" s="2" t="s">
        <v>3031</v>
      </c>
      <c r="O160" t="s">
        <v>3032</v>
      </c>
      <c r="P160" t="s">
        <v>16</v>
      </c>
      <c r="Q160">
        <v>119.37574159525379</v>
      </c>
      <c r="R160">
        <f ca="1">YEAR(TODAY())-Table1[[#This Row],[Year Built]]</f>
        <v>59</v>
      </c>
      <c r="S160" t="str">
        <f>IF(Table1[[#This Row],[Days on Market]] &lt; 30,"Fast",IF(Table1[[#This Row],[Days on Market]]&lt;= 90,"Average", "Slow"))</f>
        <v>Average</v>
      </c>
      <c r="T160" t="str">
        <f>IF(Table1[[#This Row],[Price2]]&lt;500000,"Affordable",IF(Table1[[#This Row],[Price2]]&lt;1000000,"Mid range","Luxury"))</f>
        <v>Affordable</v>
      </c>
    </row>
    <row r="161" spans="1:20" x14ac:dyDescent="0.35">
      <c r="A161" s="3">
        <v>183053</v>
      </c>
      <c r="B161" s="2" t="s">
        <v>27</v>
      </c>
      <c r="C161">
        <v>37017</v>
      </c>
      <c r="D161" s="2" t="s">
        <v>13</v>
      </c>
      <c r="E161">
        <v>5</v>
      </c>
      <c r="F161">
        <v>2</v>
      </c>
      <c r="G161" s="4">
        <f>VALUE(SUBSTITUTE(SUBSTITUTE(Table1[[#This Row],[Price]],"$",""),",",""))</f>
        <v>183053</v>
      </c>
      <c r="H161" s="1">
        <f>Table1[[#This Row],[Price2]]/Table1[[#This Row],[Area]]</f>
        <v>49.973518973518971</v>
      </c>
      <c r="I161">
        <v>3663</v>
      </c>
      <c r="J161">
        <v>2015</v>
      </c>
      <c r="K161">
        <v>38</v>
      </c>
      <c r="L161" t="s">
        <v>14</v>
      </c>
      <c r="M161" t="s">
        <v>2435</v>
      </c>
      <c r="N161" s="2" t="s">
        <v>3031</v>
      </c>
      <c r="O161" t="s">
        <v>3032</v>
      </c>
      <c r="P161" t="s">
        <v>21</v>
      </c>
      <c r="Q161">
        <v>49.973518973518971</v>
      </c>
      <c r="R161">
        <f ca="1">YEAR(TODAY())-Table1[[#This Row],[Year Built]]</f>
        <v>11</v>
      </c>
      <c r="S161" t="str">
        <f>IF(Table1[[#This Row],[Days on Market]] &lt; 30,"Fast",IF(Table1[[#This Row],[Days on Market]]&lt;= 90,"Average", "Slow"))</f>
        <v>Average</v>
      </c>
      <c r="T161" t="str">
        <f>IF(Table1[[#This Row],[Price2]]&lt;500000,"Affordable",IF(Table1[[#This Row],[Price2]]&lt;1000000,"Mid range","Luxury"))</f>
        <v>Affordable</v>
      </c>
    </row>
    <row r="162" spans="1:20" x14ac:dyDescent="0.35">
      <c r="A162" s="3">
        <v>183352</v>
      </c>
      <c r="B162" s="2" t="s">
        <v>12</v>
      </c>
      <c r="C162">
        <v>81397</v>
      </c>
      <c r="D162" s="2" t="s">
        <v>13</v>
      </c>
      <c r="E162">
        <v>6</v>
      </c>
      <c r="F162">
        <v>2</v>
      </c>
      <c r="G162" s="4">
        <f>VALUE(SUBSTITUTE(SUBSTITUTE(Table1[[#This Row],[Price]],"$",""),",",""))</f>
        <v>183352</v>
      </c>
      <c r="H162" s="1">
        <f>Table1[[#This Row],[Price2]]/Table1[[#This Row],[Area]]</f>
        <v>81.817045961624274</v>
      </c>
      <c r="I162">
        <v>2241</v>
      </c>
      <c r="J162">
        <v>1961</v>
      </c>
      <c r="K162">
        <v>70</v>
      </c>
      <c r="L162" t="s">
        <v>30</v>
      </c>
      <c r="M162" t="s">
        <v>281</v>
      </c>
      <c r="N162" s="2" t="s">
        <v>3029</v>
      </c>
      <c r="O162" t="s">
        <v>3030</v>
      </c>
      <c r="P162" t="s">
        <v>26</v>
      </c>
      <c r="Q162">
        <v>81.817045961624274</v>
      </c>
      <c r="R162">
        <f ca="1">YEAR(TODAY())-Table1[[#This Row],[Year Built]]</f>
        <v>65</v>
      </c>
      <c r="S162" t="str">
        <f>IF(Table1[[#This Row],[Days on Market]] &lt; 30,"Fast",IF(Table1[[#This Row],[Days on Market]]&lt;= 90,"Average", "Slow"))</f>
        <v>Average</v>
      </c>
      <c r="T162" t="str">
        <f>IF(Table1[[#This Row],[Price2]]&lt;500000,"Affordable",IF(Table1[[#This Row],[Price2]]&lt;1000000,"Mid range","Luxury"))</f>
        <v>Affordable</v>
      </c>
    </row>
    <row r="163" spans="1:20" x14ac:dyDescent="0.35">
      <c r="A163" s="3">
        <v>183360</v>
      </c>
      <c r="B163" s="2" t="s">
        <v>22</v>
      </c>
      <c r="C163">
        <v>28013</v>
      </c>
      <c r="D163" s="2" t="s">
        <v>29</v>
      </c>
      <c r="E163">
        <v>5</v>
      </c>
      <c r="F163">
        <v>4</v>
      </c>
      <c r="G163" s="4">
        <f>VALUE(SUBSTITUTE(SUBSTITUTE(Table1[[#This Row],[Price]],"$",""),",",""))</f>
        <v>183360</v>
      </c>
      <c r="H163" s="1">
        <f>Table1[[#This Row],[Price2]]/Table1[[#This Row],[Area]]</f>
        <v>159.86050566695727</v>
      </c>
      <c r="I163">
        <v>1147</v>
      </c>
      <c r="J163">
        <v>1986</v>
      </c>
      <c r="K163">
        <v>26</v>
      </c>
      <c r="L163" t="s">
        <v>30</v>
      </c>
      <c r="M163" t="s">
        <v>1310</v>
      </c>
      <c r="N163" s="2" t="s">
        <v>3031</v>
      </c>
      <c r="O163" t="s">
        <v>3032</v>
      </c>
      <c r="P163" t="s">
        <v>16</v>
      </c>
      <c r="Q163">
        <v>159.86050566695727</v>
      </c>
      <c r="R163">
        <f ca="1">YEAR(TODAY())-Table1[[#This Row],[Year Built]]</f>
        <v>40</v>
      </c>
      <c r="S163" t="str">
        <f>IF(Table1[[#This Row],[Days on Market]] &lt; 30,"Fast",IF(Table1[[#This Row],[Days on Market]]&lt;= 90,"Average", "Slow"))</f>
        <v>Fast</v>
      </c>
      <c r="T163" t="str">
        <f>IF(Table1[[#This Row],[Price2]]&lt;500000,"Affordable",IF(Table1[[#This Row],[Price2]]&lt;1000000,"Mid range","Luxury"))</f>
        <v>Affordable</v>
      </c>
    </row>
    <row r="164" spans="1:20" x14ac:dyDescent="0.35">
      <c r="A164" s="3">
        <v>183679</v>
      </c>
      <c r="B164" s="2" t="s">
        <v>34</v>
      </c>
      <c r="C164">
        <v>95768</v>
      </c>
      <c r="D164" s="2" t="s">
        <v>35</v>
      </c>
      <c r="E164">
        <v>5</v>
      </c>
      <c r="F164">
        <v>1</v>
      </c>
      <c r="G164" s="4">
        <f>VALUE(SUBSTITUTE(SUBSTITUTE(Table1[[#This Row],[Price]],"$",""),",",""))</f>
        <v>183679</v>
      </c>
      <c r="H164" s="1">
        <f>Table1[[#This Row],[Price2]]/Table1[[#This Row],[Area]]</f>
        <v>51.508412787436903</v>
      </c>
      <c r="I164">
        <v>3566</v>
      </c>
      <c r="J164">
        <v>1968</v>
      </c>
      <c r="K164">
        <v>32</v>
      </c>
      <c r="L164" t="s">
        <v>14</v>
      </c>
      <c r="M164" t="s">
        <v>217</v>
      </c>
      <c r="N164" s="2" t="s">
        <v>3033</v>
      </c>
      <c r="O164" t="s">
        <v>3034</v>
      </c>
      <c r="P164" t="s">
        <v>16</v>
      </c>
      <c r="Q164">
        <v>51.508412787436903</v>
      </c>
      <c r="R164">
        <f ca="1">YEAR(TODAY())-Table1[[#This Row],[Year Built]]</f>
        <v>58</v>
      </c>
      <c r="S164" t="str">
        <f>IF(Table1[[#This Row],[Days on Market]] &lt; 30,"Fast",IF(Table1[[#This Row],[Days on Market]]&lt;= 90,"Average", "Slow"))</f>
        <v>Average</v>
      </c>
      <c r="T164" t="str">
        <f>IF(Table1[[#This Row],[Price2]]&lt;500000,"Affordable",IF(Table1[[#This Row],[Price2]]&lt;1000000,"Mid range","Luxury"))</f>
        <v>Affordable</v>
      </c>
    </row>
    <row r="165" spans="1:20" x14ac:dyDescent="0.35">
      <c r="A165" s="3">
        <v>183860</v>
      </c>
      <c r="B165" s="2" t="s">
        <v>17</v>
      </c>
      <c r="C165">
        <v>14495</v>
      </c>
      <c r="D165" s="2" t="s">
        <v>35</v>
      </c>
      <c r="E165">
        <v>3</v>
      </c>
      <c r="F165">
        <v>1</v>
      </c>
      <c r="G165" s="4">
        <f>VALUE(SUBSTITUTE(SUBSTITUTE(Table1[[#This Row],[Price]],"$",""),",",""))</f>
        <v>183860</v>
      </c>
      <c r="H165" s="1">
        <f>Table1[[#This Row],[Price2]]/Table1[[#This Row],[Area]]</f>
        <v>70.282874617737008</v>
      </c>
      <c r="I165">
        <v>2616</v>
      </c>
      <c r="J165">
        <v>1952</v>
      </c>
      <c r="K165">
        <v>27</v>
      </c>
      <c r="L165" t="s">
        <v>30</v>
      </c>
      <c r="M165" t="s">
        <v>561</v>
      </c>
      <c r="N165" s="2" t="s">
        <v>3031</v>
      </c>
      <c r="O165" t="s">
        <v>3032</v>
      </c>
      <c r="P165" t="s">
        <v>16</v>
      </c>
      <c r="Q165">
        <v>70.282874617737008</v>
      </c>
      <c r="R165">
        <f ca="1">YEAR(TODAY())-Table1[[#This Row],[Year Built]]</f>
        <v>74</v>
      </c>
      <c r="S165" t="str">
        <f>IF(Table1[[#This Row],[Days on Market]] &lt; 30,"Fast",IF(Table1[[#This Row],[Days on Market]]&lt;= 90,"Average", "Slow"))</f>
        <v>Fast</v>
      </c>
      <c r="T165" t="str">
        <f>IF(Table1[[#This Row],[Price2]]&lt;500000,"Affordable",IF(Table1[[#This Row],[Price2]]&lt;1000000,"Mid range","Luxury"))</f>
        <v>Affordable</v>
      </c>
    </row>
    <row r="166" spans="1:20" x14ac:dyDescent="0.35">
      <c r="A166" s="3">
        <v>187796</v>
      </c>
      <c r="B166" s="2" t="s">
        <v>17</v>
      </c>
      <c r="C166">
        <v>49637</v>
      </c>
      <c r="D166" s="2" t="s">
        <v>13</v>
      </c>
      <c r="E166">
        <v>4</v>
      </c>
      <c r="F166">
        <v>1</v>
      </c>
      <c r="G166" s="4">
        <f>VALUE(SUBSTITUTE(SUBSTITUTE(Table1[[#This Row],[Price]],"$",""),",",""))</f>
        <v>187796</v>
      </c>
      <c r="H166" s="1">
        <f>Table1[[#This Row],[Price2]]/Table1[[#This Row],[Area]]</f>
        <v>73.73223400078524</v>
      </c>
      <c r="I166">
        <v>2547</v>
      </c>
      <c r="J166">
        <v>2015</v>
      </c>
      <c r="K166">
        <v>119</v>
      </c>
      <c r="L166" t="s">
        <v>52</v>
      </c>
      <c r="M166" t="s">
        <v>2526</v>
      </c>
      <c r="N166" s="2" t="s">
        <v>3035</v>
      </c>
      <c r="O166" t="s">
        <v>3036</v>
      </c>
      <c r="P166" t="s">
        <v>26</v>
      </c>
      <c r="Q166">
        <v>73.73223400078524</v>
      </c>
      <c r="R166">
        <f ca="1">YEAR(TODAY())-Table1[[#This Row],[Year Built]]</f>
        <v>11</v>
      </c>
      <c r="S166" t="str">
        <f>IF(Table1[[#This Row],[Days on Market]] &lt; 30,"Fast",IF(Table1[[#This Row],[Days on Market]]&lt;= 90,"Average", "Slow"))</f>
        <v>Slow</v>
      </c>
      <c r="T166" t="str">
        <f>IF(Table1[[#This Row],[Price2]]&lt;500000,"Affordable",IF(Table1[[#This Row],[Price2]]&lt;1000000,"Mid range","Luxury"))</f>
        <v>Affordable</v>
      </c>
    </row>
    <row r="167" spans="1:20" x14ac:dyDescent="0.35">
      <c r="A167" s="3">
        <v>188207</v>
      </c>
      <c r="B167" s="2" t="s">
        <v>17</v>
      </c>
      <c r="C167">
        <v>64747</v>
      </c>
      <c r="D167" s="2" t="s">
        <v>18</v>
      </c>
      <c r="E167">
        <v>2</v>
      </c>
      <c r="F167">
        <v>3</v>
      </c>
      <c r="G167" s="4">
        <f>VALUE(SUBSTITUTE(SUBSTITUTE(Table1[[#This Row],[Price]],"$",""),",",""))</f>
        <v>188207</v>
      </c>
      <c r="H167" s="1">
        <f>Table1[[#This Row],[Price2]]/Table1[[#This Row],[Area]]</f>
        <v>80.190455901150401</v>
      </c>
      <c r="I167">
        <v>2347</v>
      </c>
      <c r="J167">
        <v>1963</v>
      </c>
      <c r="K167">
        <v>28</v>
      </c>
      <c r="L167" t="s">
        <v>19</v>
      </c>
      <c r="M167" t="s">
        <v>1274</v>
      </c>
      <c r="N167" s="2" t="s">
        <v>3027</v>
      </c>
      <c r="O167" t="s">
        <v>3028</v>
      </c>
      <c r="P167" t="s">
        <v>16</v>
      </c>
      <c r="Q167">
        <v>80.190455901150401</v>
      </c>
      <c r="R167">
        <f ca="1">YEAR(TODAY())-Table1[[#This Row],[Year Built]]</f>
        <v>63</v>
      </c>
      <c r="S167" t="str">
        <f>IF(Table1[[#This Row],[Days on Market]] &lt; 30,"Fast",IF(Table1[[#This Row],[Days on Market]]&lt;= 90,"Average", "Slow"))</f>
        <v>Fast</v>
      </c>
      <c r="T167" t="str">
        <f>IF(Table1[[#This Row],[Price2]]&lt;500000,"Affordable",IF(Table1[[#This Row],[Price2]]&lt;1000000,"Mid range","Luxury"))</f>
        <v>Affordable</v>
      </c>
    </row>
    <row r="168" spans="1:20" x14ac:dyDescent="0.35">
      <c r="A168" s="3">
        <v>188953</v>
      </c>
      <c r="B168" s="2" t="s">
        <v>22</v>
      </c>
      <c r="C168">
        <v>92649</v>
      </c>
      <c r="D168" s="2" t="s">
        <v>35</v>
      </c>
      <c r="E168">
        <v>2</v>
      </c>
      <c r="F168">
        <v>4</v>
      </c>
      <c r="G168" s="4">
        <f>VALUE(SUBSTITUTE(SUBSTITUTE(Table1[[#This Row],[Price]],"$",""),",",""))</f>
        <v>188953</v>
      </c>
      <c r="H168" s="1">
        <f>Table1[[#This Row],[Price2]]/Table1[[#This Row],[Area]]</f>
        <v>48.177715451300358</v>
      </c>
      <c r="I168">
        <v>3922</v>
      </c>
      <c r="J168">
        <v>1971</v>
      </c>
      <c r="K168">
        <v>82</v>
      </c>
      <c r="L168" t="s">
        <v>52</v>
      </c>
      <c r="M168" t="s">
        <v>1558</v>
      </c>
      <c r="N168" s="2" t="s">
        <v>3035</v>
      </c>
      <c r="O168" t="s">
        <v>3036</v>
      </c>
      <c r="P168" t="s">
        <v>16</v>
      </c>
      <c r="Q168">
        <v>48.177715451300358</v>
      </c>
      <c r="R168">
        <f ca="1">YEAR(TODAY())-Table1[[#This Row],[Year Built]]</f>
        <v>55</v>
      </c>
      <c r="S168" t="str">
        <f>IF(Table1[[#This Row],[Days on Market]] &lt; 30,"Fast",IF(Table1[[#This Row],[Days on Market]]&lt;= 90,"Average", "Slow"))</f>
        <v>Average</v>
      </c>
      <c r="T168" t="str">
        <f>IF(Table1[[#This Row],[Price2]]&lt;500000,"Affordable",IF(Table1[[#This Row],[Price2]]&lt;1000000,"Mid range","Luxury"))</f>
        <v>Affordable</v>
      </c>
    </row>
    <row r="169" spans="1:20" x14ac:dyDescent="0.35">
      <c r="A169" s="3">
        <v>189267</v>
      </c>
      <c r="B169" s="2" t="s">
        <v>17</v>
      </c>
      <c r="C169">
        <v>38666</v>
      </c>
      <c r="D169" s="2" t="s">
        <v>23</v>
      </c>
      <c r="E169">
        <v>2</v>
      </c>
      <c r="F169">
        <v>1</v>
      </c>
      <c r="G169" s="4">
        <f>VALUE(SUBSTITUTE(SUBSTITUTE(Table1[[#This Row],[Price]],"$",""),",",""))</f>
        <v>189267</v>
      </c>
      <c r="H169" s="1">
        <f>Table1[[#This Row],[Price2]]/Table1[[#This Row],[Area]]</f>
        <v>312.83801652892561</v>
      </c>
      <c r="I169">
        <v>605</v>
      </c>
      <c r="J169">
        <v>1958</v>
      </c>
      <c r="K169">
        <v>119</v>
      </c>
      <c r="L169" t="s">
        <v>19</v>
      </c>
      <c r="M169" t="s">
        <v>25</v>
      </c>
      <c r="N169" s="2" t="s">
        <v>3033</v>
      </c>
      <c r="O169" t="s">
        <v>3034</v>
      </c>
      <c r="P169" t="s">
        <v>26</v>
      </c>
      <c r="Q169">
        <v>312.83801652892561</v>
      </c>
      <c r="R169">
        <f ca="1">YEAR(TODAY())-Table1[[#This Row],[Year Built]]</f>
        <v>68</v>
      </c>
      <c r="S169" t="str">
        <f>IF(Table1[[#This Row],[Days on Market]] &lt; 30,"Fast",IF(Table1[[#This Row],[Days on Market]]&lt;= 90,"Average", "Slow"))</f>
        <v>Slow</v>
      </c>
      <c r="T169" t="str">
        <f>IF(Table1[[#This Row],[Price2]]&lt;500000,"Affordable",IF(Table1[[#This Row],[Price2]]&lt;1000000,"Mid range","Luxury"))</f>
        <v>Affordable</v>
      </c>
    </row>
    <row r="170" spans="1:20" x14ac:dyDescent="0.35">
      <c r="A170" s="3">
        <v>190155</v>
      </c>
      <c r="B170" s="2" t="s">
        <v>27</v>
      </c>
      <c r="C170">
        <v>83221</v>
      </c>
      <c r="D170" s="2" t="s">
        <v>29</v>
      </c>
      <c r="E170">
        <v>6</v>
      </c>
      <c r="F170">
        <v>3</v>
      </c>
      <c r="G170" s="4">
        <f>VALUE(SUBSTITUTE(SUBSTITUTE(Table1[[#This Row],[Price]],"$",""),",",""))</f>
        <v>190155</v>
      </c>
      <c r="H170" s="1">
        <f>Table1[[#This Row],[Price2]]/Table1[[#This Row],[Area]]</f>
        <v>114.00179856115108</v>
      </c>
      <c r="I170">
        <v>1668</v>
      </c>
      <c r="J170">
        <v>1970</v>
      </c>
      <c r="K170">
        <v>68</v>
      </c>
      <c r="L170" t="s">
        <v>52</v>
      </c>
      <c r="M170" t="s">
        <v>269</v>
      </c>
      <c r="N170" s="2" t="s">
        <v>3033</v>
      </c>
      <c r="O170" t="s">
        <v>3034</v>
      </c>
      <c r="P170" t="s">
        <v>16</v>
      </c>
      <c r="Q170">
        <v>114.00179856115108</v>
      </c>
      <c r="R170">
        <f ca="1">YEAR(TODAY())-Table1[[#This Row],[Year Built]]</f>
        <v>56</v>
      </c>
      <c r="S170" t="str">
        <f>IF(Table1[[#This Row],[Days on Market]] &lt; 30,"Fast",IF(Table1[[#This Row],[Days on Market]]&lt;= 90,"Average", "Slow"))</f>
        <v>Average</v>
      </c>
      <c r="T170" t="str">
        <f>IF(Table1[[#This Row],[Price2]]&lt;500000,"Affordable",IF(Table1[[#This Row],[Price2]]&lt;1000000,"Mid range","Luxury"))</f>
        <v>Affordable</v>
      </c>
    </row>
    <row r="171" spans="1:20" x14ac:dyDescent="0.35">
      <c r="A171" s="3">
        <v>190329</v>
      </c>
      <c r="B171" s="2" t="s">
        <v>27</v>
      </c>
      <c r="C171">
        <v>66135</v>
      </c>
      <c r="D171" s="2" t="s">
        <v>23</v>
      </c>
      <c r="E171">
        <v>4</v>
      </c>
      <c r="F171">
        <v>2</v>
      </c>
      <c r="G171" s="4">
        <f>VALUE(SUBSTITUTE(SUBSTITUTE(Table1[[#This Row],[Price]],"$",""),",",""))</f>
        <v>190329</v>
      </c>
      <c r="H171" s="1">
        <f>Table1[[#This Row],[Price2]]/Table1[[#This Row],[Area]]</f>
        <v>59.200311041990666</v>
      </c>
      <c r="I171">
        <v>3215</v>
      </c>
      <c r="J171">
        <v>2021</v>
      </c>
      <c r="K171">
        <v>58</v>
      </c>
      <c r="L171" t="s">
        <v>30</v>
      </c>
      <c r="M171" t="s">
        <v>627</v>
      </c>
      <c r="N171" s="2" t="s">
        <v>3033</v>
      </c>
      <c r="O171" t="s">
        <v>3034</v>
      </c>
      <c r="P171" t="s">
        <v>16</v>
      </c>
      <c r="Q171">
        <v>59.200311041990666</v>
      </c>
      <c r="R171">
        <f ca="1">YEAR(TODAY())-Table1[[#This Row],[Year Built]]</f>
        <v>5</v>
      </c>
      <c r="S171" t="str">
        <f>IF(Table1[[#This Row],[Days on Market]] &lt; 30,"Fast",IF(Table1[[#This Row],[Days on Market]]&lt;= 90,"Average", "Slow"))</f>
        <v>Average</v>
      </c>
      <c r="T171" t="str">
        <f>IF(Table1[[#This Row],[Price2]]&lt;500000,"Affordable",IF(Table1[[#This Row],[Price2]]&lt;1000000,"Mid range","Luxury"))</f>
        <v>Affordable</v>
      </c>
    </row>
    <row r="172" spans="1:20" x14ac:dyDescent="0.35">
      <c r="A172" s="3">
        <v>190609</v>
      </c>
      <c r="B172" s="2" t="s">
        <v>34</v>
      </c>
      <c r="C172">
        <v>93066</v>
      </c>
      <c r="D172" s="2" t="s">
        <v>29</v>
      </c>
      <c r="E172">
        <v>6</v>
      </c>
      <c r="F172">
        <v>3</v>
      </c>
      <c r="G172" s="4">
        <f>VALUE(SUBSTITUTE(SUBSTITUTE(Table1[[#This Row],[Price]],"$",""),",",""))</f>
        <v>190609</v>
      </c>
      <c r="H172" s="1">
        <f>Table1[[#This Row],[Price2]]/Table1[[#This Row],[Area]]</f>
        <v>59.048636926889714</v>
      </c>
      <c r="I172">
        <v>3228</v>
      </c>
      <c r="J172">
        <v>2004</v>
      </c>
      <c r="K172">
        <v>13</v>
      </c>
      <c r="L172" t="s">
        <v>52</v>
      </c>
      <c r="M172" t="s">
        <v>2046</v>
      </c>
      <c r="N172" s="2" t="s">
        <v>3027</v>
      </c>
      <c r="O172" t="s">
        <v>3028</v>
      </c>
      <c r="P172" t="s">
        <v>21</v>
      </c>
      <c r="Q172">
        <v>59.048636926889714</v>
      </c>
      <c r="R172">
        <f ca="1">YEAR(TODAY())-Table1[[#This Row],[Year Built]]</f>
        <v>22</v>
      </c>
      <c r="S172" t="str">
        <f>IF(Table1[[#This Row],[Days on Market]] &lt; 30,"Fast",IF(Table1[[#This Row],[Days on Market]]&lt;= 90,"Average", "Slow"))</f>
        <v>Fast</v>
      </c>
      <c r="T172" t="str">
        <f>IF(Table1[[#This Row],[Price2]]&lt;500000,"Affordable",IF(Table1[[#This Row],[Price2]]&lt;1000000,"Mid range","Luxury"))</f>
        <v>Affordable</v>
      </c>
    </row>
    <row r="173" spans="1:20" x14ac:dyDescent="0.35">
      <c r="A173" s="3">
        <v>190705</v>
      </c>
      <c r="B173" s="2" t="s">
        <v>17</v>
      </c>
      <c r="C173">
        <v>98601</v>
      </c>
      <c r="D173" s="2" t="s">
        <v>29</v>
      </c>
      <c r="E173">
        <v>6</v>
      </c>
      <c r="F173">
        <v>2</v>
      </c>
      <c r="G173" s="4">
        <f>VALUE(SUBSTITUTE(SUBSTITUTE(Table1[[#This Row],[Price]],"$",""),",",""))</f>
        <v>190705</v>
      </c>
      <c r="H173" s="1">
        <f>Table1[[#This Row],[Price2]]/Table1[[#This Row],[Area]]</f>
        <v>60.21629302178718</v>
      </c>
      <c r="I173">
        <v>3167</v>
      </c>
      <c r="J173">
        <v>1957</v>
      </c>
      <c r="K173">
        <v>120</v>
      </c>
      <c r="L173" t="s">
        <v>14</v>
      </c>
      <c r="M173" t="s">
        <v>153</v>
      </c>
      <c r="N173" s="2" t="s">
        <v>3035</v>
      </c>
      <c r="O173" t="s">
        <v>3036</v>
      </c>
      <c r="P173" t="s">
        <v>21</v>
      </c>
      <c r="Q173">
        <v>60.21629302178718</v>
      </c>
      <c r="R173">
        <f ca="1">YEAR(TODAY())-Table1[[#This Row],[Year Built]]</f>
        <v>69</v>
      </c>
      <c r="S173" t="str">
        <f>IF(Table1[[#This Row],[Days on Market]] &lt; 30,"Fast",IF(Table1[[#This Row],[Days on Market]]&lt;= 90,"Average", "Slow"))</f>
        <v>Slow</v>
      </c>
      <c r="T173" t="str">
        <f>IF(Table1[[#This Row],[Price2]]&lt;500000,"Affordable",IF(Table1[[#This Row],[Price2]]&lt;1000000,"Mid range","Luxury"))</f>
        <v>Affordable</v>
      </c>
    </row>
    <row r="174" spans="1:20" x14ac:dyDescent="0.35">
      <c r="A174" s="3">
        <v>190823</v>
      </c>
      <c r="B174" s="2" t="s">
        <v>27</v>
      </c>
      <c r="C174">
        <v>39510</v>
      </c>
      <c r="D174" s="2" t="s">
        <v>29</v>
      </c>
      <c r="E174">
        <v>3</v>
      </c>
      <c r="F174">
        <v>3</v>
      </c>
      <c r="G174" s="4">
        <f>VALUE(SUBSTITUTE(SUBSTITUTE(Table1[[#This Row],[Price]],"$",""),",",""))</f>
        <v>190823</v>
      </c>
      <c r="H174" s="1">
        <f>Table1[[#This Row],[Price2]]/Table1[[#This Row],[Area]]</f>
        <v>48.358590978205775</v>
      </c>
      <c r="I174">
        <v>3946</v>
      </c>
      <c r="J174">
        <v>2003</v>
      </c>
      <c r="K174">
        <v>48</v>
      </c>
      <c r="L174" t="s">
        <v>19</v>
      </c>
      <c r="M174" t="s">
        <v>318</v>
      </c>
      <c r="N174" s="2" t="s">
        <v>3033</v>
      </c>
      <c r="O174" t="s">
        <v>3034</v>
      </c>
      <c r="P174" t="s">
        <v>21</v>
      </c>
      <c r="Q174">
        <v>48.358590978205775</v>
      </c>
      <c r="R174">
        <f ca="1">YEAR(TODAY())-Table1[[#This Row],[Year Built]]</f>
        <v>23</v>
      </c>
      <c r="S174" t="str">
        <f>IF(Table1[[#This Row],[Days on Market]] &lt; 30,"Fast",IF(Table1[[#This Row],[Days on Market]]&lt;= 90,"Average", "Slow"))</f>
        <v>Average</v>
      </c>
      <c r="T174" t="str">
        <f>IF(Table1[[#This Row],[Price2]]&lt;500000,"Affordable",IF(Table1[[#This Row],[Price2]]&lt;1000000,"Mid range","Luxury"))</f>
        <v>Affordable</v>
      </c>
    </row>
    <row r="175" spans="1:20" x14ac:dyDescent="0.35">
      <c r="A175" s="3">
        <v>190824</v>
      </c>
      <c r="B175" s="2" t="s">
        <v>34</v>
      </c>
      <c r="C175">
        <v>30879</v>
      </c>
      <c r="D175" s="2" t="s">
        <v>13</v>
      </c>
      <c r="E175">
        <v>4</v>
      </c>
      <c r="F175">
        <v>3</v>
      </c>
      <c r="G175" s="4">
        <f>VALUE(SUBSTITUTE(SUBSTITUTE(Table1[[#This Row],[Price]],"$",""),",",""))</f>
        <v>190824</v>
      </c>
      <c r="H175" s="1">
        <f>Table1[[#This Row],[Price2]]/Table1[[#This Row],[Area]]</f>
        <v>70.623242042931167</v>
      </c>
      <c r="I175">
        <v>2702</v>
      </c>
      <c r="J175">
        <v>2023</v>
      </c>
      <c r="K175">
        <v>7</v>
      </c>
      <c r="L175" t="s">
        <v>30</v>
      </c>
      <c r="M175" t="s">
        <v>2956</v>
      </c>
      <c r="N175" s="2" t="s">
        <v>3033</v>
      </c>
      <c r="O175" t="s">
        <v>3034</v>
      </c>
      <c r="P175" t="s">
        <v>21</v>
      </c>
      <c r="Q175">
        <v>70.623242042931167</v>
      </c>
      <c r="R175">
        <f ca="1">YEAR(TODAY())-Table1[[#This Row],[Year Built]]</f>
        <v>3</v>
      </c>
      <c r="S175" t="str">
        <f>IF(Table1[[#This Row],[Days on Market]] &lt; 30,"Fast",IF(Table1[[#This Row],[Days on Market]]&lt;= 90,"Average", "Slow"))</f>
        <v>Fast</v>
      </c>
      <c r="T175" t="str">
        <f>IF(Table1[[#This Row],[Price2]]&lt;500000,"Affordable",IF(Table1[[#This Row],[Price2]]&lt;1000000,"Mid range","Luxury"))</f>
        <v>Affordable</v>
      </c>
    </row>
    <row r="176" spans="1:20" x14ac:dyDescent="0.35">
      <c r="A176" s="3">
        <v>191048</v>
      </c>
      <c r="B176" s="2" t="s">
        <v>34</v>
      </c>
      <c r="C176">
        <v>21240</v>
      </c>
      <c r="D176" s="2" t="s">
        <v>29</v>
      </c>
      <c r="E176">
        <v>1</v>
      </c>
      <c r="F176">
        <v>4</v>
      </c>
      <c r="G176" s="4">
        <f>VALUE(SUBSTITUTE(SUBSTITUTE(Table1[[#This Row],[Price]],"$",""),",",""))</f>
        <v>191048</v>
      </c>
      <c r="H176" s="1">
        <f>Table1[[#This Row],[Price2]]/Table1[[#This Row],[Area]]</f>
        <v>73.338963531669862</v>
      </c>
      <c r="I176">
        <v>2605</v>
      </c>
      <c r="J176">
        <v>1954</v>
      </c>
      <c r="K176">
        <v>49</v>
      </c>
      <c r="L176" t="s">
        <v>30</v>
      </c>
      <c r="M176" t="s">
        <v>944</v>
      </c>
      <c r="N176" s="2" t="s">
        <v>3033</v>
      </c>
      <c r="O176" t="s">
        <v>3034</v>
      </c>
      <c r="P176" t="s">
        <v>26</v>
      </c>
      <c r="Q176">
        <v>73.338963531669862</v>
      </c>
      <c r="R176">
        <f ca="1">YEAR(TODAY())-Table1[[#This Row],[Year Built]]</f>
        <v>72</v>
      </c>
      <c r="S176" t="str">
        <f>IF(Table1[[#This Row],[Days on Market]] &lt; 30,"Fast",IF(Table1[[#This Row],[Days on Market]]&lt;= 90,"Average", "Slow"))</f>
        <v>Average</v>
      </c>
      <c r="T176" t="str">
        <f>IF(Table1[[#This Row],[Price2]]&lt;500000,"Affordable",IF(Table1[[#This Row],[Price2]]&lt;1000000,"Mid range","Luxury"))</f>
        <v>Affordable</v>
      </c>
    </row>
    <row r="177" spans="1:20" x14ac:dyDescent="0.35">
      <c r="A177" s="3">
        <v>191377</v>
      </c>
      <c r="B177" s="2" t="s">
        <v>17</v>
      </c>
      <c r="C177">
        <v>91466</v>
      </c>
      <c r="D177" s="2" t="s">
        <v>29</v>
      </c>
      <c r="E177">
        <v>3</v>
      </c>
      <c r="F177">
        <v>4</v>
      </c>
      <c r="G177" s="4">
        <f>VALUE(SUBSTITUTE(SUBSTITUTE(Table1[[#This Row],[Price]],"$",""),",",""))</f>
        <v>191377</v>
      </c>
      <c r="H177" s="1">
        <f>Table1[[#This Row],[Price2]]/Table1[[#This Row],[Area]]</f>
        <v>64.961642905634761</v>
      </c>
      <c r="I177">
        <v>2946</v>
      </c>
      <c r="J177">
        <v>1960</v>
      </c>
      <c r="K177">
        <v>35</v>
      </c>
      <c r="L177" t="s">
        <v>30</v>
      </c>
      <c r="M177" t="s">
        <v>1447</v>
      </c>
      <c r="N177" s="2" t="s">
        <v>3029</v>
      </c>
      <c r="O177" t="s">
        <v>3030</v>
      </c>
      <c r="P177" t="s">
        <v>26</v>
      </c>
      <c r="Q177">
        <v>64.961642905634761</v>
      </c>
      <c r="R177">
        <f ca="1">YEAR(TODAY())-Table1[[#This Row],[Year Built]]</f>
        <v>66</v>
      </c>
      <c r="S177" t="str">
        <f>IF(Table1[[#This Row],[Days on Market]] &lt; 30,"Fast",IF(Table1[[#This Row],[Days on Market]]&lt;= 90,"Average", "Slow"))</f>
        <v>Average</v>
      </c>
      <c r="T177" t="str">
        <f>IF(Table1[[#This Row],[Price2]]&lt;500000,"Affordable",IF(Table1[[#This Row],[Price2]]&lt;1000000,"Mid range","Luxury"))</f>
        <v>Affordable</v>
      </c>
    </row>
    <row r="178" spans="1:20" x14ac:dyDescent="0.35">
      <c r="A178" s="3">
        <v>191426</v>
      </c>
      <c r="B178" s="2" t="s">
        <v>27</v>
      </c>
      <c r="C178">
        <v>82076</v>
      </c>
      <c r="D178" s="2" t="s">
        <v>18</v>
      </c>
      <c r="E178">
        <v>1</v>
      </c>
      <c r="F178">
        <v>4</v>
      </c>
      <c r="G178" s="4">
        <f>VALUE(SUBSTITUTE(SUBSTITUTE(Table1[[#This Row],[Price]],"$",""),",",""))</f>
        <v>191426</v>
      </c>
      <c r="H178" s="1">
        <f>Table1[[#This Row],[Price2]]/Table1[[#This Row],[Area]]</f>
        <v>311.26178861788617</v>
      </c>
      <c r="I178">
        <v>615</v>
      </c>
      <c r="J178">
        <v>2003</v>
      </c>
      <c r="K178">
        <v>106</v>
      </c>
      <c r="L178" t="s">
        <v>19</v>
      </c>
      <c r="M178" t="s">
        <v>1334</v>
      </c>
      <c r="N178" s="2" t="s">
        <v>3029</v>
      </c>
      <c r="O178" t="s">
        <v>3030</v>
      </c>
      <c r="P178" t="s">
        <v>21</v>
      </c>
      <c r="Q178">
        <v>311.26178861788617</v>
      </c>
      <c r="R178">
        <f ca="1">YEAR(TODAY())-Table1[[#This Row],[Year Built]]</f>
        <v>23</v>
      </c>
      <c r="S178" t="str">
        <f>IF(Table1[[#This Row],[Days on Market]] &lt; 30,"Fast",IF(Table1[[#This Row],[Days on Market]]&lt;= 90,"Average", "Slow"))</f>
        <v>Slow</v>
      </c>
      <c r="T178" t="str">
        <f>IF(Table1[[#This Row],[Price2]]&lt;500000,"Affordable",IF(Table1[[#This Row],[Price2]]&lt;1000000,"Mid range","Luxury"))</f>
        <v>Affordable</v>
      </c>
    </row>
    <row r="179" spans="1:20" x14ac:dyDescent="0.35">
      <c r="A179" s="3">
        <v>193142</v>
      </c>
      <c r="B179" s="2" t="s">
        <v>34</v>
      </c>
      <c r="C179">
        <v>51463</v>
      </c>
      <c r="D179" s="2" t="s">
        <v>35</v>
      </c>
      <c r="E179">
        <v>6</v>
      </c>
      <c r="F179">
        <v>1</v>
      </c>
      <c r="G179" s="4">
        <f>VALUE(SUBSTITUTE(SUBSTITUTE(Table1[[#This Row],[Price]],"$",""),",",""))</f>
        <v>193142</v>
      </c>
      <c r="H179" s="1">
        <f>Table1[[#This Row],[Price2]]/Table1[[#This Row],[Area]]</f>
        <v>72.473545966228897</v>
      </c>
      <c r="I179">
        <v>2665</v>
      </c>
      <c r="J179">
        <v>2011</v>
      </c>
      <c r="K179">
        <v>96</v>
      </c>
      <c r="L179" t="s">
        <v>19</v>
      </c>
      <c r="M179" t="s">
        <v>1126</v>
      </c>
      <c r="N179" s="2" t="s">
        <v>3031</v>
      </c>
      <c r="O179" t="s">
        <v>3032</v>
      </c>
      <c r="P179" t="s">
        <v>21</v>
      </c>
      <c r="Q179">
        <v>72.473545966228897</v>
      </c>
      <c r="R179">
        <f ca="1">YEAR(TODAY())-Table1[[#This Row],[Year Built]]</f>
        <v>15</v>
      </c>
      <c r="S179" t="str">
        <f>IF(Table1[[#This Row],[Days on Market]] &lt; 30,"Fast",IF(Table1[[#This Row],[Days on Market]]&lt;= 90,"Average", "Slow"))</f>
        <v>Slow</v>
      </c>
      <c r="T179" t="str">
        <f>IF(Table1[[#This Row],[Price2]]&lt;500000,"Affordable",IF(Table1[[#This Row],[Price2]]&lt;1000000,"Mid range","Luxury"))</f>
        <v>Affordable</v>
      </c>
    </row>
    <row r="180" spans="1:20" x14ac:dyDescent="0.35">
      <c r="A180" s="3">
        <v>193325</v>
      </c>
      <c r="B180" s="2" t="s">
        <v>22</v>
      </c>
      <c r="C180">
        <v>98214</v>
      </c>
      <c r="D180" s="2" t="s">
        <v>13</v>
      </c>
      <c r="E180">
        <v>6</v>
      </c>
      <c r="F180">
        <v>1</v>
      </c>
      <c r="G180" s="4">
        <f>VALUE(SUBSTITUTE(SUBSTITUTE(Table1[[#This Row],[Price]],"$",""),",",""))</f>
        <v>193325</v>
      </c>
      <c r="H180" s="1">
        <f>Table1[[#This Row],[Price2]]/Table1[[#This Row],[Area]]</f>
        <v>100.84767866458007</v>
      </c>
      <c r="I180">
        <v>1917</v>
      </c>
      <c r="J180">
        <v>1955</v>
      </c>
      <c r="K180">
        <v>40</v>
      </c>
      <c r="L180" t="s">
        <v>19</v>
      </c>
      <c r="M180" t="s">
        <v>638</v>
      </c>
      <c r="N180" s="2" t="s">
        <v>3033</v>
      </c>
      <c r="O180" t="s">
        <v>3034</v>
      </c>
      <c r="P180" t="s">
        <v>26</v>
      </c>
      <c r="Q180">
        <v>100.84767866458007</v>
      </c>
      <c r="R180">
        <f ca="1">YEAR(TODAY())-Table1[[#This Row],[Year Built]]</f>
        <v>71</v>
      </c>
      <c r="S180" t="str">
        <f>IF(Table1[[#This Row],[Days on Market]] &lt; 30,"Fast",IF(Table1[[#This Row],[Days on Market]]&lt;= 90,"Average", "Slow"))</f>
        <v>Average</v>
      </c>
      <c r="T180" t="str">
        <f>IF(Table1[[#This Row],[Price2]]&lt;500000,"Affordable",IF(Table1[[#This Row],[Price2]]&lt;1000000,"Mid range","Luxury"))</f>
        <v>Affordable</v>
      </c>
    </row>
    <row r="181" spans="1:20" x14ac:dyDescent="0.35">
      <c r="A181" s="3">
        <v>193458</v>
      </c>
      <c r="B181" s="2" t="s">
        <v>22</v>
      </c>
      <c r="C181">
        <v>45908</v>
      </c>
      <c r="D181" s="2" t="s">
        <v>35</v>
      </c>
      <c r="E181">
        <v>2</v>
      </c>
      <c r="F181">
        <v>3</v>
      </c>
      <c r="G181" s="4">
        <f>VALUE(SUBSTITUTE(SUBSTITUTE(Table1[[#This Row],[Price]],"$",""),",",""))</f>
        <v>193458</v>
      </c>
      <c r="H181" s="1">
        <f>Table1[[#This Row],[Price2]]/Table1[[#This Row],[Area]]</f>
        <v>201.7288842544317</v>
      </c>
      <c r="I181">
        <v>959</v>
      </c>
      <c r="J181">
        <v>1999</v>
      </c>
      <c r="K181">
        <v>24</v>
      </c>
      <c r="L181" t="s">
        <v>40</v>
      </c>
      <c r="M181" t="s">
        <v>2876</v>
      </c>
      <c r="N181" s="2" t="s">
        <v>3027</v>
      </c>
      <c r="O181" t="s">
        <v>3028</v>
      </c>
      <c r="P181" t="s">
        <v>26</v>
      </c>
      <c r="Q181">
        <v>201.7288842544317</v>
      </c>
      <c r="R181">
        <f ca="1">YEAR(TODAY())-Table1[[#This Row],[Year Built]]</f>
        <v>27</v>
      </c>
      <c r="S181" t="str">
        <f>IF(Table1[[#This Row],[Days on Market]] &lt; 30,"Fast",IF(Table1[[#This Row],[Days on Market]]&lt;= 90,"Average", "Slow"))</f>
        <v>Fast</v>
      </c>
      <c r="T181" t="str">
        <f>IF(Table1[[#This Row],[Price2]]&lt;500000,"Affordable",IF(Table1[[#This Row],[Price2]]&lt;1000000,"Mid range","Luxury"))</f>
        <v>Affordable</v>
      </c>
    </row>
    <row r="182" spans="1:20" x14ac:dyDescent="0.35">
      <c r="A182" s="3">
        <v>193541</v>
      </c>
      <c r="B182" s="2" t="s">
        <v>12</v>
      </c>
      <c r="C182">
        <v>33243</v>
      </c>
      <c r="D182" s="2" t="s">
        <v>18</v>
      </c>
      <c r="E182">
        <v>1</v>
      </c>
      <c r="F182">
        <v>1</v>
      </c>
      <c r="G182" s="4">
        <f>VALUE(SUBSTITUTE(SUBSTITUTE(Table1[[#This Row],[Price]],"$",""),",",""))</f>
        <v>193541</v>
      </c>
      <c r="H182" s="1">
        <f>Table1[[#This Row],[Price2]]/Table1[[#This Row],[Area]]</f>
        <v>176.91133455210237</v>
      </c>
      <c r="I182">
        <v>1094</v>
      </c>
      <c r="J182">
        <v>1962</v>
      </c>
      <c r="K182">
        <v>67</v>
      </c>
      <c r="L182" t="s">
        <v>52</v>
      </c>
      <c r="M182" t="s">
        <v>1901</v>
      </c>
      <c r="N182" s="2" t="s">
        <v>3027</v>
      </c>
      <c r="O182" t="s">
        <v>3028</v>
      </c>
      <c r="P182" t="s">
        <v>26</v>
      </c>
      <c r="Q182">
        <v>176.91133455210237</v>
      </c>
      <c r="R182">
        <f ca="1">YEAR(TODAY())-Table1[[#This Row],[Year Built]]</f>
        <v>64</v>
      </c>
      <c r="S182" t="str">
        <f>IF(Table1[[#This Row],[Days on Market]] &lt; 30,"Fast",IF(Table1[[#This Row],[Days on Market]]&lt;= 90,"Average", "Slow"))</f>
        <v>Average</v>
      </c>
      <c r="T182" t="str">
        <f>IF(Table1[[#This Row],[Price2]]&lt;500000,"Affordable",IF(Table1[[#This Row],[Price2]]&lt;1000000,"Mid range","Luxury"))</f>
        <v>Affordable</v>
      </c>
    </row>
    <row r="183" spans="1:20" x14ac:dyDescent="0.35">
      <c r="A183" s="3">
        <v>193808</v>
      </c>
      <c r="B183" s="2" t="s">
        <v>12</v>
      </c>
      <c r="C183">
        <v>25597</v>
      </c>
      <c r="D183" s="2" t="s">
        <v>18</v>
      </c>
      <c r="E183">
        <v>4</v>
      </c>
      <c r="F183">
        <v>1</v>
      </c>
      <c r="G183" s="4">
        <f>VALUE(SUBSTITUTE(SUBSTITUTE(Table1[[#This Row],[Price]],"$",""),",",""))</f>
        <v>193808</v>
      </c>
      <c r="H183" s="1">
        <f>Table1[[#This Row],[Price2]]/Table1[[#This Row],[Area]]</f>
        <v>80.8881469115192</v>
      </c>
      <c r="I183">
        <v>2396</v>
      </c>
      <c r="J183">
        <v>1972</v>
      </c>
      <c r="K183">
        <v>105</v>
      </c>
      <c r="L183" t="s">
        <v>52</v>
      </c>
      <c r="M183" t="s">
        <v>3019</v>
      </c>
      <c r="N183" s="2" t="s">
        <v>3035</v>
      </c>
      <c r="O183" t="s">
        <v>3036</v>
      </c>
      <c r="P183" t="s">
        <v>16</v>
      </c>
      <c r="Q183">
        <v>80.8881469115192</v>
      </c>
      <c r="R183">
        <f ca="1">YEAR(TODAY())-Table1[[#This Row],[Year Built]]</f>
        <v>54</v>
      </c>
      <c r="S183" t="str">
        <f>IF(Table1[[#This Row],[Days on Market]] &lt; 30,"Fast",IF(Table1[[#This Row],[Days on Market]]&lt;= 90,"Average", "Slow"))</f>
        <v>Slow</v>
      </c>
      <c r="T183" t="str">
        <f>IF(Table1[[#This Row],[Price2]]&lt;500000,"Affordable",IF(Table1[[#This Row],[Price2]]&lt;1000000,"Mid range","Luxury"))</f>
        <v>Affordable</v>
      </c>
    </row>
    <row r="184" spans="1:20" x14ac:dyDescent="0.35">
      <c r="A184" s="3">
        <v>195265</v>
      </c>
      <c r="B184" s="2" t="s">
        <v>12</v>
      </c>
      <c r="C184">
        <v>35123</v>
      </c>
      <c r="D184" s="2" t="s">
        <v>18</v>
      </c>
      <c r="E184">
        <v>3</v>
      </c>
      <c r="F184">
        <v>2</v>
      </c>
      <c r="G184" s="4">
        <f>VALUE(SUBSTITUTE(SUBSTITUTE(Table1[[#This Row],[Price]],"$",""),",",""))</f>
        <v>195265</v>
      </c>
      <c r="H184" s="1">
        <f>Table1[[#This Row],[Price2]]/Table1[[#This Row],[Area]]</f>
        <v>50.27420185375901</v>
      </c>
      <c r="I184">
        <v>3884</v>
      </c>
      <c r="J184">
        <v>2013</v>
      </c>
      <c r="K184">
        <v>39</v>
      </c>
      <c r="L184" t="s">
        <v>30</v>
      </c>
      <c r="M184" t="s">
        <v>3020</v>
      </c>
      <c r="N184" s="2" t="s">
        <v>3029</v>
      </c>
      <c r="O184" t="s">
        <v>3030</v>
      </c>
      <c r="P184" t="s">
        <v>26</v>
      </c>
      <c r="Q184">
        <v>50.27420185375901</v>
      </c>
      <c r="R184">
        <f ca="1">YEAR(TODAY())-Table1[[#This Row],[Year Built]]</f>
        <v>13</v>
      </c>
      <c r="S184" t="str">
        <f>IF(Table1[[#This Row],[Days on Market]] &lt; 30,"Fast",IF(Table1[[#This Row],[Days on Market]]&lt;= 90,"Average", "Slow"))</f>
        <v>Average</v>
      </c>
      <c r="T184" t="str">
        <f>IF(Table1[[#This Row],[Price2]]&lt;500000,"Affordable",IF(Table1[[#This Row],[Price2]]&lt;1000000,"Mid range","Luxury"))</f>
        <v>Affordable</v>
      </c>
    </row>
    <row r="185" spans="1:20" x14ac:dyDescent="0.35">
      <c r="A185" s="3">
        <v>195826</v>
      </c>
      <c r="B185" s="2" t="s">
        <v>27</v>
      </c>
      <c r="C185">
        <v>26355</v>
      </c>
      <c r="D185" s="2" t="s">
        <v>35</v>
      </c>
      <c r="E185">
        <v>5</v>
      </c>
      <c r="F185">
        <v>4</v>
      </c>
      <c r="G185" s="4">
        <f>VALUE(SUBSTITUTE(SUBSTITUTE(Table1[[#This Row],[Price]],"$",""),",",""))</f>
        <v>195826</v>
      </c>
      <c r="H185" s="1">
        <f>Table1[[#This Row],[Price2]]/Table1[[#This Row],[Area]]</f>
        <v>99.656997455470744</v>
      </c>
      <c r="I185">
        <v>1965</v>
      </c>
      <c r="J185">
        <v>1974</v>
      </c>
      <c r="K185">
        <v>18</v>
      </c>
      <c r="L185" t="s">
        <v>40</v>
      </c>
      <c r="M185" t="s">
        <v>615</v>
      </c>
      <c r="N185" s="2" t="s">
        <v>3031</v>
      </c>
      <c r="O185" t="s">
        <v>3032</v>
      </c>
      <c r="P185" t="s">
        <v>16</v>
      </c>
      <c r="Q185">
        <v>99.656997455470744</v>
      </c>
      <c r="R185">
        <f ca="1">YEAR(TODAY())-Table1[[#This Row],[Year Built]]</f>
        <v>52</v>
      </c>
      <c r="S185" t="str">
        <f>IF(Table1[[#This Row],[Days on Market]] &lt; 30,"Fast",IF(Table1[[#This Row],[Days on Market]]&lt;= 90,"Average", "Slow"))</f>
        <v>Fast</v>
      </c>
      <c r="T185" t="str">
        <f>IF(Table1[[#This Row],[Price2]]&lt;500000,"Affordable",IF(Table1[[#This Row],[Price2]]&lt;1000000,"Mid range","Luxury"))</f>
        <v>Affordable</v>
      </c>
    </row>
    <row r="186" spans="1:20" x14ac:dyDescent="0.35">
      <c r="A186" s="3">
        <v>197773</v>
      </c>
      <c r="B186" s="2" t="s">
        <v>22</v>
      </c>
      <c r="C186">
        <v>72738</v>
      </c>
      <c r="D186" s="2" t="s">
        <v>23</v>
      </c>
      <c r="E186">
        <v>5</v>
      </c>
      <c r="F186">
        <v>1</v>
      </c>
      <c r="G186" s="4">
        <f>VALUE(SUBSTITUTE(SUBSTITUTE(Table1[[#This Row],[Price]],"$",""),",",""))</f>
        <v>197773</v>
      </c>
      <c r="H186" s="1">
        <f>Table1[[#This Row],[Price2]]/Table1[[#This Row],[Area]]</f>
        <v>110.61129753914989</v>
      </c>
      <c r="I186">
        <v>1788</v>
      </c>
      <c r="J186">
        <v>2001</v>
      </c>
      <c r="K186">
        <v>24</v>
      </c>
      <c r="L186" t="s">
        <v>40</v>
      </c>
      <c r="M186" t="s">
        <v>537</v>
      </c>
      <c r="N186" s="2" t="s">
        <v>3033</v>
      </c>
      <c r="O186" t="s">
        <v>3034</v>
      </c>
      <c r="P186" t="s">
        <v>26</v>
      </c>
      <c r="Q186">
        <v>110.61129753914989</v>
      </c>
      <c r="R186">
        <f ca="1">YEAR(TODAY())-Table1[[#This Row],[Year Built]]</f>
        <v>25</v>
      </c>
      <c r="S186" t="str">
        <f>IF(Table1[[#This Row],[Days on Market]] &lt; 30,"Fast",IF(Table1[[#This Row],[Days on Market]]&lt;= 90,"Average", "Slow"))</f>
        <v>Fast</v>
      </c>
      <c r="T186" t="str">
        <f>IF(Table1[[#This Row],[Price2]]&lt;500000,"Affordable",IF(Table1[[#This Row],[Price2]]&lt;1000000,"Mid range","Luxury"))</f>
        <v>Affordable</v>
      </c>
    </row>
    <row r="187" spans="1:20" x14ac:dyDescent="0.35">
      <c r="A187" s="3">
        <v>198100</v>
      </c>
      <c r="B187" s="2" t="s">
        <v>27</v>
      </c>
      <c r="C187">
        <v>69780</v>
      </c>
      <c r="D187" s="2" t="s">
        <v>35</v>
      </c>
      <c r="E187">
        <v>5</v>
      </c>
      <c r="F187">
        <v>2</v>
      </c>
      <c r="G187" s="4">
        <f>VALUE(SUBSTITUTE(SUBSTITUTE(Table1[[#This Row],[Price]],"$",""),",",""))</f>
        <v>198100</v>
      </c>
      <c r="H187" s="1">
        <f>Table1[[#This Row],[Price2]]/Table1[[#This Row],[Area]]</f>
        <v>231.15519253208868</v>
      </c>
      <c r="I187">
        <v>857</v>
      </c>
      <c r="J187">
        <v>1951</v>
      </c>
      <c r="K187">
        <v>4</v>
      </c>
      <c r="L187" t="s">
        <v>19</v>
      </c>
      <c r="M187" t="s">
        <v>676</v>
      </c>
      <c r="N187" s="2" t="s">
        <v>3035</v>
      </c>
      <c r="O187" t="s">
        <v>3036</v>
      </c>
      <c r="P187" t="s">
        <v>16</v>
      </c>
      <c r="Q187">
        <v>231.15519253208868</v>
      </c>
      <c r="R187">
        <f ca="1">YEAR(TODAY())-Table1[[#This Row],[Year Built]]</f>
        <v>75</v>
      </c>
      <c r="S187" t="str">
        <f>IF(Table1[[#This Row],[Days on Market]] &lt; 30,"Fast",IF(Table1[[#This Row],[Days on Market]]&lt;= 90,"Average", "Slow"))</f>
        <v>Fast</v>
      </c>
      <c r="T187" t="str">
        <f>IF(Table1[[#This Row],[Price2]]&lt;500000,"Affordable",IF(Table1[[#This Row],[Price2]]&lt;1000000,"Mid range","Luxury"))</f>
        <v>Affordable</v>
      </c>
    </row>
    <row r="188" spans="1:20" x14ac:dyDescent="0.35">
      <c r="A188" s="3">
        <v>198284</v>
      </c>
      <c r="B188" s="2" t="s">
        <v>34</v>
      </c>
      <c r="C188">
        <v>58087</v>
      </c>
      <c r="D188" s="2" t="s">
        <v>23</v>
      </c>
      <c r="E188">
        <v>5</v>
      </c>
      <c r="F188">
        <v>3</v>
      </c>
      <c r="G188" s="4">
        <f>VALUE(SUBSTITUTE(SUBSTITUTE(Table1[[#This Row],[Price]],"$",""),",",""))</f>
        <v>198284</v>
      </c>
      <c r="H188" s="1">
        <f>Table1[[#This Row],[Price2]]/Table1[[#This Row],[Area]]</f>
        <v>78.064566929133861</v>
      </c>
      <c r="I188">
        <v>2540</v>
      </c>
      <c r="J188">
        <v>2017</v>
      </c>
      <c r="K188">
        <v>108</v>
      </c>
      <c r="L188" t="s">
        <v>30</v>
      </c>
      <c r="M188" t="s">
        <v>2706</v>
      </c>
      <c r="N188" s="2" t="s">
        <v>3033</v>
      </c>
      <c r="O188" t="s">
        <v>3034</v>
      </c>
      <c r="P188" t="s">
        <v>26</v>
      </c>
      <c r="Q188">
        <v>78.064566929133861</v>
      </c>
      <c r="R188">
        <f ca="1">YEAR(TODAY())-Table1[[#This Row],[Year Built]]</f>
        <v>9</v>
      </c>
      <c r="S188" t="str">
        <f>IF(Table1[[#This Row],[Days on Market]] &lt; 30,"Fast",IF(Table1[[#This Row],[Days on Market]]&lt;= 90,"Average", "Slow"))</f>
        <v>Slow</v>
      </c>
      <c r="T188" t="str">
        <f>IF(Table1[[#This Row],[Price2]]&lt;500000,"Affordable",IF(Table1[[#This Row],[Price2]]&lt;1000000,"Mid range","Luxury"))</f>
        <v>Affordable</v>
      </c>
    </row>
    <row r="189" spans="1:20" x14ac:dyDescent="0.35">
      <c r="A189" s="3">
        <v>199191</v>
      </c>
      <c r="B189" s="2" t="s">
        <v>34</v>
      </c>
      <c r="C189">
        <v>68735</v>
      </c>
      <c r="D189" s="2" t="s">
        <v>18</v>
      </c>
      <c r="E189">
        <v>4</v>
      </c>
      <c r="F189">
        <v>2</v>
      </c>
      <c r="G189" s="4">
        <f>VALUE(SUBSTITUTE(SUBSTITUTE(Table1[[#This Row],[Price]],"$",""),",",""))</f>
        <v>199191</v>
      </c>
      <c r="H189" s="1">
        <f>Table1[[#This Row],[Price2]]/Table1[[#This Row],[Area]]</f>
        <v>292.06891495601172</v>
      </c>
      <c r="I189">
        <v>682</v>
      </c>
      <c r="J189">
        <v>1990</v>
      </c>
      <c r="K189">
        <v>85</v>
      </c>
      <c r="L189" t="s">
        <v>14</v>
      </c>
      <c r="M189" t="s">
        <v>1875</v>
      </c>
      <c r="N189" s="2" t="s">
        <v>3027</v>
      </c>
      <c r="O189" t="s">
        <v>3028</v>
      </c>
      <c r="P189" t="s">
        <v>21</v>
      </c>
      <c r="Q189">
        <v>292.06891495601172</v>
      </c>
      <c r="R189">
        <f ca="1">YEAR(TODAY())-Table1[[#This Row],[Year Built]]</f>
        <v>36</v>
      </c>
      <c r="S189" t="str">
        <f>IF(Table1[[#This Row],[Days on Market]] &lt; 30,"Fast",IF(Table1[[#This Row],[Days on Market]]&lt;= 90,"Average", "Slow"))</f>
        <v>Average</v>
      </c>
      <c r="T189" t="str">
        <f>IF(Table1[[#This Row],[Price2]]&lt;500000,"Affordable",IF(Table1[[#This Row],[Price2]]&lt;1000000,"Mid range","Luxury"))</f>
        <v>Affordable</v>
      </c>
    </row>
    <row r="190" spans="1:20" x14ac:dyDescent="0.35">
      <c r="A190" s="3">
        <v>199214</v>
      </c>
      <c r="B190" s="2" t="s">
        <v>34</v>
      </c>
      <c r="C190">
        <v>79247</v>
      </c>
      <c r="D190" s="2" t="s">
        <v>35</v>
      </c>
      <c r="E190">
        <v>6</v>
      </c>
      <c r="F190">
        <v>4</v>
      </c>
      <c r="G190" s="4">
        <f>VALUE(SUBSTITUTE(SUBSTITUTE(Table1[[#This Row],[Price]],"$",""),",",""))</f>
        <v>199214</v>
      </c>
      <c r="H190" s="1">
        <f>Table1[[#This Row],[Price2]]/Table1[[#This Row],[Area]]</f>
        <v>155.87949921752738</v>
      </c>
      <c r="I190">
        <v>1278</v>
      </c>
      <c r="J190">
        <v>1975</v>
      </c>
      <c r="K190">
        <v>92</v>
      </c>
      <c r="L190" t="s">
        <v>40</v>
      </c>
      <c r="M190" t="s">
        <v>2777</v>
      </c>
      <c r="N190" s="2" t="s">
        <v>3027</v>
      </c>
      <c r="O190" t="s">
        <v>3028</v>
      </c>
      <c r="P190" t="s">
        <v>16</v>
      </c>
      <c r="Q190">
        <v>155.87949921752738</v>
      </c>
      <c r="R190">
        <f ca="1">YEAR(TODAY())-Table1[[#This Row],[Year Built]]</f>
        <v>51</v>
      </c>
      <c r="S190" t="str">
        <f>IF(Table1[[#This Row],[Days on Market]] &lt; 30,"Fast",IF(Table1[[#This Row],[Days on Market]]&lt;= 90,"Average", "Slow"))</f>
        <v>Slow</v>
      </c>
      <c r="T190" t="str">
        <f>IF(Table1[[#This Row],[Price2]]&lt;500000,"Affordable",IF(Table1[[#This Row],[Price2]]&lt;1000000,"Mid range","Luxury"))</f>
        <v>Affordable</v>
      </c>
    </row>
    <row r="191" spans="1:20" x14ac:dyDescent="0.35">
      <c r="A191" s="3">
        <v>199906</v>
      </c>
      <c r="B191" s="2" t="s">
        <v>17</v>
      </c>
      <c r="C191">
        <v>37195</v>
      </c>
      <c r="D191" s="2" t="s">
        <v>13</v>
      </c>
      <c r="E191">
        <v>2</v>
      </c>
      <c r="F191">
        <v>2</v>
      </c>
      <c r="G191" s="4">
        <f>VALUE(SUBSTITUTE(SUBSTITUTE(Table1[[#This Row],[Price]],"$",""),",",""))</f>
        <v>199906</v>
      </c>
      <c r="H191" s="1">
        <f>Table1[[#This Row],[Price2]]/Table1[[#This Row],[Area]]</f>
        <v>187.52908067542214</v>
      </c>
      <c r="I191">
        <v>1066</v>
      </c>
      <c r="J191">
        <v>1993</v>
      </c>
      <c r="K191">
        <v>20</v>
      </c>
      <c r="L191" t="s">
        <v>52</v>
      </c>
      <c r="M191" t="s">
        <v>1367</v>
      </c>
      <c r="N191" s="2" t="s">
        <v>3029</v>
      </c>
      <c r="O191" t="s">
        <v>3030</v>
      </c>
      <c r="P191" t="s">
        <v>21</v>
      </c>
      <c r="Q191">
        <v>187.52908067542214</v>
      </c>
      <c r="R191">
        <f ca="1">YEAR(TODAY())-Table1[[#This Row],[Year Built]]</f>
        <v>33</v>
      </c>
      <c r="S191" t="str">
        <f>IF(Table1[[#This Row],[Days on Market]] &lt; 30,"Fast",IF(Table1[[#This Row],[Days on Market]]&lt;= 90,"Average", "Slow"))</f>
        <v>Fast</v>
      </c>
      <c r="T191" t="str">
        <f>IF(Table1[[#This Row],[Price2]]&lt;500000,"Affordable",IF(Table1[[#This Row],[Price2]]&lt;1000000,"Mid range","Luxury"))</f>
        <v>Affordable</v>
      </c>
    </row>
    <row r="192" spans="1:20" x14ac:dyDescent="0.35">
      <c r="A192" s="3">
        <v>200218</v>
      </c>
      <c r="B192" s="2" t="s">
        <v>17</v>
      </c>
      <c r="C192">
        <v>92482</v>
      </c>
      <c r="D192" s="2" t="s">
        <v>29</v>
      </c>
      <c r="E192">
        <v>6</v>
      </c>
      <c r="F192">
        <v>3</v>
      </c>
      <c r="G192" s="4">
        <f>VALUE(SUBSTITUTE(SUBSTITUTE(Table1[[#This Row],[Price]],"$",""),",",""))</f>
        <v>200218</v>
      </c>
      <c r="H192" s="1">
        <f>Table1[[#This Row],[Price2]]/Table1[[#This Row],[Area]]</f>
        <v>107.64408602150537</v>
      </c>
      <c r="I192">
        <v>1860</v>
      </c>
      <c r="J192">
        <v>1982</v>
      </c>
      <c r="K192">
        <v>20</v>
      </c>
      <c r="L192" t="s">
        <v>14</v>
      </c>
      <c r="M192" t="s">
        <v>1486</v>
      </c>
      <c r="N192" s="2" t="s">
        <v>3033</v>
      </c>
      <c r="O192" t="s">
        <v>3034</v>
      </c>
      <c r="P192" t="s">
        <v>21</v>
      </c>
      <c r="Q192">
        <v>107.64408602150537</v>
      </c>
      <c r="R192">
        <f ca="1">YEAR(TODAY())-Table1[[#This Row],[Year Built]]</f>
        <v>44</v>
      </c>
      <c r="S192" t="str">
        <f>IF(Table1[[#This Row],[Days on Market]] &lt; 30,"Fast",IF(Table1[[#This Row],[Days on Market]]&lt;= 90,"Average", "Slow"))</f>
        <v>Fast</v>
      </c>
      <c r="T192" t="str">
        <f>IF(Table1[[#This Row],[Price2]]&lt;500000,"Affordable",IF(Table1[[#This Row],[Price2]]&lt;1000000,"Mid range","Luxury"))</f>
        <v>Affordable</v>
      </c>
    </row>
    <row r="193" spans="1:20" x14ac:dyDescent="0.35">
      <c r="A193" s="3">
        <v>200783</v>
      </c>
      <c r="B193" s="2" t="s">
        <v>12</v>
      </c>
      <c r="C193">
        <v>61136</v>
      </c>
      <c r="D193" s="2" t="s">
        <v>18</v>
      </c>
      <c r="E193">
        <v>4</v>
      </c>
      <c r="F193">
        <v>1</v>
      </c>
      <c r="G193" s="4">
        <f>VALUE(SUBSTITUTE(SUBSTITUTE(Table1[[#This Row],[Price]],"$",""),",",""))</f>
        <v>200783</v>
      </c>
      <c r="H193" s="1">
        <f>Table1[[#This Row],[Price2]]/Table1[[#This Row],[Area]]</f>
        <v>72.120330459770116</v>
      </c>
      <c r="I193">
        <v>2784</v>
      </c>
      <c r="J193">
        <v>1983</v>
      </c>
      <c r="K193">
        <v>102</v>
      </c>
      <c r="L193" t="s">
        <v>19</v>
      </c>
      <c r="M193" t="s">
        <v>226</v>
      </c>
      <c r="N193" s="2" t="s">
        <v>3031</v>
      </c>
      <c r="O193" t="s">
        <v>3032</v>
      </c>
      <c r="P193" t="s">
        <v>26</v>
      </c>
      <c r="Q193">
        <v>72.120330459770116</v>
      </c>
      <c r="R193">
        <f ca="1">YEAR(TODAY())-Table1[[#This Row],[Year Built]]</f>
        <v>43</v>
      </c>
      <c r="S193" t="str">
        <f>IF(Table1[[#This Row],[Days on Market]] &lt; 30,"Fast",IF(Table1[[#This Row],[Days on Market]]&lt;= 90,"Average", "Slow"))</f>
        <v>Slow</v>
      </c>
      <c r="T193" t="str">
        <f>IF(Table1[[#This Row],[Price2]]&lt;500000,"Affordable",IF(Table1[[#This Row],[Price2]]&lt;1000000,"Mid range","Luxury"))</f>
        <v>Affordable</v>
      </c>
    </row>
    <row r="194" spans="1:20" x14ac:dyDescent="0.35">
      <c r="A194" s="3">
        <v>201039</v>
      </c>
      <c r="B194" s="2" t="s">
        <v>27</v>
      </c>
      <c r="C194">
        <v>15899</v>
      </c>
      <c r="D194" s="2" t="s">
        <v>29</v>
      </c>
      <c r="E194">
        <v>6</v>
      </c>
      <c r="F194">
        <v>4</v>
      </c>
      <c r="G194" s="4">
        <f>VALUE(SUBSTITUTE(SUBSTITUTE(Table1[[#This Row],[Price]],"$",""),",",""))</f>
        <v>201039</v>
      </c>
      <c r="H194" s="1">
        <f>Table1[[#This Row],[Price2]]/Table1[[#This Row],[Area]]</f>
        <v>135.9290060851927</v>
      </c>
      <c r="I194">
        <v>1479</v>
      </c>
      <c r="J194">
        <v>1995</v>
      </c>
      <c r="K194">
        <v>36</v>
      </c>
      <c r="L194" t="s">
        <v>40</v>
      </c>
      <c r="M194" t="s">
        <v>2623</v>
      </c>
      <c r="N194" s="2" t="s">
        <v>3029</v>
      </c>
      <c r="O194" t="s">
        <v>3030</v>
      </c>
      <c r="P194" t="s">
        <v>16</v>
      </c>
      <c r="Q194">
        <v>135.9290060851927</v>
      </c>
      <c r="R194">
        <f ca="1">YEAR(TODAY())-Table1[[#This Row],[Year Built]]</f>
        <v>31</v>
      </c>
      <c r="S194" t="str">
        <f>IF(Table1[[#This Row],[Days on Market]] &lt; 30,"Fast",IF(Table1[[#This Row],[Days on Market]]&lt;= 90,"Average", "Slow"))</f>
        <v>Average</v>
      </c>
      <c r="T194" t="str">
        <f>IF(Table1[[#This Row],[Price2]]&lt;500000,"Affordable",IF(Table1[[#This Row],[Price2]]&lt;1000000,"Mid range","Luxury"))</f>
        <v>Affordable</v>
      </c>
    </row>
    <row r="195" spans="1:20" x14ac:dyDescent="0.35">
      <c r="A195" s="3">
        <v>201436</v>
      </c>
      <c r="B195" s="2" t="s">
        <v>12</v>
      </c>
      <c r="C195">
        <v>20368</v>
      </c>
      <c r="D195" s="2" t="s">
        <v>13</v>
      </c>
      <c r="E195">
        <v>5</v>
      </c>
      <c r="F195">
        <v>3</v>
      </c>
      <c r="G195" s="4">
        <f>VALUE(SUBSTITUTE(SUBSTITUTE(Table1[[#This Row],[Price]],"$",""),",",""))</f>
        <v>201436</v>
      </c>
      <c r="H195" s="1">
        <f>Table1[[#This Row],[Price2]]/Table1[[#This Row],[Area]]</f>
        <v>71.003172365174478</v>
      </c>
      <c r="I195">
        <v>2837</v>
      </c>
      <c r="J195">
        <v>2009</v>
      </c>
      <c r="K195">
        <v>62</v>
      </c>
      <c r="L195" t="s">
        <v>52</v>
      </c>
      <c r="M195" t="s">
        <v>889</v>
      </c>
      <c r="N195" s="2" t="s">
        <v>3029</v>
      </c>
      <c r="O195" t="s">
        <v>3030</v>
      </c>
      <c r="P195" t="s">
        <v>16</v>
      </c>
      <c r="Q195">
        <v>71.003172365174478</v>
      </c>
      <c r="R195">
        <f ca="1">YEAR(TODAY())-Table1[[#This Row],[Year Built]]</f>
        <v>17</v>
      </c>
      <c r="S195" t="str">
        <f>IF(Table1[[#This Row],[Days on Market]] &lt; 30,"Fast",IF(Table1[[#This Row],[Days on Market]]&lt;= 90,"Average", "Slow"))</f>
        <v>Average</v>
      </c>
      <c r="T195" t="str">
        <f>IF(Table1[[#This Row],[Price2]]&lt;500000,"Affordable",IF(Table1[[#This Row],[Price2]]&lt;1000000,"Mid range","Luxury"))</f>
        <v>Affordable</v>
      </c>
    </row>
    <row r="196" spans="1:20" x14ac:dyDescent="0.35">
      <c r="A196" s="3">
        <v>201977</v>
      </c>
      <c r="B196" s="2" t="s">
        <v>22</v>
      </c>
      <c r="C196">
        <v>93371</v>
      </c>
      <c r="D196" s="2" t="s">
        <v>35</v>
      </c>
      <c r="E196">
        <v>4</v>
      </c>
      <c r="F196">
        <v>4</v>
      </c>
      <c r="G196" s="4">
        <f>VALUE(SUBSTITUTE(SUBSTITUTE(Table1[[#This Row],[Price]],"$",""),",",""))</f>
        <v>201977</v>
      </c>
      <c r="H196" s="1">
        <f>Table1[[#This Row],[Price2]]/Table1[[#This Row],[Area]]</f>
        <v>50.914292916561635</v>
      </c>
      <c r="I196">
        <v>3967</v>
      </c>
      <c r="J196">
        <v>1989</v>
      </c>
      <c r="K196">
        <v>38</v>
      </c>
      <c r="L196" t="s">
        <v>19</v>
      </c>
      <c r="M196" t="s">
        <v>389</v>
      </c>
      <c r="N196" s="2" t="s">
        <v>3027</v>
      </c>
      <c r="O196" t="s">
        <v>3028</v>
      </c>
      <c r="P196" t="s">
        <v>26</v>
      </c>
      <c r="Q196">
        <v>50.914292916561635</v>
      </c>
      <c r="R196">
        <f ca="1">YEAR(TODAY())-Table1[[#This Row],[Year Built]]</f>
        <v>37</v>
      </c>
      <c r="S196" t="str">
        <f>IF(Table1[[#This Row],[Days on Market]] &lt; 30,"Fast",IF(Table1[[#This Row],[Days on Market]]&lt;= 90,"Average", "Slow"))</f>
        <v>Average</v>
      </c>
      <c r="T196" t="str">
        <f>IF(Table1[[#This Row],[Price2]]&lt;500000,"Affordable",IF(Table1[[#This Row],[Price2]]&lt;1000000,"Mid range","Luxury"))</f>
        <v>Affordable</v>
      </c>
    </row>
    <row r="197" spans="1:20" x14ac:dyDescent="0.35">
      <c r="A197" s="3">
        <v>202048</v>
      </c>
      <c r="B197" s="2" t="s">
        <v>34</v>
      </c>
      <c r="C197">
        <v>50058</v>
      </c>
      <c r="D197" s="2" t="s">
        <v>29</v>
      </c>
      <c r="E197">
        <v>4</v>
      </c>
      <c r="F197">
        <v>3</v>
      </c>
      <c r="G197" s="4">
        <f>VALUE(SUBSTITUTE(SUBSTITUTE(Table1[[#This Row],[Price]],"$",""),",",""))</f>
        <v>202048</v>
      </c>
      <c r="H197" s="1">
        <f>Table1[[#This Row],[Price2]]/Table1[[#This Row],[Area]]</f>
        <v>69.527873365450787</v>
      </c>
      <c r="I197">
        <v>2906</v>
      </c>
      <c r="J197">
        <v>2009</v>
      </c>
      <c r="K197">
        <v>118</v>
      </c>
      <c r="L197" t="s">
        <v>14</v>
      </c>
      <c r="M197" t="s">
        <v>1501</v>
      </c>
      <c r="N197" s="2" t="s">
        <v>3029</v>
      </c>
      <c r="O197" t="s">
        <v>3030</v>
      </c>
      <c r="P197" t="s">
        <v>21</v>
      </c>
      <c r="Q197">
        <v>69.527873365450787</v>
      </c>
      <c r="R197">
        <f ca="1">YEAR(TODAY())-Table1[[#This Row],[Year Built]]</f>
        <v>17</v>
      </c>
      <c r="S197" t="str">
        <f>IF(Table1[[#This Row],[Days on Market]] &lt; 30,"Fast",IF(Table1[[#This Row],[Days on Market]]&lt;= 90,"Average", "Slow"))</f>
        <v>Slow</v>
      </c>
      <c r="T197" t="str">
        <f>IF(Table1[[#This Row],[Price2]]&lt;500000,"Affordable",IF(Table1[[#This Row],[Price2]]&lt;1000000,"Mid range","Luxury"))</f>
        <v>Affordable</v>
      </c>
    </row>
    <row r="198" spans="1:20" x14ac:dyDescent="0.35">
      <c r="A198" s="3">
        <v>203604</v>
      </c>
      <c r="B198" s="2" t="s">
        <v>17</v>
      </c>
      <c r="C198">
        <v>14986</v>
      </c>
      <c r="D198" s="2" t="s">
        <v>35</v>
      </c>
      <c r="E198">
        <v>1</v>
      </c>
      <c r="F198">
        <v>3</v>
      </c>
      <c r="G198" s="4">
        <f>VALUE(SUBSTITUTE(SUBSTITUTE(Table1[[#This Row],[Price]],"$",""),",",""))</f>
        <v>203604</v>
      </c>
      <c r="H198" s="1">
        <f>Table1[[#This Row],[Price2]]/Table1[[#This Row],[Area]]</f>
        <v>102.31356783919598</v>
      </c>
      <c r="I198">
        <v>1990</v>
      </c>
      <c r="J198">
        <v>1992</v>
      </c>
      <c r="K198">
        <v>47</v>
      </c>
      <c r="L198" t="s">
        <v>19</v>
      </c>
      <c r="M198" t="s">
        <v>1787</v>
      </c>
      <c r="N198" s="2" t="s">
        <v>3035</v>
      </c>
      <c r="O198" t="s">
        <v>3036</v>
      </c>
      <c r="P198" t="s">
        <v>16</v>
      </c>
      <c r="Q198">
        <v>102.31356783919598</v>
      </c>
      <c r="R198">
        <f ca="1">YEAR(TODAY())-Table1[[#This Row],[Year Built]]</f>
        <v>34</v>
      </c>
      <c r="S198" t="str">
        <f>IF(Table1[[#This Row],[Days on Market]] &lt; 30,"Fast",IF(Table1[[#This Row],[Days on Market]]&lt;= 90,"Average", "Slow"))</f>
        <v>Average</v>
      </c>
      <c r="T198" t="str">
        <f>IF(Table1[[#This Row],[Price2]]&lt;500000,"Affordable",IF(Table1[[#This Row],[Price2]]&lt;1000000,"Mid range","Luxury"))</f>
        <v>Affordable</v>
      </c>
    </row>
    <row r="199" spans="1:20" x14ac:dyDescent="0.35">
      <c r="A199" s="3">
        <v>203965</v>
      </c>
      <c r="B199" s="2" t="s">
        <v>34</v>
      </c>
      <c r="C199">
        <v>37723</v>
      </c>
      <c r="D199" s="2" t="s">
        <v>18</v>
      </c>
      <c r="E199">
        <v>4</v>
      </c>
      <c r="F199">
        <v>2</v>
      </c>
      <c r="G199" s="4">
        <f>VALUE(SUBSTITUTE(SUBSTITUTE(Table1[[#This Row],[Price]],"$",""),",",""))</f>
        <v>203965</v>
      </c>
      <c r="H199" s="1">
        <f>Table1[[#This Row],[Price2]]/Table1[[#This Row],[Area]]</f>
        <v>133.04957599478146</v>
      </c>
      <c r="I199">
        <v>1533</v>
      </c>
      <c r="J199">
        <v>1952</v>
      </c>
      <c r="K199">
        <v>118</v>
      </c>
      <c r="L199" t="s">
        <v>52</v>
      </c>
      <c r="M199" t="s">
        <v>1230</v>
      </c>
      <c r="N199" s="2" t="s">
        <v>3029</v>
      </c>
      <c r="O199" t="s">
        <v>3030</v>
      </c>
      <c r="P199" t="s">
        <v>26</v>
      </c>
      <c r="Q199">
        <v>133.04957599478146</v>
      </c>
      <c r="R199">
        <f ca="1">YEAR(TODAY())-Table1[[#This Row],[Year Built]]</f>
        <v>74</v>
      </c>
      <c r="S199" t="str">
        <f>IF(Table1[[#This Row],[Days on Market]] &lt; 30,"Fast",IF(Table1[[#This Row],[Days on Market]]&lt;= 90,"Average", "Slow"))</f>
        <v>Slow</v>
      </c>
      <c r="T199" t="str">
        <f>IF(Table1[[#This Row],[Price2]]&lt;500000,"Affordable",IF(Table1[[#This Row],[Price2]]&lt;1000000,"Mid range","Luxury"))</f>
        <v>Affordable</v>
      </c>
    </row>
    <row r="200" spans="1:20" x14ac:dyDescent="0.35">
      <c r="A200" s="3">
        <v>204223</v>
      </c>
      <c r="B200" s="2" t="s">
        <v>27</v>
      </c>
      <c r="C200">
        <v>86128</v>
      </c>
      <c r="D200" s="2" t="s">
        <v>29</v>
      </c>
      <c r="E200">
        <v>1</v>
      </c>
      <c r="F200">
        <v>4</v>
      </c>
      <c r="G200" s="4">
        <f>VALUE(SUBSTITUTE(SUBSTITUTE(Table1[[#This Row],[Price]],"$",""),",",""))</f>
        <v>204223</v>
      </c>
      <c r="H200" s="1">
        <f>Table1[[#This Row],[Price2]]/Table1[[#This Row],[Area]]</f>
        <v>62.741321044546851</v>
      </c>
      <c r="I200">
        <v>3255</v>
      </c>
      <c r="J200">
        <v>1964</v>
      </c>
      <c r="K200">
        <v>117</v>
      </c>
      <c r="L200" t="s">
        <v>30</v>
      </c>
      <c r="M200" t="s">
        <v>2682</v>
      </c>
      <c r="N200" s="2" t="s">
        <v>3027</v>
      </c>
      <c r="O200" t="s">
        <v>3028</v>
      </c>
      <c r="P200" t="s">
        <v>21</v>
      </c>
      <c r="Q200">
        <v>62.741321044546851</v>
      </c>
      <c r="R200">
        <f ca="1">YEAR(TODAY())-Table1[[#This Row],[Year Built]]</f>
        <v>62</v>
      </c>
      <c r="S200" t="str">
        <f>IF(Table1[[#This Row],[Days on Market]] &lt; 30,"Fast",IF(Table1[[#This Row],[Days on Market]]&lt;= 90,"Average", "Slow"))</f>
        <v>Slow</v>
      </c>
      <c r="T200" t="str">
        <f>IF(Table1[[#This Row],[Price2]]&lt;500000,"Affordable",IF(Table1[[#This Row],[Price2]]&lt;1000000,"Mid range","Luxury"))</f>
        <v>Affordable</v>
      </c>
    </row>
    <row r="201" spans="1:20" x14ac:dyDescent="0.35">
      <c r="A201" s="3">
        <v>204309</v>
      </c>
      <c r="B201" s="2" t="s">
        <v>34</v>
      </c>
      <c r="C201">
        <v>54311</v>
      </c>
      <c r="D201" s="2" t="s">
        <v>29</v>
      </c>
      <c r="E201">
        <v>4</v>
      </c>
      <c r="F201">
        <v>3</v>
      </c>
      <c r="G201" s="4">
        <f>VALUE(SUBSTITUTE(SUBSTITUTE(Table1[[#This Row],[Price]],"$",""),",",""))</f>
        <v>204309</v>
      </c>
      <c r="H201" s="1">
        <f>Table1[[#This Row],[Price2]]/Table1[[#This Row],[Area]]</f>
        <v>60.500148060408648</v>
      </c>
      <c r="I201">
        <v>3377</v>
      </c>
      <c r="J201">
        <v>2010</v>
      </c>
      <c r="K201">
        <v>38</v>
      </c>
      <c r="L201" t="s">
        <v>40</v>
      </c>
      <c r="M201" t="s">
        <v>177</v>
      </c>
      <c r="N201" s="2" t="s">
        <v>3033</v>
      </c>
      <c r="O201" t="s">
        <v>3034</v>
      </c>
      <c r="P201" t="s">
        <v>26</v>
      </c>
      <c r="Q201">
        <v>60.500148060408648</v>
      </c>
      <c r="R201">
        <f ca="1">YEAR(TODAY())-Table1[[#This Row],[Year Built]]</f>
        <v>16</v>
      </c>
      <c r="S201" t="str">
        <f>IF(Table1[[#This Row],[Days on Market]] &lt; 30,"Fast",IF(Table1[[#This Row],[Days on Market]]&lt;= 90,"Average", "Slow"))</f>
        <v>Average</v>
      </c>
      <c r="T201" t="str">
        <f>IF(Table1[[#This Row],[Price2]]&lt;500000,"Affordable",IF(Table1[[#This Row],[Price2]]&lt;1000000,"Mid range","Luxury"))</f>
        <v>Affordable</v>
      </c>
    </row>
    <row r="202" spans="1:20" x14ac:dyDescent="0.35">
      <c r="A202" s="3">
        <v>204351</v>
      </c>
      <c r="B202" s="2" t="s">
        <v>27</v>
      </c>
      <c r="C202">
        <v>94493</v>
      </c>
      <c r="D202" s="2" t="s">
        <v>29</v>
      </c>
      <c r="E202">
        <v>4</v>
      </c>
      <c r="F202">
        <v>3</v>
      </c>
      <c r="G202" s="4">
        <f>VALUE(SUBSTITUTE(SUBSTITUTE(Table1[[#This Row],[Price]],"$",""),",",""))</f>
        <v>204351</v>
      </c>
      <c r="H202" s="1">
        <f>Table1[[#This Row],[Price2]]/Table1[[#This Row],[Area]]</f>
        <v>132.69545454545454</v>
      </c>
      <c r="I202">
        <v>1540</v>
      </c>
      <c r="J202">
        <v>1962</v>
      </c>
      <c r="K202">
        <v>34</v>
      </c>
      <c r="L202" t="s">
        <v>30</v>
      </c>
      <c r="M202" t="s">
        <v>144</v>
      </c>
      <c r="N202" s="2" t="s">
        <v>3027</v>
      </c>
      <c r="O202" t="s">
        <v>3028</v>
      </c>
      <c r="P202" t="s">
        <v>21</v>
      </c>
      <c r="Q202">
        <v>132.69545454545454</v>
      </c>
      <c r="R202">
        <f ca="1">YEAR(TODAY())-Table1[[#This Row],[Year Built]]</f>
        <v>64</v>
      </c>
      <c r="S202" t="str">
        <f>IF(Table1[[#This Row],[Days on Market]] &lt; 30,"Fast",IF(Table1[[#This Row],[Days on Market]]&lt;= 90,"Average", "Slow"))</f>
        <v>Average</v>
      </c>
      <c r="T202" t="str">
        <f>IF(Table1[[#This Row],[Price2]]&lt;500000,"Affordable",IF(Table1[[#This Row],[Price2]]&lt;1000000,"Mid range","Luxury"))</f>
        <v>Affordable</v>
      </c>
    </row>
    <row r="203" spans="1:20" x14ac:dyDescent="0.35">
      <c r="A203" s="3">
        <v>204505</v>
      </c>
      <c r="B203" s="2" t="s">
        <v>27</v>
      </c>
      <c r="C203">
        <v>35979</v>
      </c>
      <c r="D203" s="2" t="s">
        <v>23</v>
      </c>
      <c r="E203">
        <v>6</v>
      </c>
      <c r="F203">
        <v>4</v>
      </c>
      <c r="G203" s="4">
        <f>VALUE(SUBSTITUTE(SUBSTITUTE(Table1[[#This Row],[Price]],"$",""),",",""))</f>
        <v>204505</v>
      </c>
      <c r="H203" s="1">
        <f>Table1[[#This Row],[Price2]]/Table1[[#This Row],[Area]]</f>
        <v>73.828519855595673</v>
      </c>
      <c r="I203">
        <v>2770</v>
      </c>
      <c r="J203">
        <v>1966</v>
      </c>
      <c r="K203">
        <v>27</v>
      </c>
      <c r="L203" t="s">
        <v>19</v>
      </c>
      <c r="M203" t="s">
        <v>416</v>
      </c>
      <c r="N203" s="2" t="s">
        <v>3033</v>
      </c>
      <c r="O203" t="s">
        <v>3034</v>
      </c>
      <c r="P203" t="s">
        <v>16</v>
      </c>
      <c r="Q203">
        <v>73.828519855595673</v>
      </c>
      <c r="R203">
        <f ca="1">YEAR(TODAY())-Table1[[#This Row],[Year Built]]</f>
        <v>60</v>
      </c>
      <c r="S203" t="str">
        <f>IF(Table1[[#This Row],[Days on Market]] &lt; 30,"Fast",IF(Table1[[#This Row],[Days on Market]]&lt;= 90,"Average", "Slow"))</f>
        <v>Fast</v>
      </c>
      <c r="T203" t="str">
        <f>IF(Table1[[#This Row],[Price2]]&lt;500000,"Affordable",IF(Table1[[#This Row],[Price2]]&lt;1000000,"Mid range","Luxury"))</f>
        <v>Affordable</v>
      </c>
    </row>
    <row r="204" spans="1:20" x14ac:dyDescent="0.35">
      <c r="A204" s="3">
        <v>204548</v>
      </c>
      <c r="B204" s="2" t="s">
        <v>34</v>
      </c>
      <c r="C204">
        <v>35785</v>
      </c>
      <c r="D204" s="2" t="s">
        <v>29</v>
      </c>
      <c r="E204">
        <v>3</v>
      </c>
      <c r="F204">
        <v>4</v>
      </c>
      <c r="G204" s="4">
        <f>VALUE(SUBSTITUTE(SUBSTITUTE(Table1[[#This Row],[Price]],"$",""),",",""))</f>
        <v>204548</v>
      </c>
      <c r="H204" s="1">
        <f>Table1[[#This Row],[Price2]]/Table1[[#This Row],[Area]]</f>
        <v>76.753470919324585</v>
      </c>
      <c r="I204">
        <v>2665</v>
      </c>
      <c r="J204">
        <v>2020</v>
      </c>
      <c r="K204">
        <v>61</v>
      </c>
      <c r="L204" t="s">
        <v>19</v>
      </c>
      <c r="M204" t="s">
        <v>138</v>
      </c>
      <c r="N204" s="2" t="s">
        <v>3027</v>
      </c>
      <c r="O204" t="s">
        <v>3028</v>
      </c>
      <c r="P204" t="s">
        <v>16</v>
      </c>
      <c r="Q204">
        <v>76.753470919324585</v>
      </c>
      <c r="R204">
        <f ca="1">YEAR(TODAY())-Table1[[#This Row],[Year Built]]</f>
        <v>6</v>
      </c>
      <c r="S204" t="str">
        <f>IF(Table1[[#This Row],[Days on Market]] &lt; 30,"Fast",IF(Table1[[#This Row],[Days on Market]]&lt;= 90,"Average", "Slow"))</f>
        <v>Average</v>
      </c>
      <c r="T204" t="str">
        <f>IF(Table1[[#This Row],[Price2]]&lt;500000,"Affordable",IF(Table1[[#This Row],[Price2]]&lt;1000000,"Mid range","Luxury"))</f>
        <v>Affordable</v>
      </c>
    </row>
    <row r="205" spans="1:20" x14ac:dyDescent="0.35">
      <c r="A205" s="3">
        <v>206332</v>
      </c>
      <c r="B205" s="2" t="s">
        <v>27</v>
      </c>
      <c r="C205">
        <v>49604</v>
      </c>
      <c r="D205" s="2" t="s">
        <v>35</v>
      </c>
      <c r="E205">
        <v>5</v>
      </c>
      <c r="F205">
        <v>2</v>
      </c>
      <c r="G205" s="4">
        <f>VALUE(SUBSTITUTE(SUBSTITUTE(Table1[[#This Row],[Price]],"$",""),",",""))</f>
        <v>206332</v>
      </c>
      <c r="H205" s="1">
        <f>Table1[[#This Row],[Price2]]/Table1[[#This Row],[Area]]</f>
        <v>63.781143740340028</v>
      </c>
      <c r="I205">
        <v>3235</v>
      </c>
      <c r="J205">
        <v>1960</v>
      </c>
      <c r="K205">
        <v>94</v>
      </c>
      <c r="L205" t="s">
        <v>14</v>
      </c>
      <c r="M205" t="s">
        <v>499</v>
      </c>
      <c r="N205" s="2" t="s">
        <v>3035</v>
      </c>
      <c r="O205" t="s">
        <v>3036</v>
      </c>
      <c r="P205" t="s">
        <v>16</v>
      </c>
      <c r="Q205">
        <v>63.781143740340028</v>
      </c>
      <c r="R205">
        <f ca="1">YEAR(TODAY())-Table1[[#This Row],[Year Built]]</f>
        <v>66</v>
      </c>
      <c r="S205" t="str">
        <f>IF(Table1[[#This Row],[Days on Market]] &lt; 30,"Fast",IF(Table1[[#This Row],[Days on Market]]&lt;= 90,"Average", "Slow"))</f>
        <v>Slow</v>
      </c>
      <c r="T205" t="str">
        <f>IF(Table1[[#This Row],[Price2]]&lt;500000,"Affordable",IF(Table1[[#This Row],[Price2]]&lt;1000000,"Mid range","Luxury"))</f>
        <v>Affordable</v>
      </c>
    </row>
    <row r="206" spans="1:20" x14ac:dyDescent="0.35">
      <c r="A206" s="3">
        <v>206508</v>
      </c>
      <c r="B206" s="2" t="s">
        <v>22</v>
      </c>
      <c r="C206">
        <v>73499</v>
      </c>
      <c r="D206" s="2" t="s">
        <v>18</v>
      </c>
      <c r="E206">
        <v>5</v>
      </c>
      <c r="F206">
        <v>3</v>
      </c>
      <c r="G206" s="4">
        <f>VALUE(SUBSTITUTE(SUBSTITUTE(Table1[[#This Row],[Price]],"$",""),",",""))</f>
        <v>206508</v>
      </c>
      <c r="H206" s="1">
        <f>Table1[[#This Row],[Price2]]/Table1[[#This Row],[Area]]</f>
        <v>149.10324909747291</v>
      </c>
      <c r="I206">
        <v>1385</v>
      </c>
      <c r="J206">
        <v>2017</v>
      </c>
      <c r="K206">
        <v>96</v>
      </c>
      <c r="L206" t="s">
        <v>19</v>
      </c>
      <c r="M206" t="s">
        <v>1832</v>
      </c>
      <c r="N206" s="2" t="s">
        <v>3027</v>
      </c>
      <c r="O206" t="s">
        <v>3028</v>
      </c>
      <c r="P206" t="s">
        <v>21</v>
      </c>
      <c r="Q206">
        <v>149.10324909747291</v>
      </c>
      <c r="R206">
        <f ca="1">YEAR(TODAY())-Table1[[#This Row],[Year Built]]</f>
        <v>9</v>
      </c>
      <c r="S206" t="str">
        <f>IF(Table1[[#This Row],[Days on Market]] &lt; 30,"Fast",IF(Table1[[#This Row],[Days on Market]]&lt;= 90,"Average", "Slow"))</f>
        <v>Slow</v>
      </c>
      <c r="T206" t="str">
        <f>IF(Table1[[#This Row],[Price2]]&lt;500000,"Affordable",IF(Table1[[#This Row],[Price2]]&lt;1000000,"Mid range","Luxury"))</f>
        <v>Affordable</v>
      </c>
    </row>
    <row r="207" spans="1:20" x14ac:dyDescent="0.35">
      <c r="A207" s="3">
        <v>207246</v>
      </c>
      <c r="B207" s="2" t="s">
        <v>17</v>
      </c>
      <c r="C207">
        <v>42083</v>
      </c>
      <c r="D207" s="2" t="s">
        <v>13</v>
      </c>
      <c r="E207">
        <v>5</v>
      </c>
      <c r="F207">
        <v>2</v>
      </c>
      <c r="G207" s="4">
        <f>VALUE(SUBSTITUTE(SUBSTITUTE(Table1[[#This Row],[Price]],"$",""),",",""))</f>
        <v>207246</v>
      </c>
      <c r="H207" s="1">
        <f>Table1[[#This Row],[Price2]]/Table1[[#This Row],[Area]]</f>
        <v>236.31242873432154</v>
      </c>
      <c r="I207">
        <v>877</v>
      </c>
      <c r="J207">
        <v>1981</v>
      </c>
      <c r="K207">
        <v>42</v>
      </c>
      <c r="L207" t="s">
        <v>40</v>
      </c>
      <c r="M207" t="s">
        <v>2566</v>
      </c>
      <c r="N207" s="2" t="s">
        <v>3031</v>
      </c>
      <c r="O207" t="s">
        <v>3032</v>
      </c>
      <c r="P207" t="s">
        <v>26</v>
      </c>
      <c r="Q207">
        <v>236.31242873432154</v>
      </c>
      <c r="R207">
        <f ca="1">YEAR(TODAY())-Table1[[#This Row],[Year Built]]</f>
        <v>45</v>
      </c>
      <c r="S207" t="str">
        <f>IF(Table1[[#This Row],[Days on Market]] &lt; 30,"Fast",IF(Table1[[#This Row],[Days on Market]]&lt;= 90,"Average", "Slow"))</f>
        <v>Average</v>
      </c>
      <c r="T207" t="str">
        <f>IF(Table1[[#This Row],[Price2]]&lt;500000,"Affordable",IF(Table1[[#This Row],[Price2]]&lt;1000000,"Mid range","Luxury"))</f>
        <v>Affordable</v>
      </c>
    </row>
    <row r="208" spans="1:20" x14ac:dyDescent="0.35">
      <c r="A208" s="3">
        <v>207544</v>
      </c>
      <c r="B208" s="2" t="s">
        <v>17</v>
      </c>
      <c r="C208">
        <v>97626</v>
      </c>
      <c r="D208" s="2" t="s">
        <v>35</v>
      </c>
      <c r="E208">
        <v>6</v>
      </c>
      <c r="F208">
        <v>2</v>
      </c>
      <c r="G208" s="4">
        <f>VALUE(SUBSTITUTE(SUBSTITUTE(Table1[[#This Row],[Price]],"$",""),",",""))</f>
        <v>207544</v>
      </c>
      <c r="H208" s="1">
        <f>Table1[[#This Row],[Price2]]/Table1[[#This Row],[Area]]</f>
        <v>85.479406919275121</v>
      </c>
      <c r="I208">
        <v>2428</v>
      </c>
      <c r="J208">
        <v>1987</v>
      </c>
      <c r="K208">
        <v>13</v>
      </c>
      <c r="L208" t="s">
        <v>52</v>
      </c>
      <c r="M208" t="s">
        <v>880</v>
      </c>
      <c r="N208" s="2" t="s">
        <v>3029</v>
      </c>
      <c r="O208" t="s">
        <v>3030</v>
      </c>
      <c r="P208" t="s">
        <v>16</v>
      </c>
      <c r="Q208">
        <v>85.479406919275121</v>
      </c>
      <c r="R208">
        <f ca="1">YEAR(TODAY())-Table1[[#This Row],[Year Built]]</f>
        <v>39</v>
      </c>
      <c r="S208" t="str">
        <f>IF(Table1[[#This Row],[Days on Market]] &lt; 30,"Fast",IF(Table1[[#This Row],[Days on Market]]&lt;= 90,"Average", "Slow"))</f>
        <v>Fast</v>
      </c>
      <c r="T208" t="str">
        <f>IF(Table1[[#This Row],[Price2]]&lt;500000,"Affordable",IF(Table1[[#This Row],[Price2]]&lt;1000000,"Mid range","Luxury"))</f>
        <v>Affordable</v>
      </c>
    </row>
    <row r="209" spans="1:20" x14ac:dyDescent="0.35">
      <c r="A209" s="3">
        <v>207646</v>
      </c>
      <c r="B209" s="2" t="s">
        <v>12</v>
      </c>
      <c r="C209">
        <v>74961</v>
      </c>
      <c r="D209" s="2" t="s">
        <v>13</v>
      </c>
      <c r="E209">
        <v>6</v>
      </c>
      <c r="F209">
        <v>4</v>
      </c>
      <c r="G209" s="4">
        <f>VALUE(SUBSTITUTE(SUBSTITUTE(Table1[[#This Row],[Price]],"$",""),",",""))</f>
        <v>207646</v>
      </c>
      <c r="H209" s="1">
        <f>Table1[[#This Row],[Price2]]/Table1[[#This Row],[Area]]</f>
        <v>77.624672897196263</v>
      </c>
      <c r="I209">
        <v>2675</v>
      </c>
      <c r="J209">
        <v>2018</v>
      </c>
      <c r="K209">
        <v>65</v>
      </c>
      <c r="L209" t="s">
        <v>14</v>
      </c>
      <c r="M209" t="s">
        <v>2233</v>
      </c>
      <c r="N209" s="2" t="s">
        <v>3035</v>
      </c>
      <c r="O209" t="s">
        <v>3036</v>
      </c>
      <c r="P209" t="s">
        <v>16</v>
      </c>
      <c r="Q209">
        <v>77.624672897196263</v>
      </c>
      <c r="R209">
        <f ca="1">YEAR(TODAY())-Table1[[#This Row],[Year Built]]</f>
        <v>8</v>
      </c>
      <c r="S209" t="str">
        <f>IF(Table1[[#This Row],[Days on Market]] &lt; 30,"Fast",IF(Table1[[#This Row],[Days on Market]]&lt;= 90,"Average", "Slow"))</f>
        <v>Average</v>
      </c>
      <c r="T209" t="str">
        <f>IF(Table1[[#This Row],[Price2]]&lt;500000,"Affordable",IF(Table1[[#This Row],[Price2]]&lt;1000000,"Mid range","Luxury"))</f>
        <v>Affordable</v>
      </c>
    </row>
    <row r="210" spans="1:20" x14ac:dyDescent="0.35">
      <c r="A210" s="3">
        <v>207700</v>
      </c>
      <c r="B210" s="2" t="s">
        <v>22</v>
      </c>
      <c r="C210">
        <v>98581</v>
      </c>
      <c r="D210" s="2" t="s">
        <v>35</v>
      </c>
      <c r="E210">
        <v>3</v>
      </c>
      <c r="F210">
        <v>2</v>
      </c>
      <c r="G210" s="4">
        <f>VALUE(SUBSTITUTE(SUBSTITUTE(Table1[[#This Row],[Price]],"$",""),",",""))</f>
        <v>207700</v>
      </c>
      <c r="H210" s="1">
        <f>Table1[[#This Row],[Price2]]/Table1[[#This Row],[Area]]</f>
        <v>89.48728996122361</v>
      </c>
      <c r="I210">
        <v>2321</v>
      </c>
      <c r="J210">
        <v>1957</v>
      </c>
      <c r="K210">
        <v>27</v>
      </c>
      <c r="L210" t="s">
        <v>14</v>
      </c>
      <c r="M210" t="s">
        <v>2531</v>
      </c>
      <c r="N210" s="2" t="s">
        <v>3027</v>
      </c>
      <c r="O210" t="s">
        <v>3028</v>
      </c>
      <c r="P210" t="s">
        <v>21</v>
      </c>
      <c r="Q210">
        <v>89.48728996122361</v>
      </c>
      <c r="R210">
        <f ca="1">YEAR(TODAY())-Table1[[#This Row],[Year Built]]</f>
        <v>69</v>
      </c>
      <c r="S210" t="str">
        <f>IF(Table1[[#This Row],[Days on Market]] &lt; 30,"Fast",IF(Table1[[#This Row],[Days on Market]]&lt;= 90,"Average", "Slow"))</f>
        <v>Fast</v>
      </c>
      <c r="T210" t="str">
        <f>IF(Table1[[#This Row],[Price2]]&lt;500000,"Affordable",IF(Table1[[#This Row],[Price2]]&lt;1000000,"Mid range","Luxury"))</f>
        <v>Affordable</v>
      </c>
    </row>
    <row r="211" spans="1:20" x14ac:dyDescent="0.35">
      <c r="A211" s="3">
        <v>208299</v>
      </c>
      <c r="B211" s="2" t="s">
        <v>22</v>
      </c>
      <c r="C211">
        <v>49084</v>
      </c>
      <c r="D211" s="2" t="s">
        <v>13</v>
      </c>
      <c r="E211">
        <v>4</v>
      </c>
      <c r="F211">
        <v>4</v>
      </c>
      <c r="G211" s="4">
        <f>VALUE(SUBSTITUTE(SUBSTITUTE(Table1[[#This Row],[Price]],"$",""),",",""))</f>
        <v>208299</v>
      </c>
      <c r="H211" s="1">
        <f>Table1[[#This Row],[Price2]]/Table1[[#This Row],[Area]]</f>
        <v>54.902214022140221</v>
      </c>
      <c r="I211">
        <v>3794</v>
      </c>
      <c r="J211">
        <v>1995</v>
      </c>
      <c r="K211">
        <v>109</v>
      </c>
      <c r="L211" t="s">
        <v>19</v>
      </c>
      <c r="M211" t="s">
        <v>1093</v>
      </c>
      <c r="N211" s="2" t="s">
        <v>3029</v>
      </c>
      <c r="O211" t="s">
        <v>3030</v>
      </c>
      <c r="P211" t="s">
        <v>26</v>
      </c>
      <c r="Q211">
        <v>54.902214022140221</v>
      </c>
      <c r="R211">
        <f ca="1">YEAR(TODAY())-Table1[[#This Row],[Year Built]]</f>
        <v>31</v>
      </c>
      <c r="S211" t="str">
        <f>IF(Table1[[#This Row],[Days on Market]] &lt; 30,"Fast",IF(Table1[[#This Row],[Days on Market]]&lt;= 90,"Average", "Slow"))</f>
        <v>Slow</v>
      </c>
      <c r="T211" t="str">
        <f>IF(Table1[[#This Row],[Price2]]&lt;500000,"Affordable",IF(Table1[[#This Row],[Price2]]&lt;1000000,"Mid range","Luxury"))</f>
        <v>Affordable</v>
      </c>
    </row>
    <row r="212" spans="1:20" x14ac:dyDescent="0.35">
      <c r="A212" s="3">
        <v>208387</v>
      </c>
      <c r="B212" s="2" t="s">
        <v>34</v>
      </c>
      <c r="C212">
        <v>93635</v>
      </c>
      <c r="D212" s="2" t="s">
        <v>13</v>
      </c>
      <c r="E212">
        <v>4</v>
      </c>
      <c r="F212">
        <v>4</v>
      </c>
      <c r="G212" s="4">
        <f>VALUE(SUBSTITUTE(SUBSTITUTE(Table1[[#This Row],[Price]],"$",""),",",""))</f>
        <v>208387</v>
      </c>
      <c r="H212" s="1">
        <f>Table1[[#This Row],[Price2]]/Table1[[#This Row],[Area]]</f>
        <v>74.238332739579619</v>
      </c>
      <c r="I212">
        <v>2807</v>
      </c>
      <c r="J212">
        <v>1976</v>
      </c>
      <c r="K212">
        <v>99</v>
      </c>
      <c r="L212" t="s">
        <v>19</v>
      </c>
      <c r="M212" t="s">
        <v>577</v>
      </c>
      <c r="N212" s="2" t="s">
        <v>3033</v>
      </c>
      <c r="O212" t="s">
        <v>3034</v>
      </c>
      <c r="P212" t="s">
        <v>16</v>
      </c>
      <c r="Q212">
        <v>74.238332739579619</v>
      </c>
      <c r="R212">
        <f ca="1">YEAR(TODAY())-Table1[[#This Row],[Year Built]]</f>
        <v>50</v>
      </c>
      <c r="S212" t="str">
        <f>IF(Table1[[#This Row],[Days on Market]] &lt; 30,"Fast",IF(Table1[[#This Row],[Days on Market]]&lt;= 90,"Average", "Slow"))</f>
        <v>Slow</v>
      </c>
      <c r="T212" t="str">
        <f>IF(Table1[[#This Row],[Price2]]&lt;500000,"Affordable",IF(Table1[[#This Row],[Price2]]&lt;1000000,"Mid range","Luxury"))</f>
        <v>Affordable</v>
      </c>
    </row>
    <row r="213" spans="1:20" x14ac:dyDescent="0.35">
      <c r="A213" s="3">
        <v>208486</v>
      </c>
      <c r="B213" s="2" t="s">
        <v>27</v>
      </c>
      <c r="C213">
        <v>30265</v>
      </c>
      <c r="D213" s="2" t="s">
        <v>13</v>
      </c>
      <c r="E213">
        <v>4</v>
      </c>
      <c r="F213">
        <v>2</v>
      </c>
      <c r="G213" s="4">
        <f>VALUE(SUBSTITUTE(SUBSTITUTE(Table1[[#This Row],[Price]],"$",""),",",""))</f>
        <v>208486</v>
      </c>
      <c r="H213" s="1">
        <f>Table1[[#This Row],[Price2]]/Table1[[#This Row],[Area]]</f>
        <v>59.161748013620887</v>
      </c>
      <c r="I213">
        <v>3524</v>
      </c>
      <c r="J213">
        <v>1955</v>
      </c>
      <c r="K213">
        <v>115</v>
      </c>
      <c r="L213" t="s">
        <v>19</v>
      </c>
      <c r="M213" t="s">
        <v>160</v>
      </c>
      <c r="N213" s="2" t="s">
        <v>3031</v>
      </c>
      <c r="O213" t="s">
        <v>3032</v>
      </c>
      <c r="P213" t="s">
        <v>21</v>
      </c>
      <c r="Q213">
        <v>59.161748013620887</v>
      </c>
      <c r="R213">
        <f ca="1">YEAR(TODAY())-Table1[[#This Row],[Year Built]]</f>
        <v>71</v>
      </c>
      <c r="S213" t="str">
        <f>IF(Table1[[#This Row],[Days on Market]] &lt; 30,"Fast",IF(Table1[[#This Row],[Days on Market]]&lt;= 90,"Average", "Slow"))</f>
        <v>Slow</v>
      </c>
      <c r="T213" t="str">
        <f>IF(Table1[[#This Row],[Price2]]&lt;500000,"Affordable",IF(Table1[[#This Row],[Price2]]&lt;1000000,"Mid range","Luxury"))</f>
        <v>Affordable</v>
      </c>
    </row>
    <row r="214" spans="1:20" x14ac:dyDescent="0.35">
      <c r="A214" s="3">
        <v>208579</v>
      </c>
      <c r="B214" s="2" t="s">
        <v>17</v>
      </c>
      <c r="C214">
        <v>31166</v>
      </c>
      <c r="D214" s="2" t="s">
        <v>29</v>
      </c>
      <c r="E214">
        <v>1</v>
      </c>
      <c r="F214">
        <v>2</v>
      </c>
      <c r="G214" s="4">
        <f>VALUE(SUBSTITUTE(SUBSTITUTE(Table1[[#This Row],[Price]],"$",""),",",""))</f>
        <v>208579</v>
      </c>
      <c r="H214" s="1">
        <f>Table1[[#This Row],[Price2]]/Table1[[#This Row],[Area]]</f>
        <v>113.85316593886463</v>
      </c>
      <c r="I214">
        <v>1832</v>
      </c>
      <c r="J214">
        <v>1952</v>
      </c>
      <c r="K214">
        <v>106</v>
      </c>
      <c r="L214" t="s">
        <v>40</v>
      </c>
      <c r="M214" t="s">
        <v>565</v>
      </c>
      <c r="N214" s="2" t="s">
        <v>3027</v>
      </c>
      <c r="O214" t="s">
        <v>3028</v>
      </c>
      <c r="P214" t="s">
        <v>26</v>
      </c>
      <c r="Q214">
        <v>113.85316593886463</v>
      </c>
      <c r="R214">
        <f ca="1">YEAR(TODAY())-Table1[[#This Row],[Year Built]]</f>
        <v>74</v>
      </c>
      <c r="S214" t="str">
        <f>IF(Table1[[#This Row],[Days on Market]] &lt; 30,"Fast",IF(Table1[[#This Row],[Days on Market]]&lt;= 90,"Average", "Slow"))</f>
        <v>Slow</v>
      </c>
      <c r="T214" t="str">
        <f>IF(Table1[[#This Row],[Price2]]&lt;500000,"Affordable",IF(Table1[[#This Row],[Price2]]&lt;1000000,"Mid range","Luxury"))</f>
        <v>Affordable</v>
      </c>
    </row>
    <row r="215" spans="1:20" x14ac:dyDescent="0.35">
      <c r="A215" s="3">
        <v>208954</v>
      </c>
      <c r="B215" s="2" t="s">
        <v>34</v>
      </c>
      <c r="C215">
        <v>37583</v>
      </c>
      <c r="D215" s="2" t="s">
        <v>35</v>
      </c>
      <c r="E215">
        <v>5</v>
      </c>
      <c r="F215">
        <v>1</v>
      </c>
      <c r="G215" s="4">
        <f>VALUE(SUBSTITUTE(SUBSTITUTE(Table1[[#This Row],[Price]],"$",""),",",""))</f>
        <v>208954</v>
      </c>
      <c r="H215" s="1">
        <f>Table1[[#This Row],[Price2]]/Table1[[#This Row],[Area]]</f>
        <v>140.7097643097643</v>
      </c>
      <c r="I215">
        <v>1485</v>
      </c>
      <c r="J215">
        <v>2022</v>
      </c>
      <c r="K215">
        <v>84</v>
      </c>
      <c r="L215" t="s">
        <v>52</v>
      </c>
      <c r="M215" t="s">
        <v>927</v>
      </c>
      <c r="N215" s="2" t="s">
        <v>3033</v>
      </c>
      <c r="O215" t="s">
        <v>3034</v>
      </c>
      <c r="P215" t="s">
        <v>26</v>
      </c>
      <c r="Q215">
        <v>140.7097643097643</v>
      </c>
      <c r="R215">
        <f ca="1">YEAR(TODAY())-Table1[[#This Row],[Year Built]]</f>
        <v>4</v>
      </c>
      <c r="S215" t="str">
        <f>IF(Table1[[#This Row],[Days on Market]] &lt; 30,"Fast",IF(Table1[[#This Row],[Days on Market]]&lt;= 90,"Average", "Slow"))</f>
        <v>Average</v>
      </c>
      <c r="T215" t="str">
        <f>IF(Table1[[#This Row],[Price2]]&lt;500000,"Affordable",IF(Table1[[#This Row],[Price2]]&lt;1000000,"Mid range","Luxury"))</f>
        <v>Affordable</v>
      </c>
    </row>
    <row r="216" spans="1:20" x14ac:dyDescent="0.35">
      <c r="A216" s="3">
        <v>209720</v>
      </c>
      <c r="B216" s="2" t="s">
        <v>34</v>
      </c>
      <c r="C216">
        <v>25446</v>
      </c>
      <c r="D216" s="2" t="s">
        <v>13</v>
      </c>
      <c r="E216">
        <v>6</v>
      </c>
      <c r="F216">
        <v>1</v>
      </c>
      <c r="G216" s="4">
        <f>VALUE(SUBSTITUTE(SUBSTITUTE(Table1[[#This Row],[Price]],"$",""),",",""))</f>
        <v>209720</v>
      </c>
      <c r="H216" s="1">
        <f>Table1[[#This Row],[Price2]]/Table1[[#This Row],[Area]]</f>
        <v>84.564516129032256</v>
      </c>
      <c r="I216">
        <v>2480</v>
      </c>
      <c r="J216">
        <v>2013</v>
      </c>
      <c r="K216">
        <v>115</v>
      </c>
      <c r="L216" t="s">
        <v>40</v>
      </c>
      <c r="M216" t="s">
        <v>1099</v>
      </c>
      <c r="N216" s="2" t="s">
        <v>3035</v>
      </c>
      <c r="O216" t="s">
        <v>3036</v>
      </c>
      <c r="P216" t="s">
        <v>26</v>
      </c>
      <c r="Q216">
        <v>84.564516129032256</v>
      </c>
      <c r="R216">
        <f ca="1">YEAR(TODAY())-Table1[[#This Row],[Year Built]]</f>
        <v>13</v>
      </c>
      <c r="S216" t="str">
        <f>IF(Table1[[#This Row],[Days on Market]] &lt; 30,"Fast",IF(Table1[[#This Row],[Days on Market]]&lt;= 90,"Average", "Slow"))</f>
        <v>Slow</v>
      </c>
      <c r="T216" t="str">
        <f>IF(Table1[[#This Row],[Price2]]&lt;500000,"Affordable",IF(Table1[[#This Row],[Price2]]&lt;1000000,"Mid range","Luxury"))</f>
        <v>Affordable</v>
      </c>
    </row>
    <row r="217" spans="1:20" x14ac:dyDescent="0.35">
      <c r="A217" s="3">
        <v>210113</v>
      </c>
      <c r="B217" s="2" t="s">
        <v>22</v>
      </c>
      <c r="C217">
        <v>99538</v>
      </c>
      <c r="D217" s="2" t="s">
        <v>18</v>
      </c>
      <c r="E217">
        <v>4</v>
      </c>
      <c r="F217">
        <v>4</v>
      </c>
      <c r="G217" s="4">
        <f>VALUE(SUBSTITUTE(SUBSTITUTE(Table1[[#This Row],[Price]],"$",""),",",""))</f>
        <v>210113</v>
      </c>
      <c r="H217" s="1">
        <f>Table1[[#This Row],[Price2]]/Table1[[#This Row],[Area]]</f>
        <v>54.348939472322812</v>
      </c>
      <c r="I217">
        <v>3866</v>
      </c>
      <c r="J217">
        <v>1973</v>
      </c>
      <c r="K217">
        <v>10</v>
      </c>
      <c r="L217" t="s">
        <v>14</v>
      </c>
      <c r="M217" t="s">
        <v>843</v>
      </c>
      <c r="N217" s="2" t="s">
        <v>3033</v>
      </c>
      <c r="O217" t="s">
        <v>3034</v>
      </c>
      <c r="P217" t="s">
        <v>16</v>
      </c>
      <c r="Q217">
        <v>54.348939472322812</v>
      </c>
      <c r="R217">
        <f ca="1">YEAR(TODAY())-Table1[[#This Row],[Year Built]]</f>
        <v>53</v>
      </c>
      <c r="S217" t="str">
        <f>IF(Table1[[#This Row],[Days on Market]] &lt; 30,"Fast",IF(Table1[[#This Row],[Days on Market]]&lt;= 90,"Average", "Slow"))</f>
        <v>Fast</v>
      </c>
      <c r="T217" t="str">
        <f>IF(Table1[[#This Row],[Price2]]&lt;500000,"Affordable",IF(Table1[[#This Row],[Price2]]&lt;1000000,"Mid range","Luxury"))</f>
        <v>Affordable</v>
      </c>
    </row>
    <row r="218" spans="1:20" x14ac:dyDescent="0.35">
      <c r="A218" s="3">
        <v>210895</v>
      </c>
      <c r="B218" s="2" t="s">
        <v>12</v>
      </c>
      <c r="C218">
        <v>85233</v>
      </c>
      <c r="D218" s="2" t="s">
        <v>13</v>
      </c>
      <c r="E218">
        <v>5</v>
      </c>
      <c r="F218">
        <v>2</v>
      </c>
      <c r="G218" s="4">
        <f>VALUE(SUBSTITUTE(SUBSTITUTE(Table1[[#This Row],[Price]],"$",""),",",""))</f>
        <v>210895</v>
      </c>
      <c r="H218" s="1">
        <f>Table1[[#This Row],[Price2]]/Table1[[#This Row],[Area]]</f>
        <v>161.97772657450076</v>
      </c>
      <c r="I218">
        <v>1302</v>
      </c>
      <c r="J218">
        <v>1954</v>
      </c>
      <c r="K218">
        <v>14</v>
      </c>
      <c r="L218" t="s">
        <v>19</v>
      </c>
      <c r="M218" t="s">
        <v>2850</v>
      </c>
      <c r="N218" s="2" t="s">
        <v>3029</v>
      </c>
      <c r="O218" t="s">
        <v>3030</v>
      </c>
      <c r="P218" t="s">
        <v>26</v>
      </c>
      <c r="Q218">
        <v>161.97772657450076</v>
      </c>
      <c r="R218">
        <f ca="1">YEAR(TODAY())-Table1[[#This Row],[Year Built]]</f>
        <v>72</v>
      </c>
      <c r="S218" t="str">
        <f>IF(Table1[[#This Row],[Days on Market]] &lt; 30,"Fast",IF(Table1[[#This Row],[Days on Market]]&lt;= 90,"Average", "Slow"))</f>
        <v>Fast</v>
      </c>
      <c r="T218" t="str">
        <f>IF(Table1[[#This Row],[Price2]]&lt;500000,"Affordable",IF(Table1[[#This Row],[Price2]]&lt;1000000,"Mid range","Luxury"))</f>
        <v>Affordable</v>
      </c>
    </row>
    <row r="219" spans="1:20" x14ac:dyDescent="0.35">
      <c r="A219" s="3">
        <v>210952</v>
      </c>
      <c r="B219" s="2" t="s">
        <v>27</v>
      </c>
      <c r="C219">
        <v>32705</v>
      </c>
      <c r="D219" s="2" t="s">
        <v>35</v>
      </c>
      <c r="E219">
        <v>5</v>
      </c>
      <c r="F219">
        <v>1</v>
      </c>
      <c r="G219" s="4">
        <f>VALUE(SUBSTITUTE(SUBSTITUTE(Table1[[#This Row],[Price]],"$",""),",",""))</f>
        <v>210952</v>
      </c>
      <c r="H219" s="1">
        <f>Table1[[#This Row],[Price2]]/Table1[[#This Row],[Area]]</f>
        <v>219.97080291970804</v>
      </c>
      <c r="I219">
        <v>959</v>
      </c>
      <c r="J219">
        <v>1969</v>
      </c>
      <c r="K219">
        <v>62</v>
      </c>
      <c r="L219" t="s">
        <v>30</v>
      </c>
      <c r="M219" t="s">
        <v>2441</v>
      </c>
      <c r="N219" s="2" t="s">
        <v>3033</v>
      </c>
      <c r="O219" t="s">
        <v>3034</v>
      </c>
      <c r="P219" t="s">
        <v>21</v>
      </c>
      <c r="Q219">
        <v>219.97080291970804</v>
      </c>
      <c r="R219">
        <f ca="1">YEAR(TODAY())-Table1[[#This Row],[Year Built]]</f>
        <v>57</v>
      </c>
      <c r="S219" t="str">
        <f>IF(Table1[[#This Row],[Days on Market]] &lt; 30,"Fast",IF(Table1[[#This Row],[Days on Market]]&lt;= 90,"Average", "Slow"))</f>
        <v>Average</v>
      </c>
      <c r="T219" t="str">
        <f>IF(Table1[[#This Row],[Price2]]&lt;500000,"Affordable",IF(Table1[[#This Row],[Price2]]&lt;1000000,"Mid range","Luxury"))</f>
        <v>Affordable</v>
      </c>
    </row>
    <row r="220" spans="1:20" x14ac:dyDescent="0.35">
      <c r="A220" s="3">
        <v>211664</v>
      </c>
      <c r="B220" s="2" t="s">
        <v>12</v>
      </c>
      <c r="C220">
        <v>99740</v>
      </c>
      <c r="D220" s="2" t="s">
        <v>23</v>
      </c>
      <c r="E220">
        <v>2</v>
      </c>
      <c r="F220">
        <v>4</v>
      </c>
      <c r="G220" s="4">
        <f>VALUE(SUBSTITUTE(SUBSTITUTE(Table1[[#This Row],[Price]],"$",""),",",""))</f>
        <v>211664</v>
      </c>
      <c r="H220" s="1">
        <f>Table1[[#This Row],[Price2]]/Table1[[#This Row],[Area]]</f>
        <v>301.94579172610554</v>
      </c>
      <c r="I220">
        <v>701</v>
      </c>
      <c r="J220">
        <v>2017</v>
      </c>
      <c r="K220">
        <v>117</v>
      </c>
      <c r="L220" t="s">
        <v>52</v>
      </c>
      <c r="M220" t="s">
        <v>3025</v>
      </c>
      <c r="N220" s="2" t="s">
        <v>3027</v>
      </c>
      <c r="O220" t="s">
        <v>3028</v>
      </c>
      <c r="P220" t="s">
        <v>26</v>
      </c>
      <c r="Q220">
        <v>301.94579172610554</v>
      </c>
      <c r="R220">
        <f ca="1">YEAR(TODAY())-Table1[[#This Row],[Year Built]]</f>
        <v>9</v>
      </c>
      <c r="S220" t="str">
        <f>IF(Table1[[#This Row],[Days on Market]] &lt; 30,"Fast",IF(Table1[[#This Row],[Days on Market]]&lt;= 90,"Average", "Slow"))</f>
        <v>Slow</v>
      </c>
      <c r="T220" t="str">
        <f>IF(Table1[[#This Row],[Price2]]&lt;500000,"Affordable",IF(Table1[[#This Row],[Price2]]&lt;1000000,"Mid range","Luxury"))</f>
        <v>Affordable</v>
      </c>
    </row>
    <row r="221" spans="1:20" x14ac:dyDescent="0.35">
      <c r="A221" s="3">
        <v>211740</v>
      </c>
      <c r="B221" s="2" t="s">
        <v>17</v>
      </c>
      <c r="C221">
        <v>12486</v>
      </c>
      <c r="D221" s="2" t="s">
        <v>23</v>
      </c>
      <c r="E221">
        <v>2</v>
      </c>
      <c r="F221">
        <v>4</v>
      </c>
      <c r="G221" s="4">
        <f>VALUE(SUBSTITUTE(SUBSTITUTE(Table1[[#This Row],[Price]],"$",""),",",""))</f>
        <v>211740</v>
      </c>
      <c r="H221" s="1">
        <f>Table1[[#This Row],[Price2]]/Table1[[#This Row],[Area]]</f>
        <v>62.886842886842885</v>
      </c>
      <c r="I221">
        <v>3367</v>
      </c>
      <c r="J221">
        <v>2011</v>
      </c>
      <c r="K221">
        <v>52</v>
      </c>
      <c r="L221" t="s">
        <v>52</v>
      </c>
      <c r="M221" t="s">
        <v>2917</v>
      </c>
      <c r="N221" s="2" t="s">
        <v>3031</v>
      </c>
      <c r="O221" t="s">
        <v>3032</v>
      </c>
      <c r="P221" t="s">
        <v>16</v>
      </c>
      <c r="Q221">
        <v>62.886842886842885</v>
      </c>
      <c r="R221">
        <f ca="1">YEAR(TODAY())-Table1[[#This Row],[Year Built]]</f>
        <v>15</v>
      </c>
      <c r="S221" t="str">
        <f>IF(Table1[[#This Row],[Days on Market]] &lt; 30,"Fast",IF(Table1[[#This Row],[Days on Market]]&lt;= 90,"Average", "Slow"))</f>
        <v>Average</v>
      </c>
      <c r="T221" t="str">
        <f>IF(Table1[[#This Row],[Price2]]&lt;500000,"Affordable",IF(Table1[[#This Row],[Price2]]&lt;1000000,"Mid range","Luxury"))</f>
        <v>Affordable</v>
      </c>
    </row>
    <row r="222" spans="1:20" x14ac:dyDescent="0.35">
      <c r="A222" s="3">
        <v>211750</v>
      </c>
      <c r="B222" s="2" t="s">
        <v>22</v>
      </c>
      <c r="C222">
        <v>46838</v>
      </c>
      <c r="D222" s="2" t="s">
        <v>29</v>
      </c>
      <c r="E222">
        <v>2</v>
      </c>
      <c r="F222">
        <v>4</v>
      </c>
      <c r="G222" s="4">
        <f>VALUE(SUBSTITUTE(SUBSTITUTE(Table1[[#This Row],[Price]],"$",""),",",""))</f>
        <v>211750</v>
      </c>
      <c r="H222" s="1">
        <f>Table1[[#This Row],[Price2]]/Table1[[#This Row],[Area]]</f>
        <v>60.690742333046721</v>
      </c>
      <c r="I222">
        <v>3489</v>
      </c>
      <c r="J222">
        <v>2019</v>
      </c>
      <c r="K222">
        <v>109</v>
      </c>
      <c r="L222" t="s">
        <v>30</v>
      </c>
      <c r="M222" t="s">
        <v>1331</v>
      </c>
      <c r="N222" s="2" t="s">
        <v>3035</v>
      </c>
      <c r="O222" t="s">
        <v>3036</v>
      </c>
      <c r="P222" t="s">
        <v>16</v>
      </c>
      <c r="Q222">
        <v>60.690742333046721</v>
      </c>
      <c r="R222">
        <f ca="1">YEAR(TODAY())-Table1[[#This Row],[Year Built]]</f>
        <v>7</v>
      </c>
      <c r="S222" t="str">
        <f>IF(Table1[[#This Row],[Days on Market]] &lt; 30,"Fast",IF(Table1[[#This Row],[Days on Market]]&lt;= 90,"Average", "Slow"))</f>
        <v>Slow</v>
      </c>
      <c r="T222" t="str">
        <f>IF(Table1[[#This Row],[Price2]]&lt;500000,"Affordable",IF(Table1[[#This Row],[Price2]]&lt;1000000,"Mid range","Luxury"))</f>
        <v>Affordable</v>
      </c>
    </row>
    <row r="223" spans="1:20" x14ac:dyDescent="0.35">
      <c r="A223" s="3">
        <v>211758</v>
      </c>
      <c r="B223" s="2" t="s">
        <v>22</v>
      </c>
      <c r="C223">
        <v>26310</v>
      </c>
      <c r="D223" s="2" t="s">
        <v>29</v>
      </c>
      <c r="E223">
        <v>1</v>
      </c>
      <c r="F223">
        <v>4</v>
      </c>
      <c r="G223" s="4">
        <f>VALUE(SUBSTITUTE(SUBSTITUTE(Table1[[#This Row],[Price]],"$",""),",",""))</f>
        <v>211758</v>
      </c>
      <c r="H223" s="1">
        <f>Table1[[#This Row],[Price2]]/Table1[[#This Row],[Area]]</f>
        <v>58.432119205298015</v>
      </c>
      <c r="I223">
        <v>3624</v>
      </c>
      <c r="J223">
        <v>1951</v>
      </c>
      <c r="K223">
        <v>80</v>
      </c>
      <c r="L223" t="s">
        <v>40</v>
      </c>
      <c r="M223" t="s">
        <v>1113</v>
      </c>
      <c r="N223" s="2" t="s">
        <v>3027</v>
      </c>
      <c r="O223" t="s">
        <v>3028</v>
      </c>
      <c r="P223" t="s">
        <v>26</v>
      </c>
      <c r="Q223">
        <v>58.432119205298015</v>
      </c>
      <c r="R223">
        <f ca="1">YEAR(TODAY())-Table1[[#This Row],[Year Built]]</f>
        <v>75</v>
      </c>
      <c r="S223" t="str">
        <f>IF(Table1[[#This Row],[Days on Market]] &lt; 30,"Fast",IF(Table1[[#This Row],[Days on Market]]&lt;= 90,"Average", "Slow"))</f>
        <v>Average</v>
      </c>
      <c r="T223" t="str">
        <f>IF(Table1[[#This Row],[Price2]]&lt;500000,"Affordable",IF(Table1[[#This Row],[Price2]]&lt;1000000,"Mid range","Luxury"))</f>
        <v>Affordable</v>
      </c>
    </row>
    <row r="224" spans="1:20" x14ac:dyDescent="0.35">
      <c r="A224" s="3">
        <v>212757</v>
      </c>
      <c r="B224" s="2" t="s">
        <v>17</v>
      </c>
      <c r="C224">
        <v>15208</v>
      </c>
      <c r="D224" s="2" t="s">
        <v>35</v>
      </c>
      <c r="E224">
        <v>5</v>
      </c>
      <c r="F224">
        <v>3</v>
      </c>
      <c r="G224" s="4">
        <f>VALUE(SUBSTITUTE(SUBSTITUTE(Table1[[#This Row],[Price]],"$",""),",",""))</f>
        <v>212757</v>
      </c>
      <c r="H224" s="1">
        <f>Table1[[#This Row],[Price2]]/Table1[[#This Row],[Area]]</f>
        <v>256.33373493975904</v>
      </c>
      <c r="I224">
        <v>830</v>
      </c>
      <c r="J224">
        <v>1983</v>
      </c>
      <c r="K224">
        <v>91</v>
      </c>
      <c r="L224" t="s">
        <v>52</v>
      </c>
      <c r="M224" t="s">
        <v>2291</v>
      </c>
      <c r="N224" s="2" t="s">
        <v>3035</v>
      </c>
      <c r="O224" t="s">
        <v>3036</v>
      </c>
      <c r="P224" t="s">
        <v>16</v>
      </c>
      <c r="Q224">
        <v>256.33373493975904</v>
      </c>
      <c r="R224">
        <f ca="1">YEAR(TODAY())-Table1[[#This Row],[Year Built]]</f>
        <v>43</v>
      </c>
      <c r="S224" t="str">
        <f>IF(Table1[[#This Row],[Days on Market]] &lt; 30,"Fast",IF(Table1[[#This Row],[Days on Market]]&lt;= 90,"Average", "Slow"))</f>
        <v>Slow</v>
      </c>
      <c r="T224" t="str">
        <f>IF(Table1[[#This Row],[Price2]]&lt;500000,"Affordable",IF(Table1[[#This Row],[Price2]]&lt;1000000,"Mid range","Luxury"))</f>
        <v>Affordable</v>
      </c>
    </row>
    <row r="225" spans="1:20" x14ac:dyDescent="0.35">
      <c r="A225" s="3">
        <v>213805</v>
      </c>
      <c r="B225" s="2" t="s">
        <v>22</v>
      </c>
      <c r="C225">
        <v>31318</v>
      </c>
      <c r="D225" s="2" t="s">
        <v>13</v>
      </c>
      <c r="E225">
        <v>5</v>
      </c>
      <c r="F225">
        <v>1</v>
      </c>
      <c r="G225" s="4">
        <f>VALUE(SUBSTITUTE(SUBSTITUTE(Table1[[#This Row],[Price]],"$",""),",",""))</f>
        <v>213805</v>
      </c>
      <c r="H225" s="1">
        <f>Table1[[#This Row],[Price2]]/Table1[[#This Row],[Area]]</f>
        <v>138.5644847699287</v>
      </c>
      <c r="I225">
        <v>1543</v>
      </c>
      <c r="J225">
        <v>1957</v>
      </c>
      <c r="K225">
        <v>38</v>
      </c>
      <c r="L225" t="s">
        <v>14</v>
      </c>
      <c r="M225" t="s">
        <v>697</v>
      </c>
      <c r="N225" s="2" t="s">
        <v>3027</v>
      </c>
      <c r="O225" t="s">
        <v>3028</v>
      </c>
      <c r="P225" t="s">
        <v>26</v>
      </c>
      <c r="Q225">
        <v>138.5644847699287</v>
      </c>
      <c r="R225">
        <f ca="1">YEAR(TODAY())-Table1[[#This Row],[Year Built]]</f>
        <v>69</v>
      </c>
      <c r="S225" t="str">
        <f>IF(Table1[[#This Row],[Days on Market]] &lt; 30,"Fast",IF(Table1[[#This Row],[Days on Market]]&lt;= 90,"Average", "Slow"))</f>
        <v>Average</v>
      </c>
      <c r="T225" t="str">
        <f>IF(Table1[[#This Row],[Price2]]&lt;500000,"Affordable",IF(Table1[[#This Row],[Price2]]&lt;1000000,"Mid range","Luxury"))</f>
        <v>Affordable</v>
      </c>
    </row>
    <row r="226" spans="1:20" x14ac:dyDescent="0.35">
      <c r="A226" s="3">
        <v>214127</v>
      </c>
      <c r="B226" s="2" t="s">
        <v>17</v>
      </c>
      <c r="C226">
        <v>92602</v>
      </c>
      <c r="D226" s="2" t="s">
        <v>35</v>
      </c>
      <c r="E226">
        <v>6</v>
      </c>
      <c r="F226">
        <v>4</v>
      </c>
      <c r="G226" s="4">
        <f>VALUE(SUBSTITUTE(SUBSTITUTE(Table1[[#This Row],[Price]],"$",""),",",""))</f>
        <v>214127</v>
      </c>
      <c r="H226" s="1">
        <f>Table1[[#This Row],[Price2]]/Table1[[#This Row],[Area]]</f>
        <v>77.526068066618393</v>
      </c>
      <c r="I226">
        <v>2762</v>
      </c>
      <c r="J226">
        <v>1952</v>
      </c>
      <c r="K226">
        <v>69</v>
      </c>
      <c r="L226" t="s">
        <v>30</v>
      </c>
      <c r="M226" t="s">
        <v>2780</v>
      </c>
      <c r="N226" s="2" t="s">
        <v>3027</v>
      </c>
      <c r="O226" t="s">
        <v>3028</v>
      </c>
      <c r="P226" t="s">
        <v>21</v>
      </c>
      <c r="Q226">
        <v>77.526068066618393</v>
      </c>
      <c r="R226">
        <f ca="1">YEAR(TODAY())-Table1[[#This Row],[Year Built]]</f>
        <v>74</v>
      </c>
      <c r="S226" t="str">
        <f>IF(Table1[[#This Row],[Days on Market]] &lt; 30,"Fast",IF(Table1[[#This Row],[Days on Market]]&lt;= 90,"Average", "Slow"))</f>
        <v>Average</v>
      </c>
      <c r="T226" t="str">
        <f>IF(Table1[[#This Row],[Price2]]&lt;500000,"Affordable",IF(Table1[[#This Row],[Price2]]&lt;1000000,"Mid range","Luxury"))</f>
        <v>Affordable</v>
      </c>
    </row>
    <row r="227" spans="1:20" x14ac:dyDescent="0.35">
      <c r="A227" s="3">
        <v>214432</v>
      </c>
      <c r="B227" s="2" t="s">
        <v>34</v>
      </c>
      <c r="C227">
        <v>23327</v>
      </c>
      <c r="D227" s="2" t="s">
        <v>13</v>
      </c>
      <c r="E227">
        <v>5</v>
      </c>
      <c r="F227">
        <v>1</v>
      </c>
      <c r="G227" s="4">
        <f>VALUE(SUBSTITUTE(SUBSTITUTE(Table1[[#This Row],[Price]],"$",""),",",""))</f>
        <v>214432</v>
      </c>
      <c r="H227" s="1">
        <f>Table1[[#This Row],[Price2]]/Table1[[#This Row],[Area]]</f>
        <v>146.87123287671233</v>
      </c>
      <c r="I227">
        <v>1460</v>
      </c>
      <c r="J227">
        <v>1976</v>
      </c>
      <c r="K227">
        <v>6</v>
      </c>
      <c r="L227" t="s">
        <v>40</v>
      </c>
      <c r="M227" t="s">
        <v>1603</v>
      </c>
      <c r="N227" s="2" t="s">
        <v>3031</v>
      </c>
      <c r="O227" t="s">
        <v>3032</v>
      </c>
      <c r="P227" t="s">
        <v>16</v>
      </c>
      <c r="Q227">
        <v>146.87123287671233</v>
      </c>
      <c r="R227">
        <f ca="1">YEAR(TODAY())-Table1[[#This Row],[Year Built]]</f>
        <v>50</v>
      </c>
      <c r="S227" t="str">
        <f>IF(Table1[[#This Row],[Days on Market]] &lt; 30,"Fast",IF(Table1[[#This Row],[Days on Market]]&lt;= 90,"Average", "Slow"))</f>
        <v>Fast</v>
      </c>
      <c r="T227" t="str">
        <f>IF(Table1[[#This Row],[Price2]]&lt;500000,"Affordable",IF(Table1[[#This Row],[Price2]]&lt;1000000,"Mid range","Luxury"))</f>
        <v>Affordable</v>
      </c>
    </row>
    <row r="228" spans="1:20" x14ac:dyDescent="0.35">
      <c r="A228" s="3">
        <v>214822</v>
      </c>
      <c r="B228" s="2" t="s">
        <v>12</v>
      </c>
      <c r="C228">
        <v>35221</v>
      </c>
      <c r="D228" s="2" t="s">
        <v>23</v>
      </c>
      <c r="E228">
        <v>2</v>
      </c>
      <c r="F228">
        <v>2</v>
      </c>
      <c r="G228" s="4">
        <f>VALUE(SUBSTITUTE(SUBSTITUTE(Table1[[#This Row],[Price]],"$",""),",",""))</f>
        <v>214822</v>
      </c>
      <c r="H228" s="1">
        <f>Table1[[#This Row],[Price2]]/Table1[[#This Row],[Area]]</f>
        <v>70.68838433695295</v>
      </c>
      <c r="I228">
        <v>3039</v>
      </c>
      <c r="J228">
        <v>1976</v>
      </c>
      <c r="K228">
        <v>33</v>
      </c>
      <c r="L228" t="s">
        <v>19</v>
      </c>
      <c r="M228" t="s">
        <v>2502</v>
      </c>
      <c r="N228" s="2" t="s">
        <v>3031</v>
      </c>
      <c r="O228" t="s">
        <v>3032</v>
      </c>
      <c r="P228" t="s">
        <v>16</v>
      </c>
      <c r="Q228">
        <v>70.68838433695295</v>
      </c>
      <c r="R228">
        <f ca="1">YEAR(TODAY())-Table1[[#This Row],[Year Built]]</f>
        <v>50</v>
      </c>
      <c r="S228" t="str">
        <f>IF(Table1[[#This Row],[Days on Market]] &lt; 30,"Fast",IF(Table1[[#This Row],[Days on Market]]&lt;= 90,"Average", "Slow"))</f>
        <v>Average</v>
      </c>
      <c r="T228" t="str">
        <f>IF(Table1[[#This Row],[Price2]]&lt;500000,"Affordable",IF(Table1[[#This Row],[Price2]]&lt;1000000,"Mid range","Luxury"))</f>
        <v>Affordable</v>
      </c>
    </row>
    <row r="229" spans="1:20" x14ac:dyDescent="0.35">
      <c r="A229" s="3">
        <v>215543</v>
      </c>
      <c r="B229" s="2" t="s">
        <v>12</v>
      </c>
      <c r="C229">
        <v>66456</v>
      </c>
      <c r="D229" s="2" t="s">
        <v>18</v>
      </c>
      <c r="E229">
        <v>6</v>
      </c>
      <c r="F229">
        <v>4</v>
      </c>
      <c r="G229" s="4">
        <f>VALUE(SUBSTITUTE(SUBSTITUTE(Table1[[#This Row],[Price]],"$",""),",",""))</f>
        <v>215543</v>
      </c>
      <c r="H229" s="1">
        <f>Table1[[#This Row],[Price2]]/Table1[[#This Row],[Area]]</f>
        <v>74.479267449896341</v>
      </c>
      <c r="I229">
        <v>2894</v>
      </c>
      <c r="J229">
        <v>1959</v>
      </c>
      <c r="K229">
        <v>30</v>
      </c>
      <c r="L229" t="s">
        <v>52</v>
      </c>
      <c r="M229" t="s">
        <v>2028</v>
      </c>
      <c r="N229" s="2" t="s">
        <v>3031</v>
      </c>
      <c r="O229" t="s">
        <v>3032</v>
      </c>
      <c r="P229" t="s">
        <v>21</v>
      </c>
      <c r="Q229">
        <v>74.479267449896341</v>
      </c>
      <c r="R229">
        <f ca="1">YEAR(TODAY())-Table1[[#This Row],[Year Built]]</f>
        <v>67</v>
      </c>
      <c r="S229" t="str">
        <f>IF(Table1[[#This Row],[Days on Market]] &lt; 30,"Fast",IF(Table1[[#This Row],[Days on Market]]&lt;= 90,"Average", "Slow"))</f>
        <v>Average</v>
      </c>
      <c r="T229" t="str">
        <f>IF(Table1[[#This Row],[Price2]]&lt;500000,"Affordable",IF(Table1[[#This Row],[Price2]]&lt;1000000,"Mid range","Luxury"))</f>
        <v>Affordable</v>
      </c>
    </row>
    <row r="230" spans="1:20" x14ac:dyDescent="0.35">
      <c r="A230" s="3">
        <v>215904</v>
      </c>
      <c r="B230" s="2" t="s">
        <v>12</v>
      </c>
      <c r="C230">
        <v>63640</v>
      </c>
      <c r="D230" s="2" t="s">
        <v>23</v>
      </c>
      <c r="E230">
        <v>6</v>
      </c>
      <c r="F230">
        <v>4</v>
      </c>
      <c r="G230" s="4">
        <f>VALUE(SUBSTITUTE(SUBSTITUTE(Table1[[#This Row],[Price]],"$",""),",",""))</f>
        <v>215904</v>
      </c>
      <c r="H230" s="1">
        <f>Table1[[#This Row],[Price2]]/Table1[[#This Row],[Area]]</f>
        <v>79.934838948537575</v>
      </c>
      <c r="I230">
        <v>2701</v>
      </c>
      <c r="J230">
        <v>1995</v>
      </c>
      <c r="K230">
        <v>47</v>
      </c>
      <c r="L230" t="s">
        <v>30</v>
      </c>
      <c r="M230" t="s">
        <v>162</v>
      </c>
      <c r="N230" s="2" t="s">
        <v>3027</v>
      </c>
      <c r="O230" t="s">
        <v>3028</v>
      </c>
      <c r="P230" t="s">
        <v>21</v>
      </c>
      <c r="Q230">
        <v>79.934838948537575</v>
      </c>
      <c r="R230">
        <f ca="1">YEAR(TODAY())-Table1[[#This Row],[Year Built]]</f>
        <v>31</v>
      </c>
      <c r="S230" t="str">
        <f>IF(Table1[[#This Row],[Days on Market]] &lt; 30,"Fast",IF(Table1[[#This Row],[Days on Market]]&lt;= 90,"Average", "Slow"))</f>
        <v>Average</v>
      </c>
      <c r="T230" t="str">
        <f>IF(Table1[[#This Row],[Price2]]&lt;500000,"Affordable",IF(Table1[[#This Row],[Price2]]&lt;1000000,"Mid range","Luxury"))</f>
        <v>Affordable</v>
      </c>
    </row>
    <row r="231" spans="1:20" x14ac:dyDescent="0.35">
      <c r="A231" s="3">
        <v>216289</v>
      </c>
      <c r="B231" s="2" t="s">
        <v>22</v>
      </c>
      <c r="C231">
        <v>51838</v>
      </c>
      <c r="D231" s="2" t="s">
        <v>23</v>
      </c>
      <c r="E231">
        <v>5</v>
      </c>
      <c r="F231">
        <v>2</v>
      </c>
      <c r="G231" s="4">
        <f>VALUE(SUBSTITUTE(SUBSTITUTE(Table1[[#This Row],[Price]],"$",""),",",""))</f>
        <v>216289</v>
      </c>
      <c r="H231" s="1">
        <f>Table1[[#This Row],[Price2]]/Table1[[#This Row],[Area]]</f>
        <v>59.257260273972605</v>
      </c>
      <c r="I231">
        <v>3650</v>
      </c>
      <c r="J231">
        <v>1970</v>
      </c>
      <c r="K231">
        <v>11</v>
      </c>
      <c r="L231" t="s">
        <v>40</v>
      </c>
      <c r="M231" t="s">
        <v>2439</v>
      </c>
      <c r="N231" s="2" t="s">
        <v>3031</v>
      </c>
      <c r="O231" t="s">
        <v>3032</v>
      </c>
      <c r="P231" t="s">
        <v>16</v>
      </c>
      <c r="Q231">
        <v>59.257260273972605</v>
      </c>
      <c r="R231">
        <f ca="1">YEAR(TODAY())-Table1[[#This Row],[Year Built]]</f>
        <v>56</v>
      </c>
      <c r="S231" t="str">
        <f>IF(Table1[[#This Row],[Days on Market]] &lt; 30,"Fast",IF(Table1[[#This Row],[Days on Market]]&lt;= 90,"Average", "Slow"))</f>
        <v>Fast</v>
      </c>
      <c r="T231" t="str">
        <f>IF(Table1[[#This Row],[Price2]]&lt;500000,"Affordable",IF(Table1[[#This Row],[Price2]]&lt;1000000,"Mid range","Luxury"))</f>
        <v>Affordable</v>
      </c>
    </row>
    <row r="232" spans="1:20" x14ac:dyDescent="0.35">
      <c r="A232" s="3">
        <v>216445</v>
      </c>
      <c r="B232" s="2" t="s">
        <v>17</v>
      </c>
      <c r="C232">
        <v>64412</v>
      </c>
      <c r="D232" s="2" t="s">
        <v>35</v>
      </c>
      <c r="E232">
        <v>3</v>
      </c>
      <c r="F232">
        <v>2</v>
      </c>
      <c r="G232" s="4">
        <f>VALUE(SUBSTITUTE(SUBSTITUTE(Table1[[#This Row],[Price]],"$",""),",",""))</f>
        <v>216445</v>
      </c>
      <c r="H232" s="1">
        <f>Table1[[#This Row],[Price2]]/Table1[[#This Row],[Area]]</f>
        <v>81.831758034026464</v>
      </c>
      <c r="I232">
        <v>2645</v>
      </c>
      <c r="J232">
        <v>2013</v>
      </c>
      <c r="K232">
        <v>114</v>
      </c>
      <c r="L232" t="s">
        <v>40</v>
      </c>
      <c r="M232" t="s">
        <v>2397</v>
      </c>
      <c r="N232" s="2" t="s">
        <v>3031</v>
      </c>
      <c r="O232" t="s">
        <v>3032</v>
      </c>
      <c r="P232" t="s">
        <v>16</v>
      </c>
      <c r="Q232">
        <v>81.831758034026464</v>
      </c>
      <c r="R232">
        <f ca="1">YEAR(TODAY())-Table1[[#This Row],[Year Built]]</f>
        <v>13</v>
      </c>
      <c r="S232" t="str">
        <f>IF(Table1[[#This Row],[Days on Market]] &lt; 30,"Fast",IF(Table1[[#This Row],[Days on Market]]&lt;= 90,"Average", "Slow"))</f>
        <v>Slow</v>
      </c>
      <c r="T232" t="str">
        <f>IF(Table1[[#This Row],[Price2]]&lt;500000,"Affordable",IF(Table1[[#This Row],[Price2]]&lt;1000000,"Mid range","Luxury"))</f>
        <v>Affordable</v>
      </c>
    </row>
    <row r="233" spans="1:20" x14ac:dyDescent="0.35">
      <c r="A233" s="3">
        <v>216447</v>
      </c>
      <c r="B233" s="2" t="s">
        <v>12</v>
      </c>
      <c r="C233">
        <v>13109</v>
      </c>
      <c r="D233" s="2" t="s">
        <v>13</v>
      </c>
      <c r="E233">
        <v>5</v>
      </c>
      <c r="F233">
        <v>4</v>
      </c>
      <c r="G233" s="4">
        <f>VALUE(SUBSTITUTE(SUBSTITUTE(Table1[[#This Row],[Price]],"$",""),",",""))</f>
        <v>216447</v>
      </c>
      <c r="H233" s="1">
        <f>Table1[[#This Row],[Price2]]/Table1[[#This Row],[Area]]</f>
        <v>81.401654757427607</v>
      </c>
      <c r="I233">
        <v>2659</v>
      </c>
      <c r="J233">
        <v>2005</v>
      </c>
      <c r="K233">
        <v>73</v>
      </c>
      <c r="L233" t="s">
        <v>52</v>
      </c>
      <c r="M233" t="s">
        <v>2952</v>
      </c>
      <c r="N233" s="2" t="s">
        <v>3027</v>
      </c>
      <c r="O233" t="s">
        <v>3028</v>
      </c>
      <c r="P233" t="s">
        <v>16</v>
      </c>
      <c r="Q233">
        <v>81.401654757427607</v>
      </c>
      <c r="R233">
        <f ca="1">YEAR(TODAY())-Table1[[#This Row],[Year Built]]</f>
        <v>21</v>
      </c>
      <c r="S233" t="str">
        <f>IF(Table1[[#This Row],[Days on Market]] &lt; 30,"Fast",IF(Table1[[#This Row],[Days on Market]]&lt;= 90,"Average", "Slow"))</f>
        <v>Average</v>
      </c>
      <c r="T233" t="str">
        <f>IF(Table1[[#This Row],[Price2]]&lt;500000,"Affordable",IF(Table1[[#This Row],[Price2]]&lt;1000000,"Mid range","Luxury"))</f>
        <v>Affordable</v>
      </c>
    </row>
    <row r="234" spans="1:20" x14ac:dyDescent="0.35">
      <c r="A234" s="3">
        <v>218899</v>
      </c>
      <c r="B234" s="2" t="s">
        <v>27</v>
      </c>
      <c r="C234">
        <v>84106</v>
      </c>
      <c r="D234" s="2" t="s">
        <v>23</v>
      </c>
      <c r="E234">
        <v>2</v>
      </c>
      <c r="F234">
        <v>2</v>
      </c>
      <c r="G234" s="4">
        <f>VALUE(SUBSTITUTE(SUBSTITUTE(Table1[[#This Row],[Price]],"$",""),",",""))</f>
        <v>218899</v>
      </c>
      <c r="H234" s="1">
        <f>Table1[[#This Row],[Price2]]/Table1[[#This Row],[Area]]</f>
        <v>62.811764705882354</v>
      </c>
      <c r="I234">
        <v>3485</v>
      </c>
      <c r="J234">
        <v>2011</v>
      </c>
      <c r="K234">
        <v>8</v>
      </c>
      <c r="L234" t="s">
        <v>40</v>
      </c>
      <c r="M234" t="s">
        <v>2833</v>
      </c>
      <c r="N234" s="2" t="s">
        <v>3029</v>
      </c>
      <c r="O234" t="s">
        <v>3030</v>
      </c>
      <c r="P234" t="s">
        <v>21</v>
      </c>
      <c r="Q234">
        <v>62.811764705882354</v>
      </c>
      <c r="R234">
        <f ca="1">YEAR(TODAY())-Table1[[#This Row],[Year Built]]</f>
        <v>15</v>
      </c>
      <c r="S234" t="str">
        <f>IF(Table1[[#This Row],[Days on Market]] &lt; 30,"Fast",IF(Table1[[#This Row],[Days on Market]]&lt;= 90,"Average", "Slow"))</f>
        <v>Fast</v>
      </c>
      <c r="T234" t="str">
        <f>IF(Table1[[#This Row],[Price2]]&lt;500000,"Affordable",IF(Table1[[#This Row],[Price2]]&lt;1000000,"Mid range","Luxury"))</f>
        <v>Affordable</v>
      </c>
    </row>
    <row r="235" spans="1:20" x14ac:dyDescent="0.35">
      <c r="A235" s="3">
        <v>220065</v>
      </c>
      <c r="B235" s="2" t="s">
        <v>34</v>
      </c>
      <c r="C235">
        <v>22910</v>
      </c>
      <c r="D235" s="2" t="s">
        <v>35</v>
      </c>
      <c r="E235">
        <v>3</v>
      </c>
      <c r="F235">
        <v>4</v>
      </c>
      <c r="G235" s="4">
        <f>VALUE(SUBSTITUTE(SUBSTITUTE(Table1[[#This Row],[Price]],"$",""),",",""))</f>
        <v>220065</v>
      </c>
      <c r="H235" s="1">
        <f>Table1[[#This Row],[Price2]]/Table1[[#This Row],[Area]]</f>
        <v>103.65756005652379</v>
      </c>
      <c r="I235">
        <v>2123</v>
      </c>
      <c r="J235">
        <v>1960</v>
      </c>
      <c r="K235">
        <v>4</v>
      </c>
      <c r="L235" t="s">
        <v>40</v>
      </c>
      <c r="M235" t="s">
        <v>2635</v>
      </c>
      <c r="N235" s="2" t="s">
        <v>3031</v>
      </c>
      <c r="O235" t="s">
        <v>3032</v>
      </c>
      <c r="P235" t="s">
        <v>26</v>
      </c>
      <c r="Q235">
        <v>103.65756005652379</v>
      </c>
      <c r="R235">
        <f ca="1">YEAR(TODAY())-Table1[[#This Row],[Year Built]]</f>
        <v>66</v>
      </c>
      <c r="S235" t="str">
        <f>IF(Table1[[#This Row],[Days on Market]] &lt; 30,"Fast",IF(Table1[[#This Row],[Days on Market]]&lt;= 90,"Average", "Slow"))</f>
        <v>Fast</v>
      </c>
      <c r="T235" t="str">
        <f>IF(Table1[[#This Row],[Price2]]&lt;500000,"Affordable",IF(Table1[[#This Row],[Price2]]&lt;1000000,"Mid range","Luxury"))</f>
        <v>Affordable</v>
      </c>
    </row>
    <row r="236" spans="1:20" x14ac:dyDescent="0.35">
      <c r="A236" s="3">
        <v>221390</v>
      </c>
      <c r="B236" s="2" t="s">
        <v>22</v>
      </c>
      <c r="C236">
        <v>90015</v>
      </c>
      <c r="D236" s="2" t="s">
        <v>29</v>
      </c>
      <c r="E236">
        <v>6</v>
      </c>
      <c r="F236">
        <v>3</v>
      </c>
      <c r="G236" s="4">
        <f>VALUE(SUBSTITUTE(SUBSTITUTE(Table1[[#This Row],[Price]],"$",""),",",""))</f>
        <v>221390</v>
      </c>
      <c r="H236" s="1">
        <f>Table1[[#This Row],[Price2]]/Table1[[#This Row],[Area]]</f>
        <v>97.700794351279782</v>
      </c>
      <c r="I236">
        <v>2266</v>
      </c>
      <c r="J236">
        <v>1963</v>
      </c>
      <c r="K236">
        <v>106</v>
      </c>
      <c r="L236" t="s">
        <v>40</v>
      </c>
      <c r="M236" t="s">
        <v>1067</v>
      </c>
      <c r="N236" s="2" t="s">
        <v>3035</v>
      </c>
      <c r="O236" t="s">
        <v>3036</v>
      </c>
      <c r="P236" t="s">
        <v>26</v>
      </c>
      <c r="Q236">
        <v>97.700794351279782</v>
      </c>
      <c r="R236">
        <f ca="1">YEAR(TODAY())-Table1[[#This Row],[Year Built]]</f>
        <v>63</v>
      </c>
      <c r="S236" t="str">
        <f>IF(Table1[[#This Row],[Days on Market]] &lt; 30,"Fast",IF(Table1[[#This Row],[Days on Market]]&lt;= 90,"Average", "Slow"))</f>
        <v>Slow</v>
      </c>
      <c r="T236" t="str">
        <f>IF(Table1[[#This Row],[Price2]]&lt;500000,"Affordable",IF(Table1[[#This Row],[Price2]]&lt;1000000,"Mid range","Luxury"))</f>
        <v>Affordable</v>
      </c>
    </row>
    <row r="237" spans="1:20" x14ac:dyDescent="0.35">
      <c r="A237" s="3">
        <v>221570</v>
      </c>
      <c r="B237" s="2" t="s">
        <v>27</v>
      </c>
      <c r="C237">
        <v>22560</v>
      </c>
      <c r="D237" s="2" t="s">
        <v>18</v>
      </c>
      <c r="E237">
        <v>4</v>
      </c>
      <c r="F237">
        <v>4</v>
      </c>
      <c r="G237" s="4">
        <f>VALUE(SUBSTITUTE(SUBSTITUTE(Table1[[#This Row],[Price]],"$",""),",",""))</f>
        <v>221570</v>
      </c>
      <c r="H237" s="1">
        <f>Table1[[#This Row],[Price2]]/Table1[[#This Row],[Area]]</f>
        <v>123.02609661299279</v>
      </c>
      <c r="I237">
        <v>1801</v>
      </c>
      <c r="J237">
        <v>1957</v>
      </c>
      <c r="K237">
        <v>102</v>
      </c>
      <c r="L237" t="s">
        <v>19</v>
      </c>
      <c r="M237" t="s">
        <v>2349</v>
      </c>
      <c r="N237" s="2" t="s">
        <v>3033</v>
      </c>
      <c r="O237" t="s">
        <v>3034</v>
      </c>
      <c r="P237" t="s">
        <v>16</v>
      </c>
      <c r="Q237">
        <v>123.02609661299279</v>
      </c>
      <c r="R237">
        <f ca="1">YEAR(TODAY())-Table1[[#This Row],[Year Built]]</f>
        <v>69</v>
      </c>
      <c r="S237" t="str">
        <f>IF(Table1[[#This Row],[Days on Market]] &lt; 30,"Fast",IF(Table1[[#This Row],[Days on Market]]&lt;= 90,"Average", "Slow"))</f>
        <v>Slow</v>
      </c>
      <c r="T237" t="str">
        <f>IF(Table1[[#This Row],[Price2]]&lt;500000,"Affordable",IF(Table1[[#This Row],[Price2]]&lt;1000000,"Mid range","Luxury"))</f>
        <v>Affordable</v>
      </c>
    </row>
    <row r="238" spans="1:20" x14ac:dyDescent="0.35">
      <c r="A238" s="3">
        <v>221782</v>
      </c>
      <c r="B238" s="2" t="s">
        <v>22</v>
      </c>
      <c r="C238">
        <v>38208</v>
      </c>
      <c r="D238" s="2" t="s">
        <v>23</v>
      </c>
      <c r="E238">
        <v>5</v>
      </c>
      <c r="F238">
        <v>1</v>
      </c>
      <c r="G238" s="4">
        <f>VALUE(SUBSTITUTE(SUBSTITUTE(Table1[[#This Row],[Price]],"$",""),",",""))</f>
        <v>221782</v>
      </c>
      <c r="H238" s="1">
        <f>Table1[[#This Row],[Price2]]/Table1[[#This Row],[Area]]</f>
        <v>80.094618996027449</v>
      </c>
      <c r="I238">
        <v>2769</v>
      </c>
      <c r="J238">
        <v>1980</v>
      </c>
      <c r="K238">
        <v>83</v>
      </c>
      <c r="L238" t="s">
        <v>52</v>
      </c>
      <c r="M238" t="s">
        <v>1519</v>
      </c>
      <c r="N238" s="2" t="s">
        <v>3033</v>
      </c>
      <c r="O238" t="s">
        <v>3034</v>
      </c>
      <c r="P238" t="s">
        <v>16</v>
      </c>
      <c r="Q238">
        <v>80.094618996027449</v>
      </c>
      <c r="R238">
        <f ca="1">YEAR(TODAY())-Table1[[#This Row],[Year Built]]</f>
        <v>46</v>
      </c>
      <c r="S238" t="str">
        <f>IF(Table1[[#This Row],[Days on Market]] &lt; 30,"Fast",IF(Table1[[#This Row],[Days on Market]]&lt;= 90,"Average", "Slow"))</f>
        <v>Average</v>
      </c>
      <c r="T238" t="str">
        <f>IF(Table1[[#This Row],[Price2]]&lt;500000,"Affordable",IF(Table1[[#This Row],[Price2]]&lt;1000000,"Mid range","Luxury"))</f>
        <v>Affordable</v>
      </c>
    </row>
    <row r="239" spans="1:20" x14ac:dyDescent="0.35">
      <c r="A239" s="3">
        <v>221942</v>
      </c>
      <c r="B239" s="2" t="s">
        <v>34</v>
      </c>
      <c r="C239">
        <v>27882</v>
      </c>
      <c r="D239" s="2" t="s">
        <v>13</v>
      </c>
      <c r="E239">
        <v>2</v>
      </c>
      <c r="F239">
        <v>3</v>
      </c>
      <c r="G239" s="4">
        <f>VALUE(SUBSTITUTE(SUBSTITUTE(Table1[[#This Row],[Price]],"$",""),",",""))</f>
        <v>221942</v>
      </c>
      <c r="H239" s="1">
        <f>Table1[[#This Row],[Price2]]/Table1[[#This Row],[Area]]</f>
        <v>69.552491382011908</v>
      </c>
      <c r="I239">
        <v>3191</v>
      </c>
      <c r="J239">
        <v>2001</v>
      </c>
      <c r="K239">
        <v>6</v>
      </c>
      <c r="L239" t="s">
        <v>19</v>
      </c>
      <c r="M239" t="s">
        <v>772</v>
      </c>
      <c r="N239" s="2" t="s">
        <v>3029</v>
      </c>
      <c r="O239" t="s">
        <v>3030</v>
      </c>
      <c r="P239" t="s">
        <v>26</v>
      </c>
      <c r="Q239">
        <v>69.552491382011908</v>
      </c>
      <c r="R239">
        <f ca="1">YEAR(TODAY())-Table1[[#This Row],[Year Built]]</f>
        <v>25</v>
      </c>
      <c r="S239" t="str">
        <f>IF(Table1[[#This Row],[Days on Market]] &lt; 30,"Fast",IF(Table1[[#This Row],[Days on Market]]&lt;= 90,"Average", "Slow"))</f>
        <v>Fast</v>
      </c>
      <c r="T239" t="str">
        <f>IF(Table1[[#This Row],[Price2]]&lt;500000,"Affordable",IF(Table1[[#This Row],[Price2]]&lt;1000000,"Mid range","Luxury"))</f>
        <v>Affordable</v>
      </c>
    </row>
    <row r="240" spans="1:20" x14ac:dyDescent="0.35">
      <c r="A240" s="3">
        <v>222555</v>
      </c>
      <c r="B240" s="2" t="s">
        <v>27</v>
      </c>
      <c r="C240">
        <v>42151</v>
      </c>
      <c r="D240" s="2" t="s">
        <v>13</v>
      </c>
      <c r="E240">
        <v>2</v>
      </c>
      <c r="F240">
        <v>2</v>
      </c>
      <c r="G240" s="4">
        <f>VALUE(SUBSTITUTE(SUBSTITUTE(Table1[[#This Row],[Price]],"$",""),",",""))</f>
        <v>222555</v>
      </c>
      <c r="H240" s="1">
        <f>Table1[[#This Row],[Price2]]/Table1[[#This Row],[Area]]</f>
        <v>99.26628010704728</v>
      </c>
      <c r="I240">
        <v>2242</v>
      </c>
      <c r="J240">
        <v>2002</v>
      </c>
      <c r="K240">
        <v>85</v>
      </c>
      <c r="L240" t="s">
        <v>14</v>
      </c>
      <c r="M240" t="s">
        <v>1841</v>
      </c>
      <c r="N240" s="2" t="s">
        <v>3027</v>
      </c>
      <c r="O240" t="s">
        <v>3028</v>
      </c>
      <c r="P240" t="s">
        <v>16</v>
      </c>
      <c r="Q240">
        <v>99.26628010704728</v>
      </c>
      <c r="R240">
        <f ca="1">YEAR(TODAY())-Table1[[#This Row],[Year Built]]</f>
        <v>24</v>
      </c>
      <c r="S240" t="str">
        <f>IF(Table1[[#This Row],[Days on Market]] &lt; 30,"Fast",IF(Table1[[#This Row],[Days on Market]]&lt;= 90,"Average", "Slow"))</f>
        <v>Average</v>
      </c>
      <c r="T240" t="str">
        <f>IF(Table1[[#This Row],[Price2]]&lt;500000,"Affordable",IF(Table1[[#This Row],[Price2]]&lt;1000000,"Mid range","Luxury"))</f>
        <v>Affordable</v>
      </c>
    </row>
    <row r="241" spans="1:20" x14ac:dyDescent="0.35">
      <c r="A241" s="3">
        <v>222752</v>
      </c>
      <c r="B241" s="2" t="s">
        <v>17</v>
      </c>
      <c r="C241">
        <v>95064</v>
      </c>
      <c r="D241" s="2" t="s">
        <v>23</v>
      </c>
      <c r="E241">
        <v>4</v>
      </c>
      <c r="F241">
        <v>3</v>
      </c>
      <c r="G241" s="4">
        <f>VALUE(SUBSTITUTE(SUBSTITUTE(Table1[[#This Row],[Price]],"$",""),",",""))</f>
        <v>222752</v>
      </c>
      <c r="H241" s="1">
        <f>Table1[[#This Row],[Price2]]/Table1[[#This Row],[Area]]</f>
        <v>176.50713153724249</v>
      </c>
      <c r="I241">
        <v>1262</v>
      </c>
      <c r="J241">
        <v>1979</v>
      </c>
      <c r="K241">
        <v>75</v>
      </c>
      <c r="L241" t="s">
        <v>40</v>
      </c>
      <c r="M241" t="s">
        <v>2607</v>
      </c>
      <c r="N241" s="2" t="s">
        <v>3035</v>
      </c>
      <c r="O241" t="s">
        <v>3036</v>
      </c>
      <c r="P241" t="s">
        <v>16</v>
      </c>
      <c r="Q241">
        <v>176.50713153724249</v>
      </c>
      <c r="R241">
        <f ca="1">YEAR(TODAY())-Table1[[#This Row],[Year Built]]</f>
        <v>47</v>
      </c>
      <c r="S241" t="str">
        <f>IF(Table1[[#This Row],[Days on Market]] &lt; 30,"Fast",IF(Table1[[#This Row],[Days on Market]]&lt;= 90,"Average", "Slow"))</f>
        <v>Average</v>
      </c>
      <c r="T241" t="str">
        <f>IF(Table1[[#This Row],[Price2]]&lt;500000,"Affordable",IF(Table1[[#This Row],[Price2]]&lt;1000000,"Mid range","Luxury"))</f>
        <v>Affordable</v>
      </c>
    </row>
    <row r="242" spans="1:20" x14ac:dyDescent="0.35">
      <c r="A242" s="3">
        <v>223608</v>
      </c>
      <c r="B242" s="2" t="s">
        <v>27</v>
      </c>
      <c r="C242">
        <v>49745</v>
      </c>
      <c r="D242" s="2" t="s">
        <v>35</v>
      </c>
      <c r="E242">
        <v>3</v>
      </c>
      <c r="F242">
        <v>3</v>
      </c>
      <c r="G242" s="4">
        <f>VALUE(SUBSTITUTE(SUBSTITUTE(Table1[[#This Row],[Price]],"$",""),",",""))</f>
        <v>223608</v>
      </c>
      <c r="H242" s="1">
        <f>Table1[[#This Row],[Price2]]/Table1[[#This Row],[Area]]</f>
        <v>82.027879677182682</v>
      </c>
      <c r="I242">
        <v>2726</v>
      </c>
      <c r="J242">
        <v>2012</v>
      </c>
      <c r="K242">
        <v>72</v>
      </c>
      <c r="L242" t="s">
        <v>52</v>
      </c>
      <c r="M242" t="s">
        <v>2258</v>
      </c>
      <c r="N242" s="2" t="s">
        <v>3035</v>
      </c>
      <c r="O242" t="s">
        <v>3036</v>
      </c>
      <c r="P242" t="s">
        <v>26</v>
      </c>
      <c r="Q242">
        <v>82.027879677182682</v>
      </c>
      <c r="R242">
        <f ca="1">YEAR(TODAY())-Table1[[#This Row],[Year Built]]</f>
        <v>14</v>
      </c>
      <c r="S242" t="str">
        <f>IF(Table1[[#This Row],[Days on Market]] &lt; 30,"Fast",IF(Table1[[#This Row],[Days on Market]]&lt;= 90,"Average", "Slow"))</f>
        <v>Average</v>
      </c>
      <c r="T242" t="str">
        <f>IF(Table1[[#This Row],[Price2]]&lt;500000,"Affordable",IF(Table1[[#This Row],[Price2]]&lt;1000000,"Mid range","Luxury"))</f>
        <v>Affordable</v>
      </c>
    </row>
    <row r="243" spans="1:20" x14ac:dyDescent="0.35">
      <c r="A243" s="3">
        <v>223910</v>
      </c>
      <c r="B243" s="2" t="s">
        <v>17</v>
      </c>
      <c r="C243">
        <v>54993</v>
      </c>
      <c r="D243" s="2" t="s">
        <v>23</v>
      </c>
      <c r="E243">
        <v>2</v>
      </c>
      <c r="F243">
        <v>3</v>
      </c>
      <c r="G243" s="4">
        <f>VALUE(SUBSTITUTE(SUBSTITUTE(Table1[[#This Row],[Price]],"$",""),",",""))</f>
        <v>223910</v>
      </c>
      <c r="H243" s="1">
        <f>Table1[[#This Row],[Price2]]/Table1[[#This Row],[Area]]</f>
        <v>123.9811738648948</v>
      </c>
      <c r="I243">
        <v>1806</v>
      </c>
      <c r="J243">
        <v>1990</v>
      </c>
      <c r="K243">
        <v>79</v>
      </c>
      <c r="L243" t="s">
        <v>30</v>
      </c>
      <c r="M243" t="s">
        <v>1686</v>
      </c>
      <c r="N243" s="2" t="s">
        <v>3033</v>
      </c>
      <c r="O243" t="s">
        <v>3034</v>
      </c>
      <c r="P243" t="s">
        <v>16</v>
      </c>
      <c r="Q243">
        <v>123.9811738648948</v>
      </c>
      <c r="R243">
        <f ca="1">YEAR(TODAY())-Table1[[#This Row],[Year Built]]</f>
        <v>36</v>
      </c>
      <c r="S243" t="str">
        <f>IF(Table1[[#This Row],[Days on Market]] &lt; 30,"Fast",IF(Table1[[#This Row],[Days on Market]]&lt;= 90,"Average", "Slow"))</f>
        <v>Average</v>
      </c>
      <c r="T243" t="str">
        <f>IF(Table1[[#This Row],[Price2]]&lt;500000,"Affordable",IF(Table1[[#This Row],[Price2]]&lt;1000000,"Mid range","Luxury"))</f>
        <v>Affordable</v>
      </c>
    </row>
    <row r="244" spans="1:20" x14ac:dyDescent="0.35">
      <c r="A244" s="3">
        <v>224348</v>
      </c>
      <c r="B244" s="2" t="s">
        <v>27</v>
      </c>
      <c r="C244">
        <v>77020</v>
      </c>
      <c r="D244" s="2" t="s">
        <v>29</v>
      </c>
      <c r="E244">
        <v>4</v>
      </c>
      <c r="F244">
        <v>4</v>
      </c>
      <c r="G244" s="4">
        <f>VALUE(SUBSTITUTE(SUBSTITUTE(Table1[[#This Row],[Price]],"$",""),",",""))</f>
        <v>224348</v>
      </c>
      <c r="H244" s="1">
        <f>Table1[[#This Row],[Price2]]/Table1[[#This Row],[Area]]</f>
        <v>156.77707896575822</v>
      </c>
      <c r="I244">
        <v>1431</v>
      </c>
      <c r="J244">
        <v>2014</v>
      </c>
      <c r="K244">
        <v>86</v>
      </c>
      <c r="L244" t="s">
        <v>19</v>
      </c>
      <c r="M244" t="s">
        <v>954</v>
      </c>
      <c r="N244" s="2" t="s">
        <v>3029</v>
      </c>
      <c r="O244" t="s">
        <v>3030</v>
      </c>
      <c r="P244" t="s">
        <v>21</v>
      </c>
      <c r="Q244">
        <v>156.77707896575822</v>
      </c>
      <c r="R244">
        <f ca="1">YEAR(TODAY())-Table1[[#This Row],[Year Built]]</f>
        <v>12</v>
      </c>
      <c r="S244" t="str">
        <f>IF(Table1[[#This Row],[Days on Market]] &lt; 30,"Fast",IF(Table1[[#This Row],[Days on Market]]&lt;= 90,"Average", "Slow"))</f>
        <v>Average</v>
      </c>
      <c r="T244" t="str">
        <f>IF(Table1[[#This Row],[Price2]]&lt;500000,"Affordable",IF(Table1[[#This Row],[Price2]]&lt;1000000,"Mid range","Luxury"))</f>
        <v>Affordable</v>
      </c>
    </row>
    <row r="245" spans="1:20" x14ac:dyDescent="0.35">
      <c r="A245" s="3">
        <v>224903</v>
      </c>
      <c r="B245" s="2" t="s">
        <v>17</v>
      </c>
      <c r="C245">
        <v>19254</v>
      </c>
      <c r="D245" s="2" t="s">
        <v>18</v>
      </c>
      <c r="E245">
        <v>6</v>
      </c>
      <c r="F245">
        <v>4</v>
      </c>
      <c r="G245" s="4">
        <f>VALUE(SUBSTITUTE(SUBSTITUTE(Table1[[#This Row],[Price]],"$",""),",",""))</f>
        <v>224903</v>
      </c>
      <c r="H245" s="1">
        <f>Table1[[#This Row],[Price2]]/Table1[[#This Row],[Area]]</f>
        <v>108.96463178294573</v>
      </c>
      <c r="I245">
        <v>2064</v>
      </c>
      <c r="J245">
        <v>2022</v>
      </c>
      <c r="K245">
        <v>44</v>
      </c>
      <c r="L245" t="s">
        <v>14</v>
      </c>
      <c r="M245" t="s">
        <v>673</v>
      </c>
      <c r="N245" s="2" t="s">
        <v>3029</v>
      </c>
      <c r="O245" t="s">
        <v>3030</v>
      </c>
      <c r="P245" t="s">
        <v>16</v>
      </c>
      <c r="Q245">
        <v>108.96463178294573</v>
      </c>
      <c r="R245">
        <f ca="1">YEAR(TODAY())-Table1[[#This Row],[Year Built]]</f>
        <v>4</v>
      </c>
      <c r="S245" t="str">
        <f>IF(Table1[[#This Row],[Days on Market]] &lt; 30,"Fast",IF(Table1[[#This Row],[Days on Market]]&lt;= 90,"Average", "Slow"))</f>
        <v>Average</v>
      </c>
      <c r="T245" t="str">
        <f>IF(Table1[[#This Row],[Price2]]&lt;500000,"Affordable",IF(Table1[[#This Row],[Price2]]&lt;1000000,"Mid range","Luxury"))</f>
        <v>Affordable</v>
      </c>
    </row>
    <row r="246" spans="1:20" x14ac:dyDescent="0.35">
      <c r="A246" s="3">
        <v>225038</v>
      </c>
      <c r="B246" s="2" t="s">
        <v>34</v>
      </c>
      <c r="C246">
        <v>50636</v>
      </c>
      <c r="D246" s="2" t="s">
        <v>29</v>
      </c>
      <c r="E246">
        <v>1</v>
      </c>
      <c r="F246">
        <v>1</v>
      </c>
      <c r="G246" s="4">
        <f>VALUE(SUBSTITUTE(SUBSTITUTE(Table1[[#This Row],[Price]],"$",""),",",""))</f>
        <v>225038</v>
      </c>
      <c r="H246" s="1">
        <f>Table1[[#This Row],[Price2]]/Table1[[#This Row],[Area]]</f>
        <v>188.9487825356843</v>
      </c>
      <c r="I246">
        <v>1191</v>
      </c>
      <c r="J246">
        <v>1964</v>
      </c>
      <c r="K246">
        <v>62</v>
      </c>
      <c r="L246" t="s">
        <v>30</v>
      </c>
      <c r="M246" t="s">
        <v>2726</v>
      </c>
      <c r="N246" s="2" t="s">
        <v>3029</v>
      </c>
      <c r="O246" t="s">
        <v>3030</v>
      </c>
      <c r="P246" t="s">
        <v>16</v>
      </c>
      <c r="Q246">
        <v>188.9487825356843</v>
      </c>
      <c r="R246">
        <f ca="1">YEAR(TODAY())-Table1[[#This Row],[Year Built]]</f>
        <v>62</v>
      </c>
      <c r="S246" t="str">
        <f>IF(Table1[[#This Row],[Days on Market]] &lt; 30,"Fast",IF(Table1[[#This Row],[Days on Market]]&lt;= 90,"Average", "Slow"))</f>
        <v>Average</v>
      </c>
      <c r="T246" t="str">
        <f>IF(Table1[[#This Row],[Price2]]&lt;500000,"Affordable",IF(Table1[[#This Row],[Price2]]&lt;1000000,"Mid range","Luxury"))</f>
        <v>Affordable</v>
      </c>
    </row>
    <row r="247" spans="1:20" x14ac:dyDescent="0.35">
      <c r="A247" s="3">
        <v>225216</v>
      </c>
      <c r="B247" s="2" t="s">
        <v>34</v>
      </c>
      <c r="C247">
        <v>75563</v>
      </c>
      <c r="D247" s="2" t="s">
        <v>29</v>
      </c>
      <c r="E247">
        <v>1</v>
      </c>
      <c r="F247">
        <v>3</v>
      </c>
      <c r="G247" s="4">
        <f>VALUE(SUBSTITUTE(SUBSTITUTE(Table1[[#This Row],[Price]],"$",""),",",""))</f>
        <v>225216</v>
      </c>
      <c r="H247" s="1">
        <f>Table1[[#This Row],[Price2]]/Table1[[#This Row],[Area]]</f>
        <v>127.45670628183362</v>
      </c>
      <c r="I247">
        <v>1767</v>
      </c>
      <c r="J247">
        <v>1988</v>
      </c>
      <c r="K247">
        <v>34</v>
      </c>
      <c r="L247" t="s">
        <v>14</v>
      </c>
      <c r="M247" t="s">
        <v>2577</v>
      </c>
      <c r="N247" s="2" t="s">
        <v>3033</v>
      </c>
      <c r="O247" t="s">
        <v>3034</v>
      </c>
      <c r="P247" t="s">
        <v>21</v>
      </c>
      <c r="Q247">
        <v>127.45670628183362</v>
      </c>
      <c r="R247">
        <f ca="1">YEAR(TODAY())-Table1[[#This Row],[Year Built]]</f>
        <v>38</v>
      </c>
      <c r="S247" t="str">
        <f>IF(Table1[[#This Row],[Days on Market]] &lt; 30,"Fast",IF(Table1[[#This Row],[Days on Market]]&lt;= 90,"Average", "Slow"))</f>
        <v>Average</v>
      </c>
      <c r="T247" t="str">
        <f>IF(Table1[[#This Row],[Price2]]&lt;500000,"Affordable",IF(Table1[[#This Row],[Price2]]&lt;1000000,"Mid range","Luxury"))</f>
        <v>Affordable</v>
      </c>
    </row>
    <row r="248" spans="1:20" x14ac:dyDescent="0.35">
      <c r="A248" s="3">
        <v>225327</v>
      </c>
      <c r="B248" s="2" t="s">
        <v>34</v>
      </c>
      <c r="C248">
        <v>85430</v>
      </c>
      <c r="D248" s="2" t="s">
        <v>23</v>
      </c>
      <c r="E248">
        <v>6</v>
      </c>
      <c r="F248">
        <v>4</v>
      </c>
      <c r="G248" s="4">
        <f>VALUE(SUBSTITUTE(SUBSTITUTE(Table1[[#This Row],[Price]],"$",""),",",""))</f>
        <v>225327</v>
      </c>
      <c r="H248" s="1">
        <f>Table1[[#This Row],[Price2]]/Table1[[#This Row],[Area]]</f>
        <v>82.779941219691409</v>
      </c>
      <c r="I248">
        <v>2722</v>
      </c>
      <c r="J248">
        <v>2015</v>
      </c>
      <c r="K248">
        <v>25</v>
      </c>
      <c r="L248" t="s">
        <v>14</v>
      </c>
      <c r="M248" t="s">
        <v>1912</v>
      </c>
      <c r="N248" s="2" t="s">
        <v>3027</v>
      </c>
      <c r="O248" t="s">
        <v>3028</v>
      </c>
      <c r="P248" t="s">
        <v>21</v>
      </c>
      <c r="Q248">
        <v>82.779941219691409</v>
      </c>
      <c r="R248">
        <f ca="1">YEAR(TODAY())-Table1[[#This Row],[Year Built]]</f>
        <v>11</v>
      </c>
      <c r="S248" t="str">
        <f>IF(Table1[[#This Row],[Days on Market]] &lt; 30,"Fast",IF(Table1[[#This Row],[Days on Market]]&lt;= 90,"Average", "Slow"))</f>
        <v>Fast</v>
      </c>
      <c r="T248" t="str">
        <f>IF(Table1[[#This Row],[Price2]]&lt;500000,"Affordable",IF(Table1[[#This Row],[Price2]]&lt;1000000,"Mid range","Luxury"))</f>
        <v>Affordable</v>
      </c>
    </row>
    <row r="249" spans="1:20" x14ac:dyDescent="0.35">
      <c r="A249" s="3">
        <v>226311</v>
      </c>
      <c r="B249" s="2" t="s">
        <v>17</v>
      </c>
      <c r="C249">
        <v>27026</v>
      </c>
      <c r="D249" s="2" t="s">
        <v>13</v>
      </c>
      <c r="E249">
        <v>6</v>
      </c>
      <c r="F249">
        <v>2</v>
      </c>
      <c r="G249" s="4">
        <f>VALUE(SUBSTITUTE(SUBSTITUTE(Table1[[#This Row],[Price]],"$",""),",",""))</f>
        <v>226311</v>
      </c>
      <c r="H249" s="1">
        <f>Table1[[#This Row],[Price2]]/Table1[[#This Row],[Area]]</f>
        <v>111.97971301335973</v>
      </c>
      <c r="I249">
        <v>2021</v>
      </c>
      <c r="J249">
        <v>1951</v>
      </c>
      <c r="K249">
        <v>88</v>
      </c>
      <c r="L249" t="s">
        <v>30</v>
      </c>
      <c r="M249" t="s">
        <v>301</v>
      </c>
      <c r="N249" s="2" t="s">
        <v>3033</v>
      </c>
      <c r="O249" t="s">
        <v>3034</v>
      </c>
      <c r="P249" t="s">
        <v>16</v>
      </c>
      <c r="Q249">
        <v>111.97971301335973</v>
      </c>
      <c r="R249">
        <f ca="1">YEAR(TODAY())-Table1[[#This Row],[Year Built]]</f>
        <v>75</v>
      </c>
      <c r="S249" t="str">
        <f>IF(Table1[[#This Row],[Days on Market]] &lt; 30,"Fast",IF(Table1[[#This Row],[Days on Market]]&lt;= 90,"Average", "Slow"))</f>
        <v>Average</v>
      </c>
      <c r="T249" t="str">
        <f>IF(Table1[[#This Row],[Price2]]&lt;500000,"Affordable",IF(Table1[[#This Row],[Price2]]&lt;1000000,"Mid range","Luxury"))</f>
        <v>Affordable</v>
      </c>
    </row>
    <row r="250" spans="1:20" x14ac:dyDescent="0.35">
      <c r="A250" s="3">
        <v>226693</v>
      </c>
      <c r="B250" s="2" t="s">
        <v>22</v>
      </c>
      <c r="C250">
        <v>53695</v>
      </c>
      <c r="D250" s="2" t="s">
        <v>23</v>
      </c>
      <c r="E250">
        <v>6</v>
      </c>
      <c r="F250">
        <v>3</v>
      </c>
      <c r="G250" s="4">
        <f>VALUE(SUBSTITUTE(SUBSTITUTE(Table1[[#This Row],[Price]],"$",""),",",""))</f>
        <v>226693</v>
      </c>
      <c r="H250" s="1">
        <f>Table1[[#This Row],[Price2]]/Table1[[#This Row],[Area]]</f>
        <v>132.4915254237288</v>
      </c>
      <c r="I250">
        <v>1711</v>
      </c>
      <c r="J250">
        <v>1963</v>
      </c>
      <c r="K250">
        <v>104</v>
      </c>
      <c r="L250" t="s">
        <v>52</v>
      </c>
      <c r="M250" t="s">
        <v>1472</v>
      </c>
      <c r="N250" s="2" t="s">
        <v>3029</v>
      </c>
      <c r="O250" t="s">
        <v>3030</v>
      </c>
      <c r="P250" t="s">
        <v>21</v>
      </c>
      <c r="Q250">
        <v>132.4915254237288</v>
      </c>
      <c r="R250">
        <f ca="1">YEAR(TODAY())-Table1[[#This Row],[Year Built]]</f>
        <v>63</v>
      </c>
      <c r="S250" t="str">
        <f>IF(Table1[[#This Row],[Days on Market]] &lt; 30,"Fast",IF(Table1[[#This Row],[Days on Market]]&lt;= 90,"Average", "Slow"))</f>
        <v>Slow</v>
      </c>
      <c r="T250" t="str">
        <f>IF(Table1[[#This Row],[Price2]]&lt;500000,"Affordable",IF(Table1[[#This Row],[Price2]]&lt;1000000,"Mid range","Luxury"))</f>
        <v>Affordable</v>
      </c>
    </row>
    <row r="251" spans="1:20" x14ac:dyDescent="0.35">
      <c r="A251" s="3">
        <v>227204</v>
      </c>
      <c r="B251" s="2" t="s">
        <v>12</v>
      </c>
      <c r="C251">
        <v>23226</v>
      </c>
      <c r="D251" s="2" t="s">
        <v>29</v>
      </c>
      <c r="E251">
        <v>1</v>
      </c>
      <c r="F251">
        <v>2</v>
      </c>
      <c r="G251" s="4">
        <f>VALUE(SUBSTITUTE(SUBSTITUTE(Table1[[#This Row],[Price]],"$",""),",",""))</f>
        <v>227204</v>
      </c>
      <c r="H251" s="1">
        <f>Table1[[#This Row],[Price2]]/Table1[[#This Row],[Area]]</f>
        <v>137.95021250758955</v>
      </c>
      <c r="I251">
        <v>1647</v>
      </c>
      <c r="J251">
        <v>1950</v>
      </c>
      <c r="K251">
        <v>34</v>
      </c>
      <c r="L251" t="s">
        <v>52</v>
      </c>
      <c r="M251" t="s">
        <v>863</v>
      </c>
      <c r="N251" s="2" t="s">
        <v>3033</v>
      </c>
      <c r="O251" t="s">
        <v>3034</v>
      </c>
      <c r="P251" t="s">
        <v>26</v>
      </c>
      <c r="Q251">
        <v>137.95021250758955</v>
      </c>
      <c r="R251">
        <f ca="1">YEAR(TODAY())-Table1[[#This Row],[Year Built]]</f>
        <v>76</v>
      </c>
      <c r="S251" t="str">
        <f>IF(Table1[[#This Row],[Days on Market]] &lt; 30,"Fast",IF(Table1[[#This Row],[Days on Market]]&lt;= 90,"Average", "Slow"))</f>
        <v>Average</v>
      </c>
      <c r="T251" t="str">
        <f>IF(Table1[[#This Row],[Price2]]&lt;500000,"Affordable",IF(Table1[[#This Row],[Price2]]&lt;1000000,"Mid range","Luxury"))</f>
        <v>Affordable</v>
      </c>
    </row>
    <row r="252" spans="1:20" x14ac:dyDescent="0.35">
      <c r="A252" s="3">
        <v>227369</v>
      </c>
      <c r="B252" s="2" t="s">
        <v>34</v>
      </c>
      <c r="C252">
        <v>67839</v>
      </c>
      <c r="D252" s="2" t="s">
        <v>29</v>
      </c>
      <c r="E252">
        <v>3</v>
      </c>
      <c r="F252">
        <v>2</v>
      </c>
      <c r="G252" s="4">
        <f>VALUE(SUBSTITUTE(SUBSTITUTE(Table1[[#This Row],[Price]],"$",""),",",""))</f>
        <v>227369</v>
      </c>
      <c r="H252" s="1">
        <f>Table1[[#This Row],[Price2]]/Table1[[#This Row],[Area]]</f>
        <v>157.34878892733565</v>
      </c>
      <c r="I252">
        <v>1445</v>
      </c>
      <c r="J252">
        <v>1955</v>
      </c>
      <c r="K252">
        <v>50</v>
      </c>
      <c r="L252" t="s">
        <v>40</v>
      </c>
      <c r="M252" t="s">
        <v>453</v>
      </c>
      <c r="N252" s="2" t="s">
        <v>3035</v>
      </c>
      <c r="O252" t="s">
        <v>3036</v>
      </c>
      <c r="P252" t="s">
        <v>21</v>
      </c>
      <c r="Q252">
        <v>157.34878892733565</v>
      </c>
      <c r="R252">
        <f ca="1">YEAR(TODAY())-Table1[[#This Row],[Year Built]]</f>
        <v>71</v>
      </c>
      <c r="S252" t="str">
        <f>IF(Table1[[#This Row],[Days on Market]] &lt; 30,"Fast",IF(Table1[[#This Row],[Days on Market]]&lt;= 90,"Average", "Slow"))</f>
        <v>Average</v>
      </c>
      <c r="T252" t="str">
        <f>IF(Table1[[#This Row],[Price2]]&lt;500000,"Affordable",IF(Table1[[#This Row],[Price2]]&lt;1000000,"Mid range","Luxury"))</f>
        <v>Affordable</v>
      </c>
    </row>
    <row r="253" spans="1:20" x14ac:dyDescent="0.35">
      <c r="A253" s="3">
        <v>228472</v>
      </c>
      <c r="B253" s="2" t="s">
        <v>22</v>
      </c>
      <c r="C253">
        <v>87245</v>
      </c>
      <c r="D253" s="2" t="s">
        <v>29</v>
      </c>
      <c r="E253">
        <v>6</v>
      </c>
      <c r="F253">
        <v>1</v>
      </c>
      <c r="G253" s="4">
        <f>VALUE(SUBSTITUTE(SUBSTITUTE(Table1[[#This Row],[Price]],"$",""),",",""))</f>
        <v>228472</v>
      </c>
      <c r="H253" s="1">
        <f>Table1[[#This Row],[Price2]]/Table1[[#This Row],[Area]]</f>
        <v>103.8981355161437</v>
      </c>
      <c r="I253">
        <v>2199</v>
      </c>
      <c r="J253">
        <v>1955</v>
      </c>
      <c r="K253">
        <v>84</v>
      </c>
      <c r="L253" t="s">
        <v>14</v>
      </c>
      <c r="M253" t="s">
        <v>2947</v>
      </c>
      <c r="N253" s="2" t="s">
        <v>3031</v>
      </c>
      <c r="O253" t="s">
        <v>3032</v>
      </c>
      <c r="P253" t="s">
        <v>21</v>
      </c>
      <c r="Q253">
        <v>103.8981355161437</v>
      </c>
      <c r="R253">
        <f ca="1">YEAR(TODAY())-Table1[[#This Row],[Year Built]]</f>
        <v>71</v>
      </c>
      <c r="S253" t="str">
        <f>IF(Table1[[#This Row],[Days on Market]] &lt; 30,"Fast",IF(Table1[[#This Row],[Days on Market]]&lt;= 90,"Average", "Slow"))</f>
        <v>Average</v>
      </c>
      <c r="T253" t="str">
        <f>IF(Table1[[#This Row],[Price2]]&lt;500000,"Affordable",IF(Table1[[#This Row],[Price2]]&lt;1000000,"Mid range","Luxury"))</f>
        <v>Affordable</v>
      </c>
    </row>
    <row r="254" spans="1:20" x14ac:dyDescent="0.35">
      <c r="A254" s="3">
        <v>229145</v>
      </c>
      <c r="B254" s="2" t="s">
        <v>27</v>
      </c>
      <c r="C254">
        <v>19196</v>
      </c>
      <c r="D254" s="2" t="s">
        <v>35</v>
      </c>
      <c r="E254">
        <v>5</v>
      </c>
      <c r="F254">
        <v>1</v>
      </c>
      <c r="G254" s="4">
        <f>VALUE(SUBSTITUTE(SUBSTITUTE(Table1[[#This Row],[Price]],"$",""),",",""))</f>
        <v>229145</v>
      </c>
      <c r="H254" s="1">
        <f>Table1[[#This Row],[Price2]]/Table1[[#This Row],[Area]]</f>
        <v>193.53462837837839</v>
      </c>
      <c r="I254">
        <v>1184</v>
      </c>
      <c r="J254">
        <v>1982</v>
      </c>
      <c r="K254">
        <v>4</v>
      </c>
      <c r="L254" t="s">
        <v>40</v>
      </c>
      <c r="M254" t="s">
        <v>1408</v>
      </c>
      <c r="N254" s="2" t="s">
        <v>3029</v>
      </c>
      <c r="O254" t="s">
        <v>3030</v>
      </c>
      <c r="P254" t="s">
        <v>21</v>
      </c>
      <c r="Q254">
        <v>193.53462837837839</v>
      </c>
      <c r="R254">
        <f ca="1">YEAR(TODAY())-Table1[[#This Row],[Year Built]]</f>
        <v>44</v>
      </c>
      <c r="S254" t="str">
        <f>IF(Table1[[#This Row],[Days on Market]] &lt; 30,"Fast",IF(Table1[[#This Row],[Days on Market]]&lt;= 90,"Average", "Slow"))</f>
        <v>Fast</v>
      </c>
      <c r="T254" t="str">
        <f>IF(Table1[[#This Row],[Price2]]&lt;500000,"Affordable",IF(Table1[[#This Row],[Price2]]&lt;1000000,"Mid range","Luxury"))</f>
        <v>Affordable</v>
      </c>
    </row>
    <row r="255" spans="1:20" x14ac:dyDescent="0.35">
      <c r="A255" s="3">
        <v>229333</v>
      </c>
      <c r="B255" s="2" t="s">
        <v>12</v>
      </c>
      <c r="C255">
        <v>58644</v>
      </c>
      <c r="D255" s="2" t="s">
        <v>23</v>
      </c>
      <c r="E255">
        <v>6</v>
      </c>
      <c r="F255">
        <v>1</v>
      </c>
      <c r="G255" s="4">
        <f>VALUE(SUBSTITUTE(SUBSTITUTE(Table1[[#This Row],[Price]],"$",""),",",""))</f>
        <v>229333</v>
      </c>
      <c r="H255" s="1">
        <f>Table1[[#This Row],[Price2]]/Table1[[#This Row],[Area]]</f>
        <v>158.92792792792793</v>
      </c>
      <c r="I255">
        <v>1443</v>
      </c>
      <c r="J255">
        <v>1951</v>
      </c>
      <c r="K255">
        <v>99</v>
      </c>
      <c r="L255" t="s">
        <v>19</v>
      </c>
      <c r="M255" t="s">
        <v>2300</v>
      </c>
      <c r="N255" s="2" t="s">
        <v>3029</v>
      </c>
      <c r="O255" t="s">
        <v>3030</v>
      </c>
      <c r="P255" t="s">
        <v>26</v>
      </c>
      <c r="Q255">
        <v>158.92792792792793</v>
      </c>
      <c r="R255">
        <f ca="1">YEAR(TODAY())-Table1[[#This Row],[Year Built]]</f>
        <v>75</v>
      </c>
      <c r="S255" t="str">
        <f>IF(Table1[[#This Row],[Days on Market]] &lt; 30,"Fast",IF(Table1[[#This Row],[Days on Market]]&lt;= 90,"Average", "Slow"))</f>
        <v>Slow</v>
      </c>
      <c r="T255" t="str">
        <f>IF(Table1[[#This Row],[Price2]]&lt;500000,"Affordable",IF(Table1[[#This Row],[Price2]]&lt;1000000,"Mid range","Luxury"))</f>
        <v>Affordable</v>
      </c>
    </row>
    <row r="256" spans="1:20" x14ac:dyDescent="0.35">
      <c r="A256" s="3">
        <v>229675</v>
      </c>
      <c r="B256" s="2" t="s">
        <v>12</v>
      </c>
      <c r="C256">
        <v>48584</v>
      </c>
      <c r="D256" s="2" t="s">
        <v>35</v>
      </c>
      <c r="E256">
        <v>1</v>
      </c>
      <c r="F256">
        <v>3</v>
      </c>
      <c r="G256" s="4">
        <f>VALUE(SUBSTITUTE(SUBSTITUTE(Table1[[#This Row],[Price]],"$",""),",",""))</f>
        <v>229675</v>
      </c>
      <c r="H256" s="1">
        <f>Table1[[#This Row],[Price2]]/Table1[[#This Row],[Area]]</f>
        <v>287.81328320802004</v>
      </c>
      <c r="I256">
        <v>798</v>
      </c>
      <c r="J256">
        <v>1967</v>
      </c>
      <c r="K256">
        <v>76</v>
      </c>
      <c r="L256" t="s">
        <v>40</v>
      </c>
      <c r="M256" t="s">
        <v>787</v>
      </c>
      <c r="N256" s="2" t="s">
        <v>3031</v>
      </c>
      <c r="O256" t="s">
        <v>3032</v>
      </c>
      <c r="P256" t="s">
        <v>21</v>
      </c>
      <c r="Q256">
        <v>287.81328320802004</v>
      </c>
      <c r="R256">
        <f ca="1">YEAR(TODAY())-Table1[[#This Row],[Year Built]]</f>
        <v>59</v>
      </c>
      <c r="S256" t="str">
        <f>IF(Table1[[#This Row],[Days on Market]] &lt; 30,"Fast",IF(Table1[[#This Row],[Days on Market]]&lt;= 90,"Average", "Slow"))</f>
        <v>Average</v>
      </c>
      <c r="T256" t="str">
        <f>IF(Table1[[#This Row],[Price2]]&lt;500000,"Affordable",IF(Table1[[#This Row],[Price2]]&lt;1000000,"Mid range","Luxury"))</f>
        <v>Affordable</v>
      </c>
    </row>
    <row r="257" spans="1:20" x14ac:dyDescent="0.35">
      <c r="A257" s="3">
        <v>230146</v>
      </c>
      <c r="B257" s="2" t="s">
        <v>34</v>
      </c>
      <c r="C257">
        <v>47810</v>
      </c>
      <c r="D257" s="2" t="s">
        <v>23</v>
      </c>
      <c r="E257">
        <v>4</v>
      </c>
      <c r="F257">
        <v>4</v>
      </c>
      <c r="G257" s="4">
        <f>VALUE(SUBSTITUTE(SUBSTITUTE(Table1[[#This Row],[Price]],"$",""),",",""))</f>
        <v>230146</v>
      </c>
      <c r="H257" s="1">
        <f>Table1[[#This Row],[Price2]]/Table1[[#This Row],[Area]]</f>
        <v>289.85642317380353</v>
      </c>
      <c r="I257">
        <v>794</v>
      </c>
      <c r="J257">
        <v>2002</v>
      </c>
      <c r="K257">
        <v>110</v>
      </c>
      <c r="L257" t="s">
        <v>19</v>
      </c>
      <c r="M257" t="s">
        <v>558</v>
      </c>
      <c r="N257" s="2" t="s">
        <v>3027</v>
      </c>
      <c r="O257" t="s">
        <v>3028</v>
      </c>
      <c r="P257" t="s">
        <v>21</v>
      </c>
      <c r="Q257">
        <v>289.85642317380353</v>
      </c>
      <c r="R257">
        <f ca="1">YEAR(TODAY())-Table1[[#This Row],[Year Built]]</f>
        <v>24</v>
      </c>
      <c r="S257" t="str">
        <f>IF(Table1[[#This Row],[Days on Market]] &lt; 30,"Fast",IF(Table1[[#This Row],[Days on Market]]&lt;= 90,"Average", "Slow"))</f>
        <v>Slow</v>
      </c>
      <c r="T257" t="str">
        <f>IF(Table1[[#This Row],[Price2]]&lt;500000,"Affordable",IF(Table1[[#This Row],[Price2]]&lt;1000000,"Mid range","Luxury"))</f>
        <v>Affordable</v>
      </c>
    </row>
    <row r="258" spans="1:20" x14ac:dyDescent="0.35">
      <c r="A258" s="3">
        <v>230868</v>
      </c>
      <c r="B258" s="2" t="s">
        <v>22</v>
      </c>
      <c r="C258">
        <v>81379</v>
      </c>
      <c r="D258" s="2" t="s">
        <v>29</v>
      </c>
      <c r="E258">
        <v>5</v>
      </c>
      <c r="F258">
        <v>4</v>
      </c>
      <c r="G258" s="4">
        <f>VALUE(SUBSTITUTE(SUBSTITUTE(Table1[[#This Row],[Price]],"$",""),",",""))</f>
        <v>230868</v>
      </c>
      <c r="H258" s="1">
        <f>Table1[[#This Row],[Price2]]/Table1[[#This Row],[Area]]</f>
        <v>96.114904246461279</v>
      </c>
      <c r="I258">
        <v>2402</v>
      </c>
      <c r="J258">
        <v>1996</v>
      </c>
      <c r="K258">
        <v>92</v>
      </c>
      <c r="L258" t="s">
        <v>40</v>
      </c>
      <c r="M258" t="s">
        <v>2138</v>
      </c>
      <c r="N258" s="2" t="s">
        <v>3035</v>
      </c>
      <c r="O258" t="s">
        <v>3036</v>
      </c>
      <c r="P258" t="s">
        <v>16</v>
      </c>
      <c r="Q258">
        <v>96.114904246461279</v>
      </c>
      <c r="R258">
        <f ca="1">YEAR(TODAY())-Table1[[#This Row],[Year Built]]</f>
        <v>30</v>
      </c>
      <c r="S258" t="str">
        <f>IF(Table1[[#This Row],[Days on Market]] &lt; 30,"Fast",IF(Table1[[#This Row],[Days on Market]]&lt;= 90,"Average", "Slow"))</f>
        <v>Slow</v>
      </c>
      <c r="T258" t="str">
        <f>IF(Table1[[#This Row],[Price2]]&lt;500000,"Affordable",IF(Table1[[#This Row],[Price2]]&lt;1000000,"Mid range","Luxury"))</f>
        <v>Affordable</v>
      </c>
    </row>
    <row r="259" spans="1:20" x14ac:dyDescent="0.35">
      <c r="A259" s="3">
        <v>231952</v>
      </c>
      <c r="B259" s="2" t="s">
        <v>34</v>
      </c>
      <c r="C259">
        <v>99466</v>
      </c>
      <c r="D259" s="2" t="s">
        <v>13</v>
      </c>
      <c r="E259">
        <v>5</v>
      </c>
      <c r="F259">
        <v>3</v>
      </c>
      <c r="G259" s="4">
        <f>VALUE(SUBSTITUTE(SUBSTITUTE(Table1[[#This Row],[Price]],"$",""),",",""))</f>
        <v>231952</v>
      </c>
      <c r="H259" s="1">
        <f>Table1[[#This Row],[Price2]]/Table1[[#This Row],[Area]]</f>
        <v>67.663943990665118</v>
      </c>
      <c r="I259">
        <v>3428</v>
      </c>
      <c r="J259">
        <v>2015</v>
      </c>
      <c r="K259">
        <v>43</v>
      </c>
      <c r="L259" t="s">
        <v>40</v>
      </c>
      <c r="M259" t="s">
        <v>145</v>
      </c>
      <c r="N259" s="2" t="s">
        <v>3031</v>
      </c>
      <c r="O259" t="s">
        <v>3032</v>
      </c>
      <c r="P259" t="s">
        <v>21</v>
      </c>
      <c r="Q259">
        <v>67.663943990665118</v>
      </c>
      <c r="R259">
        <f ca="1">YEAR(TODAY())-Table1[[#This Row],[Year Built]]</f>
        <v>11</v>
      </c>
      <c r="S259" t="str">
        <f>IF(Table1[[#This Row],[Days on Market]] &lt; 30,"Fast",IF(Table1[[#This Row],[Days on Market]]&lt;= 90,"Average", "Slow"))</f>
        <v>Average</v>
      </c>
      <c r="T259" t="str">
        <f>IF(Table1[[#This Row],[Price2]]&lt;500000,"Affordable",IF(Table1[[#This Row],[Price2]]&lt;1000000,"Mid range","Luxury"))</f>
        <v>Affordable</v>
      </c>
    </row>
    <row r="260" spans="1:20" x14ac:dyDescent="0.35">
      <c r="A260" s="3">
        <v>232222</v>
      </c>
      <c r="B260" s="2" t="s">
        <v>12</v>
      </c>
      <c r="C260">
        <v>97190</v>
      </c>
      <c r="D260" s="2" t="s">
        <v>23</v>
      </c>
      <c r="E260">
        <v>6</v>
      </c>
      <c r="F260">
        <v>1</v>
      </c>
      <c r="G260" s="4">
        <f>VALUE(SUBSTITUTE(SUBSTITUTE(Table1[[#This Row],[Price]],"$",""),",",""))</f>
        <v>232222</v>
      </c>
      <c r="H260" s="1">
        <f>Table1[[#This Row],[Price2]]/Table1[[#This Row],[Area]]</f>
        <v>294.69796954314722</v>
      </c>
      <c r="I260">
        <v>788</v>
      </c>
      <c r="J260">
        <v>2005</v>
      </c>
      <c r="K260">
        <v>108</v>
      </c>
      <c r="L260" t="s">
        <v>19</v>
      </c>
      <c r="M260" t="s">
        <v>2334</v>
      </c>
      <c r="N260" s="2" t="s">
        <v>3035</v>
      </c>
      <c r="O260" t="s">
        <v>3036</v>
      </c>
      <c r="P260" t="s">
        <v>26</v>
      </c>
      <c r="Q260">
        <v>294.69796954314722</v>
      </c>
      <c r="R260">
        <f ca="1">YEAR(TODAY())-Table1[[#This Row],[Year Built]]</f>
        <v>21</v>
      </c>
      <c r="S260" t="str">
        <f>IF(Table1[[#This Row],[Days on Market]] &lt; 30,"Fast",IF(Table1[[#This Row],[Days on Market]]&lt;= 90,"Average", "Slow"))</f>
        <v>Slow</v>
      </c>
      <c r="T260" t="str">
        <f>IF(Table1[[#This Row],[Price2]]&lt;500000,"Affordable",IF(Table1[[#This Row],[Price2]]&lt;1000000,"Mid range","Luxury"))</f>
        <v>Affordable</v>
      </c>
    </row>
    <row r="261" spans="1:20" x14ac:dyDescent="0.35">
      <c r="A261" s="3">
        <v>232686</v>
      </c>
      <c r="B261" s="2" t="s">
        <v>17</v>
      </c>
      <c r="C261">
        <v>14659</v>
      </c>
      <c r="D261" s="2" t="s">
        <v>29</v>
      </c>
      <c r="E261">
        <v>3</v>
      </c>
      <c r="F261">
        <v>3</v>
      </c>
      <c r="G261" s="4">
        <f>VALUE(SUBSTITUTE(SUBSTITUTE(Table1[[#This Row],[Price]],"$",""),",",""))</f>
        <v>232686</v>
      </c>
      <c r="H261" s="1">
        <f>Table1[[#This Row],[Price2]]/Table1[[#This Row],[Area]]</f>
        <v>203.39685314685315</v>
      </c>
      <c r="I261">
        <v>1144</v>
      </c>
      <c r="J261">
        <v>1964</v>
      </c>
      <c r="K261">
        <v>104</v>
      </c>
      <c r="L261" t="s">
        <v>40</v>
      </c>
      <c r="M261" t="s">
        <v>1946</v>
      </c>
      <c r="N261" s="2" t="s">
        <v>3031</v>
      </c>
      <c r="O261" t="s">
        <v>3032</v>
      </c>
      <c r="P261" t="s">
        <v>16</v>
      </c>
      <c r="Q261">
        <v>203.39685314685315</v>
      </c>
      <c r="R261">
        <f ca="1">YEAR(TODAY())-Table1[[#This Row],[Year Built]]</f>
        <v>62</v>
      </c>
      <c r="S261" t="str">
        <f>IF(Table1[[#This Row],[Days on Market]] &lt; 30,"Fast",IF(Table1[[#This Row],[Days on Market]]&lt;= 90,"Average", "Slow"))</f>
        <v>Slow</v>
      </c>
      <c r="T261" t="str">
        <f>IF(Table1[[#This Row],[Price2]]&lt;500000,"Affordable",IF(Table1[[#This Row],[Price2]]&lt;1000000,"Mid range","Luxury"))</f>
        <v>Affordable</v>
      </c>
    </row>
    <row r="262" spans="1:20" x14ac:dyDescent="0.35">
      <c r="A262" s="3">
        <v>232780</v>
      </c>
      <c r="B262" s="2" t="s">
        <v>27</v>
      </c>
      <c r="C262">
        <v>58442</v>
      </c>
      <c r="D262" s="2" t="s">
        <v>23</v>
      </c>
      <c r="E262">
        <v>3</v>
      </c>
      <c r="F262">
        <v>3</v>
      </c>
      <c r="G262" s="4">
        <f>VALUE(SUBSTITUTE(SUBSTITUTE(Table1[[#This Row],[Price]],"$",""),",",""))</f>
        <v>232780</v>
      </c>
      <c r="H262" s="1">
        <f>Table1[[#This Row],[Price2]]/Table1[[#This Row],[Area]]</f>
        <v>134.0126655152562</v>
      </c>
      <c r="I262">
        <v>1737</v>
      </c>
      <c r="J262">
        <v>1976</v>
      </c>
      <c r="K262">
        <v>3</v>
      </c>
      <c r="L262" t="s">
        <v>40</v>
      </c>
      <c r="M262" t="s">
        <v>1171</v>
      </c>
      <c r="N262" s="2" t="s">
        <v>3029</v>
      </c>
      <c r="O262" t="s">
        <v>3030</v>
      </c>
      <c r="P262" t="s">
        <v>21</v>
      </c>
      <c r="Q262">
        <v>134.0126655152562</v>
      </c>
      <c r="R262">
        <f ca="1">YEAR(TODAY())-Table1[[#This Row],[Year Built]]</f>
        <v>50</v>
      </c>
      <c r="S262" t="str">
        <f>IF(Table1[[#This Row],[Days on Market]] &lt; 30,"Fast",IF(Table1[[#This Row],[Days on Market]]&lt;= 90,"Average", "Slow"))</f>
        <v>Fast</v>
      </c>
      <c r="T262" t="str">
        <f>IF(Table1[[#This Row],[Price2]]&lt;500000,"Affordable",IF(Table1[[#This Row],[Price2]]&lt;1000000,"Mid range","Luxury"))</f>
        <v>Affordable</v>
      </c>
    </row>
    <row r="263" spans="1:20" x14ac:dyDescent="0.35">
      <c r="A263" s="3">
        <v>233461</v>
      </c>
      <c r="B263" s="2" t="s">
        <v>12</v>
      </c>
      <c r="C263">
        <v>35380</v>
      </c>
      <c r="D263" s="2" t="s">
        <v>23</v>
      </c>
      <c r="E263">
        <v>2</v>
      </c>
      <c r="F263">
        <v>4</v>
      </c>
      <c r="G263" s="4">
        <f>VALUE(SUBSTITUTE(SUBSTITUTE(Table1[[#This Row],[Price]],"$",""),",",""))</f>
        <v>233461</v>
      </c>
      <c r="H263" s="1">
        <f>Table1[[#This Row],[Price2]]/Table1[[#This Row],[Area]]</f>
        <v>85.989318600368321</v>
      </c>
      <c r="I263">
        <v>2715</v>
      </c>
      <c r="J263">
        <v>1987</v>
      </c>
      <c r="K263">
        <v>41</v>
      </c>
      <c r="L263" t="s">
        <v>40</v>
      </c>
      <c r="M263" t="s">
        <v>239</v>
      </c>
      <c r="N263" s="2" t="s">
        <v>3033</v>
      </c>
      <c r="O263" t="s">
        <v>3034</v>
      </c>
      <c r="P263" t="s">
        <v>21</v>
      </c>
      <c r="Q263">
        <v>85.989318600368321</v>
      </c>
      <c r="R263">
        <f ca="1">YEAR(TODAY())-Table1[[#This Row],[Year Built]]</f>
        <v>39</v>
      </c>
      <c r="S263" t="str">
        <f>IF(Table1[[#This Row],[Days on Market]] &lt; 30,"Fast",IF(Table1[[#This Row],[Days on Market]]&lt;= 90,"Average", "Slow"))</f>
        <v>Average</v>
      </c>
      <c r="T263" t="str">
        <f>IF(Table1[[#This Row],[Price2]]&lt;500000,"Affordable",IF(Table1[[#This Row],[Price2]]&lt;1000000,"Mid range","Luxury"))</f>
        <v>Affordable</v>
      </c>
    </row>
    <row r="264" spans="1:20" x14ac:dyDescent="0.35">
      <c r="A264" s="3">
        <v>233598</v>
      </c>
      <c r="B264" s="2" t="s">
        <v>22</v>
      </c>
      <c r="C264">
        <v>49878</v>
      </c>
      <c r="D264" s="2" t="s">
        <v>18</v>
      </c>
      <c r="E264">
        <v>4</v>
      </c>
      <c r="F264">
        <v>2</v>
      </c>
      <c r="G264" s="4">
        <f>VALUE(SUBSTITUTE(SUBSTITUTE(Table1[[#This Row],[Price]],"$",""),",",""))</f>
        <v>233598</v>
      </c>
      <c r="H264" s="1">
        <f>Table1[[#This Row],[Price2]]/Table1[[#This Row],[Area]]</f>
        <v>132.27519818799547</v>
      </c>
      <c r="I264">
        <v>1766</v>
      </c>
      <c r="J264">
        <v>1991</v>
      </c>
      <c r="K264">
        <v>27</v>
      </c>
      <c r="L264" t="s">
        <v>19</v>
      </c>
      <c r="M264" t="s">
        <v>2110</v>
      </c>
      <c r="N264" s="2" t="s">
        <v>3035</v>
      </c>
      <c r="O264" t="s">
        <v>3036</v>
      </c>
      <c r="P264" t="s">
        <v>26</v>
      </c>
      <c r="Q264">
        <v>132.27519818799547</v>
      </c>
      <c r="R264">
        <f ca="1">YEAR(TODAY())-Table1[[#This Row],[Year Built]]</f>
        <v>35</v>
      </c>
      <c r="S264" t="str">
        <f>IF(Table1[[#This Row],[Days on Market]] &lt; 30,"Fast",IF(Table1[[#This Row],[Days on Market]]&lt;= 90,"Average", "Slow"))</f>
        <v>Fast</v>
      </c>
      <c r="T264" t="str">
        <f>IF(Table1[[#This Row],[Price2]]&lt;500000,"Affordable",IF(Table1[[#This Row],[Price2]]&lt;1000000,"Mid range","Luxury"))</f>
        <v>Affordable</v>
      </c>
    </row>
    <row r="265" spans="1:20" x14ac:dyDescent="0.35">
      <c r="A265" s="3">
        <v>233832</v>
      </c>
      <c r="B265" s="2" t="s">
        <v>27</v>
      </c>
      <c r="C265">
        <v>39301</v>
      </c>
      <c r="D265" s="2" t="s">
        <v>18</v>
      </c>
      <c r="E265">
        <v>3</v>
      </c>
      <c r="F265">
        <v>4</v>
      </c>
      <c r="G265" s="4">
        <f>VALUE(SUBSTITUTE(SUBSTITUTE(Table1[[#This Row],[Price]],"$",""),",",""))</f>
        <v>233832</v>
      </c>
      <c r="H265" s="1">
        <f>Table1[[#This Row],[Price2]]/Table1[[#This Row],[Area]]</f>
        <v>85.904481998530485</v>
      </c>
      <c r="I265">
        <v>2722</v>
      </c>
      <c r="J265">
        <v>1998</v>
      </c>
      <c r="K265">
        <v>14</v>
      </c>
      <c r="L265" t="s">
        <v>40</v>
      </c>
      <c r="M265" t="s">
        <v>169</v>
      </c>
      <c r="N265" s="2" t="s">
        <v>3027</v>
      </c>
      <c r="O265" t="s">
        <v>3028</v>
      </c>
      <c r="P265" t="s">
        <v>26</v>
      </c>
      <c r="Q265">
        <v>85.904481998530485</v>
      </c>
      <c r="R265">
        <f ca="1">YEAR(TODAY())-Table1[[#This Row],[Year Built]]</f>
        <v>28</v>
      </c>
      <c r="S265" t="str">
        <f>IF(Table1[[#This Row],[Days on Market]] &lt; 30,"Fast",IF(Table1[[#This Row],[Days on Market]]&lt;= 90,"Average", "Slow"))</f>
        <v>Fast</v>
      </c>
      <c r="T265" t="str">
        <f>IF(Table1[[#This Row],[Price2]]&lt;500000,"Affordable",IF(Table1[[#This Row],[Price2]]&lt;1000000,"Mid range","Luxury"))</f>
        <v>Affordable</v>
      </c>
    </row>
    <row r="266" spans="1:20" x14ac:dyDescent="0.35">
      <c r="A266" s="3">
        <v>233884</v>
      </c>
      <c r="B266" s="2" t="s">
        <v>34</v>
      </c>
      <c r="C266">
        <v>44868</v>
      </c>
      <c r="D266" s="2" t="s">
        <v>35</v>
      </c>
      <c r="E266">
        <v>2</v>
      </c>
      <c r="F266">
        <v>2</v>
      </c>
      <c r="G266" s="4">
        <f>VALUE(SUBSTITUTE(SUBSTITUTE(Table1[[#This Row],[Price]],"$",""),",",""))</f>
        <v>233884</v>
      </c>
      <c r="H266" s="1">
        <f>Table1[[#This Row],[Price2]]/Table1[[#This Row],[Area]]</f>
        <v>248.28450106157112</v>
      </c>
      <c r="I266">
        <v>942</v>
      </c>
      <c r="J266">
        <v>2007</v>
      </c>
      <c r="K266">
        <v>49</v>
      </c>
      <c r="L266" t="s">
        <v>14</v>
      </c>
      <c r="M266" t="s">
        <v>2299</v>
      </c>
      <c r="N266" s="2" t="s">
        <v>3027</v>
      </c>
      <c r="O266" t="s">
        <v>3028</v>
      </c>
      <c r="P266" t="s">
        <v>26</v>
      </c>
      <c r="Q266">
        <v>248.28450106157112</v>
      </c>
      <c r="R266">
        <f ca="1">YEAR(TODAY())-Table1[[#This Row],[Year Built]]</f>
        <v>19</v>
      </c>
      <c r="S266" t="str">
        <f>IF(Table1[[#This Row],[Days on Market]] &lt; 30,"Fast",IF(Table1[[#This Row],[Days on Market]]&lt;= 90,"Average", "Slow"))</f>
        <v>Average</v>
      </c>
      <c r="T266" t="str">
        <f>IF(Table1[[#This Row],[Price2]]&lt;500000,"Affordable",IF(Table1[[#This Row],[Price2]]&lt;1000000,"Mid range","Luxury"))</f>
        <v>Affordable</v>
      </c>
    </row>
    <row r="267" spans="1:20" x14ac:dyDescent="0.35">
      <c r="A267" s="3">
        <v>234244</v>
      </c>
      <c r="B267" s="2" t="s">
        <v>27</v>
      </c>
      <c r="C267">
        <v>94702</v>
      </c>
      <c r="D267" s="2" t="s">
        <v>23</v>
      </c>
      <c r="E267">
        <v>2</v>
      </c>
      <c r="F267">
        <v>2</v>
      </c>
      <c r="G267" s="4">
        <f>VALUE(SUBSTITUTE(SUBSTITUTE(Table1[[#This Row],[Price]],"$",""),",",""))</f>
        <v>234244</v>
      </c>
      <c r="H267" s="1">
        <f>Table1[[#This Row],[Price2]]/Table1[[#This Row],[Area]]</f>
        <v>313.16042780748666</v>
      </c>
      <c r="I267">
        <v>748</v>
      </c>
      <c r="J267">
        <v>1998</v>
      </c>
      <c r="K267">
        <v>78</v>
      </c>
      <c r="L267" t="s">
        <v>30</v>
      </c>
      <c r="M267" t="s">
        <v>2809</v>
      </c>
      <c r="N267" s="2" t="s">
        <v>3035</v>
      </c>
      <c r="O267" t="s">
        <v>3036</v>
      </c>
      <c r="P267" t="s">
        <v>26</v>
      </c>
      <c r="Q267">
        <v>313.16042780748666</v>
      </c>
      <c r="R267">
        <f ca="1">YEAR(TODAY())-Table1[[#This Row],[Year Built]]</f>
        <v>28</v>
      </c>
      <c r="S267" t="str">
        <f>IF(Table1[[#This Row],[Days on Market]] &lt; 30,"Fast",IF(Table1[[#This Row],[Days on Market]]&lt;= 90,"Average", "Slow"))</f>
        <v>Average</v>
      </c>
      <c r="T267" t="str">
        <f>IF(Table1[[#This Row],[Price2]]&lt;500000,"Affordable",IF(Table1[[#This Row],[Price2]]&lt;1000000,"Mid range","Luxury"))</f>
        <v>Affordable</v>
      </c>
    </row>
    <row r="268" spans="1:20" x14ac:dyDescent="0.35">
      <c r="A268" s="3">
        <v>235502</v>
      </c>
      <c r="B268" s="2" t="s">
        <v>27</v>
      </c>
      <c r="C268">
        <v>61679</v>
      </c>
      <c r="D268" s="2" t="s">
        <v>29</v>
      </c>
      <c r="E268">
        <v>5</v>
      </c>
      <c r="F268">
        <v>2</v>
      </c>
      <c r="G268" s="4">
        <f>VALUE(SUBSTITUTE(SUBSTITUTE(Table1[[#This Row],[Price]],"$",""),",",""))</f>
        <v>235502</v>
      </c>
      <c r="H268" s="1">
        <f>Table1[[#This Row],[Price2]]/Table1[[#This Row],[Area]]</f>
        <v>96.755135579293338</v>
      </c>
      <c r="I268">
        <v>2434</v>
      </c>
      <c r="J268">
        <v>1981</v>
      </c>
      <c r="K268">
        <v>119</v>
      </c>
      <c r="L268" t="s">
        <v>14</v>
      </c>
      <c r="M268" t="s">
        <v>804</v>
      </c>
      <c r="N268" s="2" t="s">
        <v>3027</v>
      </c>
      <c r="O268" t="s">
        <v>3028</v>
      </c>
      <c r="P268" t="s">
        <v>26</v>
      </c>
      <c r="Q268">
        <v>96.755135579293338</v>
      </c>
      <c r="R268">
        <f ca="1">YEAR(TODAY())-Table1[[#This Row],[Year Built]]</f>
        <v>45</v>
      </c>
      <c r="S268" t="str">
        <f>IF(Table1[[#This Row],[Days on Market]] &lt; 30,"Fast",IF(Table1[[#This Row],[Days on Market]]&lt;= 90,"Average", "Slow"))</f>
        <v>Slow</v>
      </c>
      <c r="T268" t="str">
        <f>IF(Table1[[#This Row],[Price2]]&lt;500000,"Affordable",IF(Table1[[#This Row],[Price2]]&lt;1000000,"Mid range","Luxury"))</f>
        <v>Affordable</v>
      </c>
    </row>
    <row r="269" spans="1:20" x14ac:dyDescent="0.35">
      <c r="A269" s="3">
        <v>235690</v>
      </c>
      <c r="B269" s="2" t="s">
        <v>34</v>
      </c>
      <c r="C269">
        <v>35239</v>
      </c>
      <c r="D269" s="2" t="s">
        <v>35</v>
      </c>
      <c r="E269">
        <v>4</v>
      </c>
      <c r="F269">
        <v>2</v>
      </c>
      <c r="G269" s="4">
        <f>VALUE(SUBSTITUTE(SUBSTITUTE(Table1[[#This Row],[Price]],"$",""),",",""))</f>
        <v>235690</v>
      </c>
      <c r="H269" s="1">
        <f>Table1[[#This Row],[Price2]]/Table1[[#This Row],[Area]]</f>
        <v>74.822222222222223</v>
      </c>
      <c r="I269">
        <v>3150</v>
      </c>
      <c r="J269">
        <v>1968</v>
      </c>
      <c r="K269">
        <v>60</v>
      </c>
      <c r="L269" t="s">
        <v>14</v>
      </c>
      <c r="M269" t="s">
        <v>71</v>
      </c>
      <c r="N269" s="2" t="s">
        <v>3027</v>
      </c>
      <c r="O269" t="s">
        <v>3028</v>
      </c>
      <c r="P269" t="s">
        <v>16</v>
      </c>
      <c r="Q269">
        <v>74.822222222222223</v>
      </c>
      <c r="R269">
        <f ca="1">YEAR(TODAY())-Table1[[#This Row],[Year Built]]</f>
        <v>58</v>
      </c>
      <c r="S269" t="str">
        <f>IF(Table1[[#This Row],[Days on Market]] &lt; 30,"Fast",IF(Table1[[#This Row],[Days on Market]]&lt;= 90,"Average", "Slow"))</f>
        <v>Average</v>
      </c>
      <c r="T269" t="str">
        <f>IF(Table1[[#This Row],[Price2]]&lt;500000,"Affordable",IF(Table1[[#This Row],[Price2]]&lt;1000000,"Mid range","Luxury"))</f>
        <v>Affordable</v>
      </c>
    </row>
    <row r="270" spans="1:20" x14ac:dyDescent="0.35">
      <c r="A270" s="3">
        <v>236666</v>
      </c>
      <c r="B270" s="2" t="s">
        <v>22</v>
      </c>
      <c r="C270">
        <v>67537</v>
      </c>
      <c r="D270" s="2" t="s">
        <v>23</v>
      </c>
      <c r="E270">
        <v>2</v>
      </c>
      <c r="F270">
        <v>2</v>
      </c>
      <c r="G270" s="4">
        <f>VALUE(SUBSTITUTE(SUBSTITUTE(Table1[[#This Row],[Price]],"$",""),",",""))</f>
        <v>236666</v>
      </c>
      <c r="H270" s="1">
        <f>Table1[[#This Row],[Price2]]/Table1[[#This Row],[Area]]</f>
        <v>82.061719833564496</v>
      </c>
      <c r="I270">
        <v>2884</v>
      </c>
      <c r="J270">
        <v>2009</v>
      </c>
      <c r="K270">
        <v>66</v>
      </c>
      <c r="L270" t="s">
        <v>40</v>
      </c>
      <c r="M270" t="s">
        <v>784</v>
      </c>
      <c r="N270" s="2" t="s">
        <v>3029</v>
      </c>
      <c r="O270" t="s">
        <v>3030</v>
      </c>
      <c r="P270" t="s">
        <v>16</v>
      </c>
      <c r="Q270">
        <v>82.061719833564496</v>
      </c>
      <c r="R270">
        <f ca="1">YEAR(TODAY())-Table1[[#This Row],[Year Built]]</f>
        <v>17</v>
      </c>
      <c r="S270" t="str">
        <f>IF(Table1[[#This Row],[Days on Market]] &lt; 30,"Fast",IF(Table1[[#This Row],[Days on Market]]&lt;= 90,"Average", "Slow"))</f>
        <v>Average</v>
      </c>
      <c r="T270" t="str">
        <f>IF(Table1[[#This Row],[Price2]]&lt;500000,"Affordable",IF(Table1[[#This Row],[Price2]]&lt;1000000,"Mid range","Luxury"))</f>
        <v>Affordable</v>
      </c>
    </row>
    <row r="271" spans="1:20" x14ac:dyDescent="0.35">
      <c r="A271" s="3">
        <v>236746</v>
      </c>
      <c r="B271" s="2" t="s">
        <v>22</v>
      </c>
      <c r="C271">
        <v>17681</v>
      </c>
      <c r="D271" s="2" t="s">
        <v>13</v>
      </c>
      <c r="E271">
        <v>6</v>
      </c>
      <c r="F271">
        <v>4</v>
      </c>
      <c r="G271" s="4">
        <f>VALUE(SUBSTITUTE(SUBSTITUTE(Table1[[#This Row],[Price]],"$",""),",",""))</f>
        <v>236746</v>
      </c>
      <c r="H271" s="1">
        <f>Table1[[#This Row],[Price2]]/Table1[[#This Row],[Area]]</f>
        <v>360.89329268292681</v>
      </c>
      <c r="I271">
        <v>656</v>
      </c>
      <c r="J271">
        <v>1985</v>
      </c>
      <c r="K271">
        <v>21</v>
      </c>
      <c r="L271" t="s">
        <v>30</v>
      </c>
      <c r="M271" t="s">
        <v>344</v>
      </c>
      <c r="N271" s="2" t="s">
        <v>3035</v>
      </c>
      <c r="O271" t="s">
        <v>3036</v>
      </c>
      <c r="P271" t="s">
        <v>21</v>
      </c>
      <c r="Q271">
        <v>360.89329268292681</v>
      </c>
      <c r="R271">
        <f ca="1">YEAR(TODAY())-Table1[[#This Row],[Year Built]]</f>
        <v>41</v>
      </c>
      <c r="S271" t="str">
        <f>IF(Table1[[#This Row],[Days on Market]] &lt; 30,"Fast",IF(Table1[[#This Row],[Days on Market]]&lt;= 90,"Average", "Slow"))</f>
        <v>Fast</v>
      </c>
      <c r="T271" t="str">
        <f>IF(Table1[[#This Row],[Price2]]&lt;500000,"Affordable",IF(Table1[[#This Row],[Price2]]&lt;1000000,"Mid range","Luxury"))</f>
        <v>Affordable</v>
      </c>
    </row>
    <row r="272" spans="1:20" x14ac:dyDescent="0.35">
      <c r="A272" s="3">
        <v>237088</v>
      </c>
      <c r="B272" s="2" t="s">
        <v>17</v>
      </c>
      <c r="C272">
        <v>23130</v>
      </c>
      <c r="D272" s="2" t="s">
        <v>18</v>
      </c>
      <c r="E272">
        <v>6</v>
      </c>
      <c r="F272">
        <v>3</v>
      </c>
      <c r="G272" s="4">
        <f>VALUE(SUBSTITUTE(SUBSTITUTE(Table1[[#This Row],[Price]],"$",""),",",""))</f>
        <v>237088</v>
      </c>
      <c r="H272" s="1">
        <f>Table1[[#This Row],[Price2]]/Table1[[#This Row],[Area]]</f>
        <v>76.209578913532624</v>
      </c>
      <c r="I272">
        <v>3111</v>
      </c>
      <c r="J272">
        <v>1996</v>
      </c>
      <c r="K272">
        <v>105</v>
      </c>
      <c r="L272" t="s">
        <v>52</v>
      </c>
      <c r="M272" t="s">
        <v>1672</v>
      </c>
      <c r="N272" s="2" t="s">
        <v>3035</v>
      </c>
      <c r="O272" t="s">
        <v>3036</v>
      </c>
      <c r="P272" t="s">
        <v>26</v>
      </c>
      <c r="Q272">
        <v>76.209578913532624</v>
      </c>
      <c r="R272">
        <f ca="1">YEAR(TODAY())-Table1[[#This Row],[Year Built]]</f>
        <v>30</v>
      </c>
      <c r="S272" t="str">
        <f>IF(Table1[[#This Row],[Days on Market]] &lt; 30,"Fast",IF(Table1[[#This Row],[Days on Market]]&lt;= 90,"Average", "Slow"))</f>
        <v>Slow</v>
      </c>
      <c r="T272" t="str">
        <f>IF(Table1[[#This Row],[Price2]]&lt;500000,"Affordable",IF(Table1[[#This Row],[Price2]]&lt;1000000,"Mid range","Luxury"))</f>
        <v>Affordable</v>
      </c>
    </row>
    <row r="273" spans="1:20" x14ac:dyDescent="0.35">
      <c r="A273" s="3">
        <v>237627</v>
      </c>
      <c r="B273" s="2" t="s">
        <v>12</v>
      </c>
      <c r="C273">
        <v>24734</v>
      </c>
      <c r="D273" s="2" t="s">
        <v>23</v>
      </c>
      <c r="E273">
        <v>2</v>
      </c>
      <c r="F273">
        <v>2</v>
      </c>
      <c r="G273" s="4">
        <f>VALUE(SUBSTITUTE(SUBSTITUTE(Table1[[#This Row],[Price]],"$",""),",",""))</f>
        <v>237627</v>
      </c>
      <c r="H273" s="1">
        <f>Table1[[#This Row],[Price2]]/Table1[[#This Row],[Area]]</f>
        <v>108.15976331360947</v>
      </c>
      <c r="I273">
        <v>2197</v>
      </c>
      <c r="J273">
        <v>2016</v>
      </c>
      <c r="K273">
        <v>112</v>
      </c>
      <c r="L273" t="s">
        <v>52</v>
      </c>
      <c r="M273" t="s">
        <v>773</v>
      </c>
      <c r="N273" s="2" t="s">
        <v>3031</v>
      </c>
      <c r="O273" t="s">
        <v>3032</v>
      </c>
      <c r="P273" t="s">
        <v>26</v>
      </c>
      <c r="Q273">
        <v>108.15976331360947</v>
      </c>
      <c r="R273">
        <f ca="1">YEAR(TODAY())-Table1[[#This Row],[Year Built]]</f>
        <v>10</v>
      </c>
      <c r="S273" t="str">
        <f>IF(Table1[[#This Row],[Days on Market]] &lt; 30,"Fast",IF(Table1[[#This Row],[Days on Market]]&lt;= 90,"Average", "Slow"))</f>
        <v>Slow</v>
      </c>
      <c r="T273" t="str">
        <f>IF(Table1[[#This Row],[Price2]]&lt;500000,"Affordable",IF(Table1[[#This Row],[Price2]]&lt;1000000,"Mid range","Luxury"))</f>
        <v>Affordable</v>
      </c>
    </row>
    <row r="274" spans="1:20" x14ac:dyDescent="0.35">
      <c r="A274" s="3">
        <v>238077</v>
      </c>
      <c r="B274" s="2" t="s">
        <v>12</v>
      </c>
      <c r="C274">
        <v>23062</v>
      </c>
      <c r="D274" s="2" t="s">
        <v>35</v>
      </c>
      <c r="E274">
        <v>1</v>
      </c>
      <c r="F274">
        <v>2</v>
      </c>
      <c r="G274" s="4">
        <f>VALUE(SUBSTITUTE(SUBSTITUTE(Table1[[#This Row],[Price]],"$",""),",",""))</f>
        <v>238077</v>
      </c>
      <c r="H274" s="1">
        <f>Table1[[#This Row],[Price2]]/Table1[[#This Row],[Area]]</f>
        <v>70.687945368171015</v>
      </c>
      <c r="I274">
        <v>3368</v>
      </c>
      <c r="J274">
        <v>1965</v>
      </c>
      <c r="K274">
        <v>83</v>
      </c>
      <c r="L274" t="s">
        <v>14</v>
      </c>
      <c r="M274" t="s">
        <v>2185</v>
      </c>
      <c r="N274" s="2" t="s">
        <v>3027</v>
      </c>
      <c r="O274" t="s">
        <v>3028</v>
      </c>
      <c r="P274" t="s">
        <v>16</v>
      </c>
      <c r="Q274">
        <v>70.687945368171015</v>
      </c>
      <c r="R274">
        <f ca="1">YEAR(TODAY())-Table1[[#This Row],[Year Built]]</f>
        <v>61</v>
      </c>
      <c r="S274" t="str">
        <f>IF(Table1[[#This Row],[Days on Market]] &lt; 30,"Fast",IF(Table1[[#This Row],[Days on Market]]&lt;= 90,"Average", "Slow"))</f>
        <v>Average</v>
      </c>
      <c r="T274" t="str">
        <f>IF(Table1[[#This Row],[Price2]]&lt;500000,"Affordable",IF(Table1[[#This Row],[Price2]]&lt;1000000,"Mid range","Luxury"))</f>
        <v>Affordable</v>
      </c>
    </row>
    <row r="275" spans="1:20" x14ac:dyDescent="0.35">
      <c r="A275" s="3">
        <v>238951</v>
      </c>
      <c r="B275" s="2" t="s">
        <v>22</v>
      </c>
      <c r="C275">
        <v>66309</v>
      </c>
      <c r="D275" s="2" t="s">
        <v>29</v>
      </c>
      <c r="E275">
        <v>4</v>
      </c>
      <c r="F275">
        <v>4</v>
      </c>
      <c r="G275" s="4">
        <f>VALUE(SUBSTITUTE(SUBSTITUTE(Table1[[#This Row],[Price]],"$",""),",",""))</f>
        <v>238951</v>
      </c>
      <c r="H275" s="1">
        <f>Table1[[#This Row],[Price2]]/Table1[[#This Row],[Area]]</f>
        <v>124.38885996876627</v>
      </c>
      <c r="I275">
        <v>1921</v>
      </c>
      <c r="J275">
        <v>1951</v>
      </c>
      <c r="K275">
        <v>15</v>
      </c>
      <c r="L275" t="s">
        <v>30</v>
      </c>
      <c r="M275" t="s">
        <v>1257</v>
      </c>
      <c r="N275" s="2" t="s">
        <v>3035</v>
      </c>
      <c r="O275" t="s">
        <v>3036</v>
      </c>
      <c r="P275" t="s">
        <v>16</v>
      </c>
      <c r="Q275">
        <v>124.38885996876627</v>
      </c>
      <c r="R275">
        <f ca="1">YEAR(TODAY())-Table1[[#This Row],[Year Built]]</f>
        <v>75</v>
      </c>
      <c r="S275" t="str">
        <f>IF(Table1[[#This Row],[Days on Market]] &lt; 30,"Fast",IF(Table1[[#This Row],[Days on Market]]&lt;= 90,"Average", "Slow"))</f>
        <v>Fast</v>
      </c>
      <c r="T275" t="str">
        <f>IF(Table1[[#This Row],[Price2]]&lt;500000,"Affordable",IF(Table1[[#This Row],[Price2]]&lt;1000000,"Mid range","Luxury"))</f>
        <v>Affordable</v>
      </c>
    </row>
    <row r="276" spans="1:20" x14ac:dyDescent="0.35">
      <c r="A276" s="3">
        <v>240095</v>
      </c>
      <c r="B276" s="2" t="s">
        <v>34</v>
      </c>
      <c r="C276">
        <v>13227</v>
      </c>
      <c r="D276" s="2" t="s">
        <v>35</v>
      </c>
      <c r="E276">
        <v>6</v>
      </c>
      <c r="F276">
        <v>2</v>
      </c>
      <c r="G276" s="4">
        <f>VALUE(SUBSTITUTE(SUBSTITUTE(Table1[[#This Row],[Price]],"$",""),",",""))</f>
        <v>240095</v>
      </c>
      <c r="H276" s="1">
        <f>Table1[[#This Row],[Price2]]/Table1[[#This Row],[Area]]</f>
        <v>258.44456404736275</v>
      </c>
      <c r="I276">
        <v>929</v>
      </c>
      <c r="J276">
        <v>1975</v>
      </c>
      <c r="K276">
        <v>79</v>
      </c>
      <c r="L276" t="s">
        <v>14</v>
      </c>
      <c r="M276" t="s">
        <v>36</v>
      </c>
      <c r="N276" s="2" t="s">
        <v>3033</v>
      </c>
      <c r="O276" t="s">
        <v>3034</v>
      </c>
      <c r="P276" t="s">
        <v>26</v>
      </c>
      <c r="Q276">
        <v>258.44456404736275</v>
      </c>
      <c r="R276">
        <f ca="1">YEAR(TODAY())-Table1[[#This Row],[Year Built]]</f>
        <v>51</v>
      </c>
      <c r="S276" t="str">
        <f>IF(Table1[[#This Row],[Days on Market]] &lt; 30,"Fast",IF(Table1[[#This Row],[Days on Market]]&lt;= 90,"Average", "Slow"))</f>
        <v>Average</v>
      </c>
      <c r="T276" t="str">
        <f>IF(Table1[[#This Row],[Price2]]&lt;500000,"Affordable",IF(Table1[[#This Row],[Price2]]&lt;1000000,"Mid range","Luxury"))</f>
        <v>Affordable</v>
      </c>
    </row>
    <row r="277" spans="1:20" x14ac:dyDescent="0.35">
      <c r="A277" s="3">
        <v>240229</v>
      </c>
      <c r="B277" s="2" t="s">
        <v>27</v>
      </c>
      <c r="C277">
        <v>48055</v>
      </c>
      <c r="D277" s="2" t="s">
        <v>23</v>
      </c>
      <c r="E277">
        <v>6</v>
      </c>
      <c r="F277">
        <v>3</v>
      </c>
      <c r="G277" s="4">
        <f>VALUE(SUBSTITUTE(SUBSTITUTE(Table1[[#This Row],[Price]],"$",""),",",""))</f>
        <v>240229</v>
      </c>
      <c r="H277" s="1">
        <f>Table1[[#This Row],[Price2]]/Table1[[#This Row],[Area]]</f>
        <v>228.57183634633682</v>
      </c>
      <c r="I277">
        <v>1051</v>
      </c>
      <c r="J277">
        <v>1974</v>
      </c>
      <c r="K277">
        <v>69</v>
      </c>
      <c r="L277" t="s">
        <v>14</v>
      </c>
      <c r="M277" t="s">
        <v>2086</v>
      </c>
      <c r="N277" s="2" t="s">
        <v>3035</v>
      </c>
      <c r="O277" t="s">
        <v>3036</v>
      </c>
      <c r="P277" t="s">
        <v>21</v>
      </c>
      <c r="Q277">
        <v>228.57183634633682</v>
      </c>
      <c r="R277">
        <f ca="1">YEAR(TODAY())-Table1[[#This Row],[Year Built]]</f>
        <v>52</v>
      </c>
      <c r="S277" t="str">
        <f>IF(Table1[[#This Row],[Days on Market]] &lt; 30,"Fast",IF(Table1[[#This Row],[Days on Market]]&lt;= 90,"Average", "Slow"))</f>
        <v>Average</v>
      </c>
      <c r="T277" t="str">
        <f>IF(Table1[[#This Row],[Price2]]&lt;500000,"Affordable",IF(Table1[[#This Row],[Price2]]&lt;1000000,"Mid range","Luxury"))</f>
        <v>Affordable</v>
      </c>
    </row>
    <row r="278" spans="1:20" x14ac:dyDescent="0.35">
      <c r="A278" s="3">
        <v>241211</v>
      </c>
      <c r="B278" s="2" t="s">
        <v>22</v>
      </c>
      <c r="C278">
        <v>59994</v>
      </c>
      <c r="D278" s="2" t="s">
        <v>13</v>
      </c>
      <c r="E278">
        <v>1</v>
      </c>
      <c r="F278">
        <v>1</v>
      </c>
      <c r="G278" s="4">
        <f>VALUE(SUBSTITUTE(SUBSTITUTE(Table1[[#This Row],[Price]],"$",""),",",""))</f>
        <v>241211</v>
      </c>
      <c r="H278" s="1">
        <f>Table1[[#This Row],[Price2]]/Table1[[#This Row],[Area]]</f>
        <v>135.58797077009555</v>
      </c>
      <c r="I278">
        <v>1779</v>
      </c>
      <c r="J278">
        <v>2019</v>
      </c>
      <c r="K278">
        <v>10</v>
      </c>
      <c r="L278" t="s">
        <v>14</v>
      </c>
      <c r="M278" t="s">
        <v>950</v>
      </c>
      <c r="N278" s="2" t="s">
        <v>3031</v>
      </c>
      <c r="O278" t="s">
        <v>3032</v>
      </c>
      <c r="P278" t="s">
        <v>26</v>
      </c>
      <c r="Q278">
        <v>135.58797077009555</v>
      </c>
      <c r="R278">
        <f ca="1">YEAR(TODAY())-Table1[[#This Row],[Year Built]]</f>
        <v>7</v>
      </c>
      <c r="S278" t="str">
        <f>IF(Table1[[#This Row],[Days on Market]] &lt; 30,"Fast",IF(Table1[[#This Row],[Days on Market]]&lt;= 90,"Average", "Slow"))</f>
        <v>Fast</v>
      </c>
      <c r="T278" t="str">
        <f>IF(Table1[[#This Row],[Price2]]&lt;500000,"Affordable",IF(Table1[[#This Row],[Price2]]&lt;1000000,"Mid range","Luxury"))</f>
        <v>Affordable</v>
      </c>
    </row>
    <row r="279" spans="1:20" x14ac:dyDescent="0.35">
      <c r="A279" s="3">
        <v>241995</v>
      </c>
      <c r="B279" s="2" t="s">
        <v>27</v>
      </c>
      <c r="C279">
        <v>38983</v>
      </c>
      <c r="D279" s="2" t="s">
        <v>35</v>
      </c>
      <c r="E279">
        <v>4</v>
      </c>
      <c r="F279">
        <v>4</v>
      </c>
      <c r="G279" s="4">
        <f>VALUE(SUBSTITUTE(SUBSTITUTE(Table1[[#This Row],[Price]],"$",""),",",""))</f>
        <v>241995</v>
      </c>
      <c r="H279" s="1">
        <f>Table1[[#This Row],[Price2]]/Table1[[#This Row],[Area]]</f>
        <v>85.149542575650955</v>
      </c>
      <c r="I279">
        <v>2842</v>
      </c>
      <c r="J279">
        <v>1987</v>
      </c>
      <c r="K279">
        <v>24</v>
      </c>
      <c r="L279" t="s">
        <v>52</v>
      </c>
      <c r="M279" t="s">
        <v>216</v>
      </c>
      <c r="N279" s="2" t="s">
        <v>3027</v>
      </c>
      <c r="O279" t="s">
        <v>3028</v>
      </c>
      <c r="P279" t="s">
        <v>16</v>
      </c>
      <c r="Q279">
        <v>85.149542575650955</v>
      </c>
      <c r="R279">
        <f ca="1">YEAR(TODAY())-Table1[[#This Row],[Year Built]]</f>
        <v>39</v>
      </c>
      <c r="S279" t="str">
        <f>IF(Table1[[#This Row],[Days on Market]] &lt; 30,"Fast",IF(Table1[[#This Row],[Days on Market]]&lt;= 90,"Average", "Slow"))</f>
        <v>Fast</v>
      </c>
      <c r="T279" t="str">
        <f>IF(Table1[[#This Row],[Price2]]&lt;500000,"Affordable",IF(Table1[[#This Row],[Price2]]&lt;1000000,"Mid range","Luxury"))</f>
        <v>Affordable</v>
      </c>
    </row>
    <row r="280" spans="1:20" x14ac:dyDescent="0.35">
      <c r="A280" s="3">
        <v>242071</v>
      </c>
      <c r="B280" s="2" t="s">
        <v>27</v>
      </c>
      <c r="C280">
        <v>32340</v>
      </c>
      <c r="D280" s="2" t="s">
        <v>18</v>
      </c>
      <c r="E280">
        <v>3</v>
      </c>
      <c r="F280">
        <v>1</v>
      </c>
      <c r="G280" s="4">
        <f>VALUE(SUBSTITUTE(SUBSTITUTE(Table1[[#This Row],[Price]],"$",""),",",""))</f>
        <v>242071</v>
      </c>
      <c r="H280" s="1">
        <f>Table1[[#This Row],[Price2]]/Table1[[#This Row],[Area]]</f>
        <v>83.559199171556784</v>
      </c>
      <c r="I280">
        <v>2897</v>
      </c>
      <c r="J280">
        <v>1997</v>
      </c>
      <c r="K280">
        <v>90</v>
      </c>
      <c r="L280" t="s">
        <v>52</v>
      </c>
      <c r="M280" t="s">
        <v>159</v>
      </c>
      <c r="N280" s="2" t="s">
        <v>3029</v>
      </c>
      <c r="O280" t="s">
        <v>3030</v>
      </c>
      <c r="P280" t="s">
        <v>26</v>
      </c>
      <c r="Q280">
        <v>83.559199171556784</v>
      </c>
      <c r="R280">
        <f ca="1">YEAR(TODAY())-Table1[[#This Row],[Year Built]]</f>
        <v>29</v>
      </c>
      <c r="S280" t="str">
        <f>IF(Table1[[#This Row],[Days on Market]] &lt; 30,"Fast",IF(Table1[[#This Row],[Days on Market]]&lt;= 90,"Average", "Slow"))</f>
        <v>Average</v>
      </c>
      <c r="T280" t="str">
        <f>IF(Table1[[#This Row],[Price2]]&lt;500000,"Affordable",IF(Table1[[#This Row],[Price2]]&lt;1000000,"Mid range","Luxury"))</f>
        <v>Affordable</v>
      </c>
    </row>
    <row r="281" spans="1:20" x14ac:dyDescent="0.35">
      <c r="A281" s="3">
        <v>242280</v>
      </c>
      <c r="B281" s="2" t="s">
        <v>12</v>
      </c>
      <c r="C281">
        <v>94923</v>
      </c>
      <c r="D281" s="2" t="s">
        <v>29</v>
      </c>
      <c r="E281">
        <v>2</v>
      </c>
      <c r="F281">
        <v>3</v>
      </c>
      <c r="G281" s="4">
        <f>VALUE(SUBSTITUTE(SUBSTITUTE(Table1[[#This Row],[Price]],"$",""),",",""))</f>
        <v>242280</v>
      </c>
      <c r="H281" s="1">
        <f>Table1[[#This Row],[Price2]]/Table1[[#This Row],[Area]]</f>
        <v>68.056179775280896</v>
      </c>
      <c r="I281">
        <v>3560</v>
      </c>
      <c r="J281">
        <v>1972</v>
      </c>
      <c r="K281">
        <v>71</v>
      </c>
      <c r="L281" t="s">
        <v>30</v>
      </c>
      <c r="M281" t="s">
        <v>302</v>
      </c>
      <c r="N281" s="2" t="s">
        <v>3031</v>
      </c>
      <c r="O281" t="s">
        <v>3032</v>
      </c>
      <c r="P281" t="s">
        <v>16</v>
      </c>
      <c r="Q281">
        <v>68.056179775280896</v>
      </c>
      <c r="R281">
        <f ca="1">YEAR(TODAY())-Table1[[#This Row],[Year Built]]</f>
        <v>54</v>
      </c>
      <c r="S281" t="str">
        <f>IF(Table1[[#This Row],[Days on Market]] &lt; 30,"Fast",IF(Table1[[#This Row],[Days on Market]]&lt;= 90,"Average", "Slow"))</f>
        <v>Average</v>
      </c>
      <c r="T281" t="str">
        <f>IF(Table1[[#This Row],[Price2]]&lt;500000,"Affordable",IF(Table1[[#This Row],[Price2]]&lt;1000000,"Mid range","Luxury"))</f>
        <v>Affordable</v>
      </c>
    </row>
    <row r="282" spans="1:20" x14ac:dyDescent="0.35">
      <c r="A282" s="3">
        <v>242635</v>
      </c>
      <c r="B282" s="2" t="s">
        <v>27</v>
      </c>
      <c r="C282">
        <v>67428</v>
      </c>
      <c r="D282" s="2" t="s">
        <v>23</v>
      </c>
      <c r="E282">
        <v>3</v>
      </c>
      <c r="F282">
        <v>1</v>
      </c>
      <c r="G282" s="4">
        <f>VALUE(SUBSTITUTE(SUBSTITUTE(Table1[[#This Row],[Price]],"$",""),",",""))</f>
        <v>242635</v>
      </c>
      <c r="H282" s="1">
        <f>Table1[[#This Row],[Price2]]/Table1[[#This Row],[Area]]</f>
        <v>250.13917525773195</v>
      </c>
      <c r="I282">
        <v>970</v>
      </c>
      <c r="J282">
        <v>1964</v>
      </c>
      <c r="K282">
        <v>7</v>
      </c>
      <c r="L282" t="s">
        <v>52</v>
      </c>
      <c r="M282" t="s">
        <v>1095</v>
      </c>
      <c r="N282" s="2" t="s">
        <v>3027</v>
      </c>
      <c r="O282" t="s">
        <v>3028</v>
      </c>
      <c r="P282" t="s">
        <v>26</v>
      </c>
      <c r="Q282">
        <v>250.13917525773195</v>
      </c>
      <c r="R282">
        <f ca="1">YEAR(TODAY())-Table1[[#This Row],[Year Built]]</f>
        <v>62</v>
      </c>
      <c r="S282" t="str">
        <f>IF(Table1[[#This Row],[Days on Market]] &lt; 30,"Fast",IF(Table1[[#This Row],[Days on Market]]&lt;= 90,"Average", "Slow"))</f>
        <v>Fast</v>
      </c>
      <c r="T282" t="str">
        <f>IF(Table1[[#This Row],[Price2]]&lt;500000,"Affordable",IF(Table1[[#This Row],[Price2]]&lt;1000000,"Mid range","Luxury"))</f>
        <v>Affordable</v>
      </c>
    </row>
    <row r="283" spans="1:20" x14ac:dyDescent="0.35">
      <c r="A283" s="3">
        <v>242973</v>
      </c>
      <c r="B283" s="2" t="s">
        <v>12</v>
      </c>
      <c r="C283">
        <v>50124</v>
      </c>
      <c r="D283" s="2" t="s">
        <v>29</v>
      </c>
      <c r="E283">
        <v>1</v>
      </c>
      <c r="F283">
        <v>1</v>
      </c>
      <c r="G283" s="4">
        <f>VALUE(SUBSTITUTE(SUBSTITUTE(Table1[[#This Row],[Price]],"$",""),",",""))</f>
        <v>242973</v>
      </c>
      <c r="H283" s="1">
        <f>Table1[[#This Row],[Price2]]/Table1[[#This Row],[Area]]</f>
        <v>96.801992031872516</v>
      </c>
      <c r="I283">
        <v>2510</v>
      </c>
      <c r="J283">
        <v>1974</v>
      </c>
      <c r="K283">
        <v>81</v>
      </c>
      <c r="L283" t="s">
        <v>14</v>
      </c>
      <c r="M283" t="s">
        <v>1199</v>
      </c>
      <c r="N283" s="2" t="s">
        <v>3033</v>
      </c>
      <c r="O283" t="s">
        <v>3034</v>
      </c>
      <c r="P283" t="s">
        <v>26</v>
      </c>
      <c r="Q283">
        <v>96.801992031872516</v>
      </c>
      <c r="R283">
        <f ca="1">YEAR(TODAY())-Table1[[#This Row],[Year Built]]</f>
        <v>52</v>
      </c>
      <c r="S283" t="str">
        <f>IF(Table1[[#This Row],[Days on Market]] &lt; 30,"Fast",IF(Table1[[#This Row],[Days on Market]]&lt;= 90,"Average", "Slow"))</f>
        <v>Average</v>
      </c>
      <c r="T283" t="str">
        <f>IF(Table1[[#This Row],[Price2]]&lt;500000,"Affordable",IF(Table1[[#This Row],[Price2]]&lt;1000000,"Mid range","Luxury"))</f>
        <v>Affordable</v>
      </c>
    </row>
    <row r="284" spans="1:20" x14ac:dyDescent="0.35">
      <c r="A284" s="3">
        <v>243343</v>
      </c>
      <c r="B284" s="2" t="s">
        <v>12</v>
      </c>
      <c r="C284">
        <v>81784</v>
      </c>
      <c r="D284" s="2" t="s">
        <v>23</v>
      </c>
      <c r="E284">
        <v>2</v>
      </c>
      <c r="F284">
        <v>2</v>
      </c>
      <c r="G284" s="4">
        <f>VALUE(SUBSTITUTE(SUBSTITUTE(Table1[[#This Row],[Price]],"$",""),",",""))</f>
        <v>243343</v>
      </c>
      <c r="H284" s="1">
        <f>Table1[[#This Row],[Price2]]/Table1[[#This Row],[Area]]</f>
        <v>61.481303688731685</v>
      </c>
      <c r="I284">
        <v>3958</v>
      </c>
      <c r="J284">
        <v>2012</v>
      </c>
      <c r="K284">
        <v>116</v>
      </c>
      <c r="L284" t="s">
        <v>40</v>
      </c>
      <c r="M284" t="s">
        <v>640</v>
      </c>
      <c r="N284" s="2" t="s">
        <v>3027</v>
      </c>
      <c r="O284" t="s">
        <v>3028</v>
      </c>
      <c r="P284" t="s">
        <v>21</v>
      </c>
      <c r="Q284">
        <v>61.481303688731685</v>
      </c>
      <c r="R284">
        <f ca="1">YEAR(TODAY())-Table1[[#This Row],[Year Built]]</f>
        <v>14</v>
      </c>
      <c r="S284" t="str">
        <f>IF(Table1[[#This Row],[Days on Market]] &lt; 30,"Fast",IF(Table1[[#This Row],[Days on Market]]&lt;= 90,"Average", "Slow"))</f>
        <v>Slow</v>
      </c>
      <c r="T284" t="str">
        <f>IF(Table1[[#This Row],[Price2]]&lt;500000,"Affordable",IF(Table1[[#This Row],[Price2]]&lt;1000000,"Mid range","Luxury"))</f>
        <v>Affordable</v>
      </c>
    </row>
    <row r="285" spans="1:20" x14ac:dyDescent="0.35">
      <c r="A285" s="3">
        <v>243386</v>
      </c>
      <c r="B285" s="2" t="s">
        <v>34</v>
      </c>
      <c r="C285">
        <v>96680</v>
      </c>
      <c r="D285" s="2" t="s">
        <v>29</v>
      </c>
      <c r="E285">
        <v>5</v>
      </c>
      <c r="F285">
        <v>3</v>
      </c>
      <c r="G285" s="4">
        <f>VALUE(SUBSTITUTE(SUBSTITUTE(Table1[[#This Row],[Price]],"$",""),",",""))</f>
        <v>243386</v>
      </c>
      <c r="H285" s="1">
        <f>Table1[[#This Row],[Price2]]/Table1[[#This Row],[Area]]</f>
        <v>149.86822660098522</v>
      </c>
      <c r="I285">
        <v>1624</v>
      </c>
      <c r="J285">
        <v>1985</v>
      </c>
      <c r="K285">
        <v>20</v>
      </c>
      <c r="L285" t="s">
        <v>52</v>
      </c>
      <c r="M285" t="s">
        <v>2834</v>
      </c>
      <c r="N285" s="2" t="s">
        <v>3027</v>
      </c>
      <c r="O285" t="s">
        <v>3028</v>
      </c>
      <c r="P285" t="s">
        <v>26</v>
      </c>
      <c r="Q285">
        <v>149.86822660098522</v>
      </c>
      <c r="R285">
        <f ca="1">YEAR(TODAY())-Table1[[#This Row],[Year Built]]</f>
        <v>41</v>
      </c>
      <c r="S285" t="str">
        <f>IF(Table1[[#This Row],[Days on Market]] &lt; 30,"Fast",IF(Table1[[#This Row],[Days on Market]]&lt;= 90,"Average", "Slow"))</f>
        <v>Fast</v>
      </c>
      <c r="T285" t="str">
        <f>IF(Table1[[#This Row],[Price2]]&lt;500000,"Affordable",IF(Table1[[#This Row],[Price2]]&lt;1000000,"Mid range","Luxury"))</f>
        <v>Affordable</v>
      </c>
    </row>
    <row r="286" spans="1:20" x14ac:dyDescent="0.35">
      <c r="A286" s="3">
        <v>243533</v>
      </c>
      <c r="B286" s="2" t="s">
        <v>12</v>
      </c>
      <c r="C286">
        <v>75218</v>
      </c>
      <c r="D286" s="2" t="s">
        <v>29</v>
      </c>
      <c r="E286">
        <v>4</v>
      </c>
      <c r="F286">
        <v>3</v>
      </c>
      <c r="G286" s="4">
        <f>VALUE(SUBSTITUTE(SUBSTITUTE(Table1[[#This Row],[Price]],"$",""),",",""))</f>
        <v>243533</v>
      </c>
      <c r="H286" s="1">
        <f>Table1[[#This Row],[Price2]]/Table1[[#This Row],[Area]]</f>
        <v>90.130643967431538</v>
      </c>
      <c r="I286">
        <v>2702</v>
      </c>
      <c r="J286">
        <v>1969</v>
      </c>
      <c r="K286">
        <v>79</v>
      </c>
      <c r="L286" t="s">
        <v>40</v>
      </c>
      <c r="M286" t="s">
        <v>227</v>
      </c>
      <c r="N286" s="2" t="s">
        <v>3033</v>
      </c>
      <c r="O286" t="s">
        <v>3034</v>
      </c>
      <c r="P286" t="s">
        <v>21</v>
      </c>
      <c r="Q286">
        <v>90.130643967431538</v>
      </c>
      <c r="R286">
        <f ca="1">YEAR(TODAY())-Table1[[#This Row],[Year Built]]</f>
        <v>57</v>
      </c>
      <c r="S286" t="str">
        <f>IF(Table1[[#This Row],[Days on Market]] &lt; 30,"Fast",IF(Table1[[#This Row],[Days on Market]]&lt;= 90,"Average", "Slow"))</f>
        <v>Average</v>
      </c>
      <c r="T286" t="str">
        <f>IF(Table1[[#This Row],[Price2]]&lt;500000,"Affordable",IF(Table1[[#This Row],[Price2]]&lt;1000000,"Mid range","Luxury"))</f>
        <v>Affordable</v>
      </c>
    </row>
    <row r="287" spans="1:20" x14ac:dyDescent="0.35">
      <c r="A287" s="3">
        <v>244460</v>
      </c>
      <c r="B287" s="2" t="s">
        <v>12</v>
      </c>
      <c r="C287">
        <v>24019</v>
      </c>
      <c r="D287" s="2" t="s">
        <v>13</v>
      </c>
      <c r="E287">
        <v>2</v>
      </c>
      <c r="F287">
        <v>4</v>
      </c>
      <c r="G287" s="4">
        <f>VALUE(SUBSTITUTE(SUBSTITUTE(Table1[[#This Row],[Price]],"$",""),",",""))</f>
        <v>244460</v>
      </c>
      <c r="H287" s="1">
        <f>Table1[[#This Row],[Price2]]/Table1[[#This Row],[Area]]</f>
        <v>70.005727376861401</v>
      </c>
      <c r="I287">
        <v>3492</v>
      </c>
      <c r="J287">
        <v>2013</v>
      </c>
      <c r="K287">
        <v>95</v>
      </c>
      <c r="L287" t="s">
        <v>14</v>
      </c>
      <c r="M287" t="s">
        <v>2739</v>
      </c>
      <c r="N287" s="2" t="s">
        <v>3031</v>
      </c>
      <c r="O287" t="s">
        <v>3032</v>
      </c>
      <c r="P287" t="s">
        <v>16</v>
      </c>
      <c r="Q287">
        <v>70.005727376861401</v>
      </c>
      <c r="R287">
        <f ca="1">YEAR(TODAY())-Table1[[#This Row],[Year Built]]</f>
        <v>13</v>
      </c>
      <c r="S287" t="str">
        <f>IF(Table1[[#This Row],[Days on Market]] &lt; 30,"Fast",IF(Table1[[#This Row],[Days on Market]]&lt;= 90,"Average", "Slow"))</f>
        <v>Slow</v>
      </c>
      <c r="T287" t="str">
        <f>IF(Table1[[#This Row],[Price2]]&lt;500000,"Affordable",IF(Table1[[#This Row],[Price2]]&lt;1000000,"Mid range","Luxury"))</f>
        <v>Affordable</v>
      </c>
    </row>
    <row r="288" spans="1:20" x14ac:dyDescent="0.35">
      <c r="A288" s="3">
        <v>244695</v>
      </c>
      <c r="B288" s="2" t="s">
        <v>17</v>
      </c>
      <c r="C288">
        <v>72173</v>
      </c>
      <c r="D288" s="2" t="s">
        <v>23</v>
      </c>
      <c r="E288">
        <v>4</v>
      </c>
      <c r="F288">
        <v>1</v>
      </c>
      <c r="G288" s="4">
        <f>VALUE(SUBSTITUTE(SUBSTITUTE(Table1[[#This Row],[Price]],"$",""),",",""))</f>
        <v>244695</v>
      </c>
      <c r="H288" s="1">
        <f>Table1[[#This Row],[Price2]]/Table1[[#This Row],[Area]]</f>
        <v>78.453029817249117</v>
      </c>
      <c r="I288">
        <v>3119</v>
      </c>
      <c r="J288">
        <v>1969</v>
      </c>
      <c r="K288">
        <v>83</v>
      </c>
      <c r="L288" t="s">
        <v>14</v>
      </c>
      <c r="M288" t="s">
        <v>1011</v>
      </c>
      <c r="N288" s="2" t="s">
        <v>3031</v>
      </c>
      <c r="O288" t="s">
        <v>3032</v>
      </c>
      <c r="P288" t="s">
        <v>16</v>
      </c>
      <c r="Q288">
        <v>78.453029817249117</v>
      </c>
      <c r="R288">
        <f ca="1">YEAR(TODAY())-Table1[[#This Row],[Year Built]]</f>
        <v>57</v>
      </c>
      <c r="S288" t="str">
        <f>IF(Table1[[#This Row],[Days on Market]] &lt; 30,"Fast",IF(Table1[[#This Row],[Days on Market]]&lt;= 90,"Average", "Slow"))</f>
        <v>Average</v>
      </c>
      <c r="T288" t="str">
        <f>IF(Table1[[#This Row],[Price2]]&lt;500000,"Affordable",IF(Table1[[#This Row],[Price2]]&lt;1000000,"Mid range","Luxury"))</f>
        <v>Affordable</v>
      </c>
    </row>
    <row r="289" spans="1:20" x14ac:dyDescent="0.35">
      <c r="A289" s="3">
        <v>245230</v>
      </c>
      <c r="B289" s="2" t="s">
        <v>12</v>
      </c>
      <c r="C289">
        <v>84305</v>
      </c>
      <c r="D289" s="2" t="s">
        <v>35</v>
      </c>
      <c r="E289">
        <v>3</v>
      </c>
      <c r="F289">
        <v>2</v>
      </c>
      <c r="G289" s="4">
        <f>VALUE(SUBSTITUTE(SUBSTITUTE(Table1[[#This Row],[Price]],"$",""),",",""))</f>
        <v>245230</v>
      </c>
      <c r="H289" s="1">
        <f>Table1[[#This Row],[Price2]]/Table1[[#This Row],[Area]]</f>
        <v>77.530825165981668</v>
      </c>
      <c r="I289">
        <v>3163</v>
      </c>
      <c r="J289">
        <v>1989</v>
      </c>
      <c r="K289">
        <v>94</v>
      </c>
      <c r="L289" t="s">
        <v>30</v>
      </c>
      <c r="M289" t="s">
        <v>2143</v>
      </c>
      <c r="N289" s="2" t="s">
        <v>3033</v>
      </c>
      <c r="O289" t="s">
        <v>3034</v>
      </c>
      <c r="P289" t="s">
        <v>16</v>
      </c>
      <c r="Q289">
        <v>77.530825165981668</v>
      </c>
      <c r="R289">
        <f ca="1">YEAR(TODAY())-Table1[[#This Row],[Year Built]]</f>
        <v>37</v>
      </c>
      <c r="S289" t="str">
        <f>IF(Table1[[#This Row],[Days on Market]] &lt; 30,"Fast",IF(Table1[[#This Row],[Days on Market]]&lt;= 90,"Average", "Slow"))</f>
        <v>Slow</v>
      </c>
      <c r="T289" t="str">
        <f>IF(Table1[[#This Row],[Price2]]&lt;500000,"Affordable",IF(Table1[[#This Row],[Price2]]&lt;1000000,"Mid range","Luxury"))</f>
        <v>Affordable</v>
      </c>
    </row>
    <row r="290" spans="1:20" x14ac:dyDescent="0.35">
      <c r="A290" s="3">
        <v>245952</v>
      </c>
      <c r="B290" s="2" t="s">
        <v>34</v>
      </c>
      <c r="C290">
        <v>84319</v>
      </c>
      <c r="D290" s="2" t="s">
        <v>18</v>
      </c>
      <c r="E290">
        <v>3</v>
      </c>
      <c r="F290">
        <v>2</v>
      </c>
      <c r="G290" s="4">
        <f>VALUE(SUBSTITUTE(SUBSTITUTE(Table1[[#This Row],[Price]],"$",""),",",""))</f>
        <v>245952</v>
      </c>
      <c r="H290" s="1">
        <f>Table1[[#This Row],[Price2]]/Table1[[#This Row],[Area]]</f>
        <v>120.21114369501467</v>
      </c>
      <c r="I290">
        <v>2046</v>
      </c>
      <c r="J290">
        <v>1961</v>
      </c>
      <c r="K290">
        <v>24</v>
      </c>
      <c r="L290" t="s">
        <v>30</v>
      </c>
      <c r="M290" t="s">
        <v>858</v>
      </c>
      <c r="N290" s="2" t="s">
        <v>3027</v>
      </c>
      <c r="O290" t="s">
        <v>3028</v>
      </c>
      <c r="P290" t="s">
        <v>26</v>
      </c>
      <c r="Q290">
        <v>120.21114369501467</v>
      </c>
      <c r="R290">
        <f ca="1">YEAR(TODAY())-Table1[[#This Row],[Year Built]]</f>
        <v>65</v>
      </c>
      <c r="S290" t="str">
        <f>IF(Table1[[#This Row],[Days on Market]] &lt; 30,"Fast",IF(Table1[[#This Row],[Days on Market]]&lt;= 90,"Average", "Slow"))</f>
        <v>Fast</v>
      </c>
      <c r="T290" t="str">
        <f>IF(Table1[[#This Row],[Price2]]&lt;500000,"Affordable",IF(Table1[[#This Row],[Price2]]&lt;1000000,"Mid range","Luxury"))</f>
        <v>Affordable</v>
      </c>
    </row>
    <row r="291" spans="1:20" x14ac:dyDescent="0.35">
      <c r="A291" s="3">
        <v>246361</v>
      </c>
      <c r="B291" s="2" t="s">
        <v>12</v>
      </c>
      <c r="C291">
        <v>29956</v>
      </c>
      <c r="D291" s="2" t="s">
        <v>29</v>
      </c>
      <c r="E291">
        <v>6</v>
      </c>
      <c r="F291">
        <v>4</v>
      </c>
      <c r="G291" s="4">
        <f>VALUE(SUBSTITUTE(SUBSTITUTE(Table1[[#This Row],[Price]],"$",""),",",""))</f>
        <v>246361</v>
      </c>
      <c r="H291" s="1">
        <f>Table1[[#This Row],[Price2]]/Table1[[#This Row],[Area]]</f>
        <v>84.197197539302806</v>
      </c>
      <c r="I291">
        <v>2926</v>
      </c>
      <c r="J291">
        <v>1983</v>
      </c>
      <c r="K291">
        <v>61</v>
      </c>
      <c r="L291" t="s">
        <v>40</v>
      </c>
      <c r="M291" t="s">
        <v>1100</v>
      </c>
      <c r="N291" s="2" t="s">
        <v>3031</v>
      </c>
      <c r="O291" t="s">
        <v>3032</v>
      </c>
      <c r="P291" t="s">
        <v>26</v>
      </c>
      <c r="Q291">
        <v>84.197197539302806</v>
      </c>
      <c r="R291">
        <f ca="1">YEAR(TODAY())-Table1[[#This Row],[Year Built]]</f>
        <v>43</v>
      </c>
      <c r="S291" t="str">
        <f>IF(Table1[[#This Row],[Days on Market]] &lt; 30,"Fast",IF(Table1[[#This Row],[Days on Market]]&lt;= 90,"Average", "Slow"))</f>
        <v>Average</v>
      </c>
      <c r="T291" t="str">
        <f>IF(Table1[[#This Row],[Price2]]&lt;500000,"Affordable",IF(Table1[[#This Row],[Price2]]&lt;1000000,"Mid range","Luxury"))</f>
        <v>Affordable</v>
      </c>
    </row>
    <row r="292" spans="1:20" x14ac:dyDescent="0.35">
      <c r="A292" s="3">
        <v>246724</v>
      </c>
      <c r="B292" s="2" t="s">
        <v>22</v>
      </c>
      <c r="C292">
        <v>14174</v>
      </c>
      <c r="D292" s="2" t="s">
        <v>18</v>
      </c>
      <c r="E292">
        <v>3</v>
      </c>
      <c r="F292">
        <v>2</v>
      </c>
      <c r="G292" s="4">
        <f>VALUE(SUBSTITUTE(SUBSTITUTE(Table1[[#This Row],[Price]],"$",""),",",""))</f>
        <v>246724</v>
      </c>
      <c r="H292" s="1">
        <f>Table1[[#This Row],[Price2]]/Table1[[#This Row],[Area]]</f>
        <v>75.798463901689715</v>
      </c>
      <c r="I292">
        <v>3255</v>
      </c>
      <c r="J292">
        <v>1970</v>
      </c>
      <c r="K292">
        <v>95</v>
      </c>
      <c r="L292" t="s">
        <v>52</v>
      </c>
      <c r="M292" t="s">
        <v>278</v>
      </c>
      <c r="N292" s="2" t="s">
        <v>3033</v>
      </c>
      <c r="O292" t="s">
        <v>3034</v>
      </c>
      <c r="P292" t="s">
        <v>16</v>
      </c>
      <c r="Q292">
        <v>75.798463901689715</v>
      </c>
      <c r="R292">
        <f ca="1">YEAR(TODAY())-Table1[[#This Row],[Year Built]]</f>
        <v>56</v>
      </c>
      <c r="S292" t="str">
        <f>IF(Table1[[#This Row],[Days on Market]] &lt; 30,"Fast",IF(Table1[[#This Row],[Days on Market]]&lt;= 90,"Average", "Slow"))</f>
        <v>Slow</v>
      </c>
      <c r="T292" t="str">
        <f>IF(Table1[[#This Row],[Price2]]&lt;500000,"Affordable",IF(Table1[[#This Row],[Price2]]&lt;1000000,"Mid range","Luxury"))</f>
        <v>Affordable</v>
      </c>
    </row>
    <row r="293" spans="1:20" x14ac:dyDescent="0.35">
      <c r="A293" s="3">
        <v>247370</v>
      </c>
      <c r="B293" s="2" t="s">
        <v>17</v>
      </c>
      <c r="C293">
        <v>72560</v>
      </c>
      <c r="D293" s="2" t="s">
        <v>23</v>
      </c>
      <c r="E293">
        <v>2</v>
      </c>
      <c r="F293">
        <v>1</v>
      </c>
      <c r="G293" s="4">
        <f>VALUE(SUBSTITUTE(SUBSTITUTE(Table1[[#This Row],[Price]],"$",""),",",""))</f>
        <v>247370</v>
      </c>
      <c r="H293" s="1">
        <f>Table1[[#This Row],[Price2]]/Table1[[#This Row],[Area]]</f>
        <v>110.97801704800359</v>
      </c>
      <c r="I293">
        <v>2229</v>
      </c>
      <c r="J293">
        <v>1978</v>
      </c>
      <c r="K293">
        <v>18</v>
      </c>
      <c r="L293" t="s">
        <v>19</v>
      </c>
      <c r="M293" t="s">
        <v>1655</v>
      </c>
      <c r="N293" s="2" t="s">
        <v>3029</v>
      </c>
      <c r="O293" t="s">
        <v>3030</v>
      </c>
      <c r="P293" t="s">
        <v>26</v>
      </c>
      <c r="Q293">
        <v>110.97801704800359</v>
      </c>
      <c r="R293">
        <f ca="1">YEAR(TODAY())-Table1[[#This Row],[Year Built]]</f>
        <v>48</v>
      </c>
      <c r="S293" t="str">
        <f>IF(Table1[[#This Row],[Days on Market]] &lt; 30,"Fast",IF(Table1[[#This Row],[Days on Market]]&lt;= 90,"Average", "Slow"))</f>
        <v>Fast</v>
      </c>
      <c r="T293" t="str">
        <f>IF(Table1[[#This Row],[Price2]]&lt;500000,"Affordable",IF(Table1[[#This Row],[Price2]]&lt;1000000,"Mid range","Luxury"))</f>
        <v>Affordable</v>
      </c>
    </row>
    <row r="294" spans="1:20" x14ac:dyDescent="0.35">
      <c r="A294" s="3">
        <v>247619</v>
      </c>
      <c r="B294" s="2" t="s">
        <v>17</v>
      </c>
      <c r="C294">
        <v>95150</v>
      </c>
      <c r="D294" s="2" t="s">
        <v>35</v>
      </c>
      <c r="E294">
        <v>4</v>
      </c>
      <c r="F294">
        <v>1</v>
      </c>
      <c r="G294" s="4">
        <f>VALUE(SUBSTITUTE(SUBSTITUTE(Table1[[#This Row],[Price]],"$",""),",",""))</f>
        <v>247619</v>
      </c>
      <c r="H294" s="1">
        <f>Table1[[#This Row],[Price2]]/Table1[[#This Row],[Area]]</f>
        <v>145.91573364761342</v>
      </c>
      <c r="I294">
        <v>1697</v>
      </c>
      <c r="J294">
        <v>1997</v>
      </c>
      <c r="K294">
        <v>119</v>
      </c>
      <c r="L294" t="s">
        <v>19</v>
      </c>
      <c r="M294" t="s">
        <v>286</v>
      </c>
      <c r="N294" s="2" t="s">
        <v>3035</v>
      </c>
      <c r="O294" t="s">
        <v>3036</v>
      </c>
      <c r="P294" t="s">
        <v>16</v>
      </c>
      <c r="Q294">
        <v>145.91573364761342</v>
      </c>
      <c r="R294">
        <f ca="1">YEAR(TODAY())-Table1[[#This Row],[Year Built]]</f>
        <v>29</v>
      </c>
      <c r="S294" t="str">
        <f>IF(Table1[[#This Row],[Days on Market]] &lt; 30,"Fast",IF(Table1[[#This Row],[Days on Market]]&lt;= 90,"Average", "Slow"))</f>
        <v>Slow</v>
      </c>
      <c r="T294" t="str">
        <f>IF(Table1[[#This Row],[Price2]]&lt;500000,"Affordable",IF(Table1[[#This Row],[Price2]]&lt;1000000,"Mid range","Luxury"))</f>
        <v>Affordable</v>
      </c>
    </row>
    <row r="295" spans="1:20" x14ac:dyDescent="0.35">
      <c r="A295" s="3">
        <v>248621</v>
      </c>
      <c r="B295" s="2" t="s">
        <v>22</v>
      </c>
      <c r="C295">
        <v>48036</v>
      </c>
      <c r="D295" s="2" t="s">
        <v>29</v>
      </c>
      <c r="E295">
        <v>1</v>
      </c>
      <c r="F295">
        <v>3</v>
      </c>
      <c r="G295" s="4">
        <f>VALUE(SUBSTITUTE(SUBSTITUTE(Table1[[#This Row],[Price]],"$",""),",",""))</f>
        <v>248621</v>
      </c>
      <c r="H295" s="1">
        <f>Table1[[#This Row],[Price2]]/Table1[[#This Row],[Area]]</f>
        <v>91.60685335298453</v>
      </c>
      <c r="I295">
        <v>2714</v>
      </c>
      <c r="J295">
        <v>1987</v>
      </c>
      <c r="K295">
        <v>91</v>
      </c>
      <c r="L295" t="s">
        <v>40</v>
      </c>
      <c r="M295" t="s">
        <v>1551</v>
      </c>
      <c r="N295" s="2" t="s">
        <v>3027</v>
      </c>
      <c r="O295" t="s">
        <v>3028</v>
      </c>
      <c r="P295" t="s">
        <v>21</v>
      </c>
      <c r="Q295">
        <v>91.60685335298453</v>
      </c>
      <c r="R295">
        <f ca="1">YEAR(TODAY())-Table1[[#This Row],[Year Built]]</f>
        <v>39</v>
      </c>
      <c r="S295" t="str">
        <f>IF(Table1[[#This Row],[Days on Market]] &lt; 30,"Fast",IF(Table1[[#This Row],[Days on Market]]&lt;= 90,"Average", "Slow"))</f>
        <v>Slow</v>
      </c>
      <c r="T295" t="str">
        <f>IF(Table1[[#This Row],[Price2]]&lt;500000,"Affordable",IF(Table1[[#This Row],[Price2]]&lt;1000000,"Mid range","Luxury"))</f>
        <v>Affordable</v>
      </c>
    </row>
    <row r="296" spans="1:20" x14ac:dyDescent="0.35">
      <c r="A296" s="3">
        <v>248712</v>
      </c>
      <c r="B296" s="2" t="s">
        <v>27</v>
      </c>
      <c r="C296">
        <v>43515</v>
      </c>
      <c r="D296" s="2" t="s">
        <v>23</v>
      </c>
      <c r="E296">
        <v>4</v>
      </c>
      <c r="F296">
        <v>1</v>
      </c>
      <c r="G296" s="4">
        <f>VALUE(SUBSTITUTE(SUBSTITUTE(Table1[[#This Row],[Price]],"$",""),",",""))</f>
        <v>248712</v>
      </c>
      <c r="H296" s="1">
        <f>Table1[[#This Row],[Price2]]/Table1[[#This Row],[Area]]</f>
        <v>275.42857142857144</v>
      </c>
      <c r="I296">
        <v>903</v>
      </c>
      <c r="J296">
        <v>1995</v>
      </c>
      <c r="K296">
        <v>16</v>
      </c>
      <c r="L296" t="s">
        <v>14</v>
      </c>
      <c r="M296" t="s">
        <v>319</v>
      </c>
      <c r="N296" s="2" t="s">
        <v>3033</v>
      </c>
      <c r="O296" t="s">
        <v>3034</v>
      </c>
      <c r="P296" t="s">
        <v>16</v>
      </c>
      <c r="Q296">
        <v>275.42857142857144</v>
      </c>
      <c r="R296">
        <f ca="1">YEAR(TODAY())-Table1[[#This Row],[Year Built]]</f>
        <v>31</v>
      </c>
      <c r="S296" t="str">
        <f>IF(Table1[[#This Row],[Days on Market]] &lt; 30,"Fast",IF(Table1[[#This Row],[Days on Market]]&lt;= 90,"Average", "Slow"))</f>
        <v>Fast</v>
      </c>
      <c r="T296" t="str">
        <f>IF(Table1[[#This Row],[Price2]]&lt;500000,"Affordable",IF(Table1[[#This Row],[Price2]]&lt;1000000,"Mid range","Luxury"))</f>
        <v>Affordable</v>
      </c>
    </row>
    <row r="297" spans="1:20" x14ac:dyDescent="0.35">
      <c r="A297" s="3">
        <v>249161</v>
      </c>
      <c r="B297" s="2" t="s">
        <v>34</v>
      </c>
      <c r="C297">
        <v>44583</v>
      </c>
      <c r="D297" s="2" t="s">
        <v>35</v>
      </c>
      <c r="E297">
        <v>4</v>
      </c>
      <c r="F297">
        <v>4</v>
      </c>
      <c r="G297" s="4">
        <f>VALUE(SUBSTITUTE(SUBSTITUTE(Table1[[#This Row],[Price]],"$",""),",",""))</f>
        <v>249161</v>
      </c>
      <c r="H297" s="1">
        <f>Table1[[#This Row],[Price2]]/Table1[[#This Row],[Area]]</f>
        <v>155.2404984423676</v>
      </c>
      <c r="I297">
        <v>1605</v>
      </c>
      <c r="J297">
        <v>1973</v>
      </c>
      <c r="K297">
        <v>17</v>
      </c>
      <c r="L297" t="s">
        <v>19</v>
      </c>
      <c r="M297" t="s">
        <v>2332</v>
      </c>
      <c r="N297" s="2" t="s">
        <v>3027</v>
      </c>
      <c r="O297" t="s">
        <v>3028</v>
      </c>
      <c r="P297" t="s">
        <v>26</v>
      </c>
      <c r="Q297">
        <v>155.2404984423676</v>
      </c>
      <c r="R297">
        <f ca="1">YEAR(TODAY())-Table1[[#This Row],[Year Built]]</f>
        <v>53</v>
      </c>
      <c r="S297" t="str">
        <f>IF(Table1[[#This Row],[Days on Market]] &lt; 30,"Fast",IF(Table1[[#This Row],[Days on Market]]&lt;= 90,"Average", "Slow"))</f>
        <v>Fast</v>
      </c>
      <c r="T297" t="str">
        <f>IF(Table1[[#This Row],[Price2]]&lt;500000,"Affordable",IF(Table1[[#This Row],[Price2]]&lt;1000000,"Mid range","Luxury"))</f>
        <v>Affordable</v>
      </c>
    </row>
    <row r="298" spans="1:20" x14ac:dyDescent="0.35">
      <c r="A298" s="3">
        <v>249358</v>
      </c>
      <c r="B298" s="2" t="s">
        <v>27</v>
      </c>
      <c r="C298">
        <v>81173</v>
      </c>
      <c r="D298" s="2" t="s">
        <v>13</v>
      </c>
      <c r="E298">
        <v>1</v>
      </c>
      <c r="F298">
        <v>2</v>
      </c>
      <c r="G298" s="4">
        <f>VALUE(SUBSTITUTE(SUBSTITUTE(Table1[[#This Row],[Price]],"$",""),",",""))</f>
        <v>249358</v>
      </c>
      <c r="H298" s="1">
        <f>Table1[[#This Row],[Price2]]/Table1[[#This Row],[Area]]</f>
        <v>141.43959160521837</v>
      </c>
      <c r="I298">
        <v>1763</v>
      </c>
      <c r="J298">
        <v>1953</v>
      </c>
      <c r="K298">
        <v>18</v>
      </c>
      <c r="L298" t="s">
        <v>40</v>
      </c>
      <c r="M298" t="s">
        <v>941</v>
      </c>
      <c r="N298" s="2" t="s">
        <v>3029</v>
      </c>
      <c r="O298" t="s">
        <v>3030</v>
      </c>
      <c r="P298" t="s">
        <v>16</v>
      </c>
      <c r="Q298">
        <v>141.43959160521837</v>
      </c>
      <c r="R298">
        <f ca="1">YEAR(TODAY())-Table1[[#This Row],[Year Built]]</f>
        <v>73</v>
      </c>
      <c r="S298" t="str">
        <f>IF(Table1[[#This Row],[Days on Market]] &lt; 30,"Fast",IF(Table1[[#This Row],[Days on Market]]&lt;= 90,"Average", "Slow"))</f>
        <v>Fast</v>
      </c>
      <c r="T298" t="str">
        <f>IF(Table1[[#This Row],[Price2]]&lt;500000,"Affordable",IF(Table1[[#This Row],[Price2]]&lt;1000000,"Mid range","Luxury"))</f>
        <v>Affordable</v>
      </c>
    </row>
    <row r="299" spans="1:20" x14ac:dyDescent="0.35">
      <c r="A299" s="3">
        <v>249625</v>
      </c>
      <c r="B299" s="2" t="s">
        <v>27</v>
      </c>
      <c r="C299">
        <v>47247</v>
      </c>
      <c r="D299" s="2" t="s">
        <v>23</v>
      </c>
      <c r="E299">
        <v>5</v>
      </c>
      <c r="F299">
        <v>1</v>
      </c>
      <c r="G299" s="4">
        <f>VALUE(SUBSTITUTE(SUBSTITUTE(Table1[[#This Row],[Price]],"$",""),",",""))</f>
        <v>249625</v>
      </c>
      <c r="H299" s="1">
        <f>Table1[[#This Row],[Price2]]/Table1[[#This Row],[Area]]</f>
        <v>176.41342756183747</v>
      </c>
      <c r="I299">
        <v>1415</v>
      </c>
      <c r="J299">
        <v>2000</v>
      </c>
      <c r="K299">
        <v>89</v>
      </c>
      <c r="L299" t="s">
        <v>30</v>
      </c>
      <c r="M299" t="s">
        <v>2423</v>
      </c>
      <c r="N299" s="2" t="s">
        <v>3029</v>
      </c>
      <c r="O299" t="s">
        <v>3030</v>
      </c>
      <c r="P299" t="s">
        <v>21</v>
      </c>
      <c r="Q299">
        <v>176.41342756183747</v>
      </c>
      <c r="R299">
        <f ca="1">YEAR(TODAY())-Table1[[#This Row],[Year Built]]</f>
        <v>26</v>
      </c>
      <c r="S299" t="str">
        <f>IF(Table1[[#This Row],[Days on Market]] &lt; 30,"Fast",IF(Table1[[#This Row],[Days on Market]]&lt;= 90,"Average", "Slow"))</f>
        <v>Average</v>
      </c>
      <c r="T299" t="str">
        <f>IF(Table1[[#This Row],[Price2]]&lt;500000,"Affordable",IF(Table1[[#This Row],[Price2]]&lt;1000000,"Mid range","Luxury"))</f>
        <v>Affordable</v>
      </c>
    </row>
    <row r="300" spans="1:20" x14ac:dyDescent="0.35">
      <c r="A300" s="3">
        <v>249833</v>
      </c>
      <c r="B300" s="2" t="s">
        <v>12</v>
      </c>
      <c r="C300">
        <v>77353</v>
      </c>
      <c r="D300" s="2" t="s">
        <v>13</v>
      </c>
      <c r="E300">
        <v>5</v>
      </c>
      <c r="F300">
        <v>2</v>
      </c>
      <c r="G300" s="4">
        <f>VALUE(SUBSTITUTE(SUBSTITUTE(Table1[[#This Row],[Price]],"$",""),",",""))</f>
        <v>249833</v>
      </c>
      <c r="H300" s="1">
        <f>Table1[[#This Row],[Price2]]/Table1[[#This Row],[Area]]</f>
        <v>256.23897435897436</v>
      </c>
      <c r="I300">
        <v>975</v>
      </c>
      <c r="J300">
        <v>1977</v>
      </c>
      <c r="K300">
        <v>43</v>
      </c>
      <c r="L300" t="s">
        <v>19</v>
      </c>
      <c r="M300" t="s">
        <v>321</v>
      </c>
      <c r="N300" s="2" t="s">
        <v>3031</v>
      </c>
      <c r="O300" t="s">
        <v>3032</v>
      </c>
      <c r="P300" t="s">
        <v>16</v>
      </c>
      <c r="Q300">
        <v>256.23897435897436</v>
      </c>
      <c r="R300">
        <f ca="1">YEAR(TODAY())-Table1[[#This Row],[Year Built]]</f>
        <v>49</v>
      </c>
      <c r="S300" t="str">
        <f>IF(Table1[[#This Row],[Days on Market]] &lt; 30,"Fast",IF(Table1[[#This Row],[Days on Market]]&lt;= 90,"Average", "Slow"))</f>
        <v>Average</v>
      </c>
      <c r="T300" t="str">
        <f>IF(Table1[[#This Row],[Price2]]&lt;500000,"Affordable",IF(Table1[[#This Row],[Price2]]&lt;1000000,"Mid range","Luxury"))</f>
        <v>Affordable</v>
      </c>
    </row>
    <row r="301" spans="1:20" x14ac:dyDescent="0.35">
      <c r="A301" s="3">
        <v>249975</v>
      </c>
      <c r="B301" s="2" t="s">
        <v>17</v>
      </c>
      <c r="C301">
        <v>21440</v>
      </c>
      <c r="D301" s="2" t="s">
        <v>23</v>
      </c>
      <c r="E301">
        <v>5</v>
      </c>
      <c r="F301">
        <v>1</v>
      </c>
      <c r="G301" s="4">
        <f>VALUE(SUBSTITUTE(SUBSTITUTE(Table1[[#This Row],[Price]],"$",""),",",""))</f>
        <v>249975</v>
      </c>
      <c r="H301" s="1">
        <f>Table1[[#This Row],[Price2]]/Table1[[#This Row],[Area]]</f>
        <v>95.228571428571428</v>
      </c>
      <c r="I301">
        <v>2625</v>
      </c>
      <c r="J301">
        <v>1968</v>
      </c>
      <c r="K301">
        <v>96</v>
      </c>
      <c r="L301" t="s">
        <v>14</v>
      </c>
      <c r="M301" t="s">
        <v>104</v>
      </c>
      <c r="N301" s="2" t="s">
        <v>3029</v>
      </c>
      <c r="O301" t="s">
        <v>3030</v>
      </c>
      <c r="P301" t="s">
        <v>21</v>
      </c>
      <c r="Q301">
        <v>95.228571428571428</v>
      </c>
      <c r="R301">
        <f ca="1">YEAR(TODAY())-Table1[[#This Row],[Year Built]]</f>
        <v>58</v>
      </c>
      <c r="S301" t="str">
        <f>IF(Table1[[#This Row],[Days on Market]] &lt; 30,"Fast",IF(Table1[[#This Row],[Days on Market]]&lt;= 90,"Average", "Slow"))</f>
        <v>Slow</v>
      </c>
      <c r="T301" t="str">
        <f>IF(Table1[[#This Row],[Price2]]&lt;500000,"Affordable",IF(Table1[[#This Row],[Price2]]&lt;1000000,"Mid range","Luxury"))</f>
        <v>Affordable</v>
      </c>
    </row>
    <row r="302" spans="1:20" x14ac:dyDescent="0.35">
      <c r="A302" s="3">
        <v>250343</v>
      </c>
      <c r="B302" s="2" t="s">
        <v>34</v>
      </c>
      <c r="C302">
        <v>59168</v>
      </c>
      <c r="D302" s="2" t="s">
        <v>13</v>
      </c>
      <c r="E302">
        <v>5</v>
      </c>
      <c r="F302">
        <v>2</v>
      </c>
      <c r="G302" s="4">
        <f>VALUE(SUBSTITUTE(SUBSTITUTE(Table1[[#This Row],[Price]],"$",""),",",""))</f>
        <v>250343</v>
      </c>
      <c r="H302" s="1">
        <f>Table1[[#This Row],[Price2]]/Table1[[#This Row],[Area]]</f>
        <v>132.73753976670201</v>
      </c>
      <c r="I302">
        <v>1886</v>
      </c>
      <c r="J302">
        <v>2004</v>
      </c>
      <c r="K302">
        <v>32</v>
      </c>
      <c r="L302" t="s">
        <v>40</v>
      </c>
      <c r="M302" t="s">
        <v>1821</v>
      </c>
      <c r="N302" s="2" t="s">
        <v>3029</v>
      </c>
      <c r="O302" t="s">
        <v>3030</v>
      </c>
      <c r="P302" t="s">
        <v>26</v>
      </c>
      <c r="Q302">
        <v>132.73753976670201</v>
      </c>
      <c r="R302">
        <f ca="1">YEAR(TODAY())-Table1[[#This Row],[Year Built]]</f>
        <v>22</v>
      </c>
      <c r="S302" t="str">
        <f>IF(Table1[[#This Row],[Days on Market]] &lt; 30,"Fast",IF(Table1[[#This Row],[Days on Market]]&lt;= 90,"Average", "Slow"))</f>
        <v>Average</v>
      </c>
      <c r="T302" t="str">
        <f>IF(Table1[[#This Row],[Price2]]&lt;500000,"Affordable",IF(Table1[[#This Row],[Price2]]&lt;1000000,"Mid range","Luxury"))</f>
        <v>Affordable</v>
      </c>
    </row>
    <row r="303" spans="1:20" x14ac:dyDescent="0.35">
      <c r="A303" s="3">
        <v>251432</v>
      </c>
      <c r="B303" s="2" t="s">
        <v>12</v>
      </c>
      <c r="C303">
        <v>42031</v>
      </c>
      <c r="D303" s="2" t="s">
        <v>13</v>
      </c>
      <c r="E303">
        <v>6</v>
      </c>
      <c r="F303">
        <v>1</v>
      </c>
      <c r="G303" s="4">
        <f>VALUE(SUBSTITUTE(SUBSTITUTE(Table1[[#This Row],[Price]],"$",""),",",""))</f>
        <v>251432</v>
      </c>
      <c r="H303" s="1">
        <f>Table1[[#This Row],[Price2]]/Table1[[#This Row],[Area]]</f>
        <v>117.71161048689139</v>
      </c>
      <c r="I303">
        <v>2136</v>
      </c>
      <c r="J303">
        <v>2014</v>
      </c>
      <c r="K303">
        <v>66</v>
      </c>
      <c r="L303" t="s">
        <v>19</v>
      </c>
      <c r="M303" t="s">
        <v>2476</v>
      </c>
      <c r="N303" s="2" t="s">
        <v>3035</v>
      </c>
      <c r="O303" t="s">
        <v>3036</v>
      </c>
      <c r="P303" t="s">
        <v>21</v>
      </c>
      <c r="Q303">
        <v>117.71161048689139</v>
      </c>
      <c r="R303">
        <f ca="1">YEAR(TODAY())-Table1[[#This Row],[Year Built]]</f>
        <v>12</v>
      </c>
      <c r="S303" t="str">
        <f>IF(Table1[[#This Row],[Days on Market]] &lt; 30,"Fast",IF(Table1[[#This Row],[Days on Market]]&lt;= 90,"Average", "Slow"))</f>
        <v>Average</v>
      </c>
      <c r="T303" t="str">
        <f>IF(Table1[[#This Row],[Price2]]&lt;500000,"Affordable",IF(Table1[[#This Row],[Price2]]&lt;1000000,"Mid range","Luxury"))</f>
        <v>Affordable</v>
      </c>
    </row>
    <row r="304" spans="1:20" x14ac:dyDescent="0.35">
      <c r="A304" s="3">
        <v>253568</v>
      </c>
      <c r="B304" s="2" t="s">
        <v>34</v>
      </c>
      <c r="C304">
        <v>70025</v>
      </c>
      <c r="D304" s="2" t="s">
        <v>18</v>
      </c>
      <c r="E304">
        <v>5</v>
      </c>
      <c r="F304">
        <v>3</v>
      </c>
      <c r="G304" s="4">
        <f>VALUE(SUBSTITUTE(SUBSTITUTE(Table1[[#This Row],[Price]],"$",""),",",""))</f>
        <v>253568</v>
      </c>
      <c r="H304" s="1">
        <f>Table1[[#This Row],[Price2]]/Table1[[#This Row],[Area]]</f>
        <v>68.736242884250473</v>
      </c>
      <c r="I304">
        <v>3689</v>
      </c>
      <c r="J304">
        <v>1951</v>
      </c>
      <c r="K304">
        <v>9</v>
      </c>
      <c r="L304" t="s">
        <v>19</v>
      </c>
      <c r="M304" t="s">
        <v>1608</v>
      </c>
      <c r="N304" s="2" t="s">
        <v>3029</v>
      </c>
      <c r="O304" t="s">
        <v>3030</v>
      </c>
      <c r="P304" t="s">
        <v>26</v>
      </c>
      <c r="Q304">
        <v>68.736242884250473</v>
      </c>
      <c r="R304">
        <f ca="1">YEAR(TODAY())-Table1[[#This Row],[Year Built]]</f>
        <v>75</v>
      </c>
      <c r="S304" t="str">
        <f>IF(Table1[[#This Row],[Days on Market]] &lt; 30,"Fast",IF(Table1[[#This Row],[Days on Market]]&lt;= 90,"Average", "Slow"))</f>
        <v>Fast</v>
      </c>
      <c r="T304" t="str">
        <f>IF(Table1[[#This Row],[Price2]]&lt;500000,"Affordable",IF(Table1[[#This Row],[Price2]]&lt;1000000,"Mid range","Luxury"))</f>
        <v>Affordable</v>
      </c>
    </row>
    <row r="305" spans="1:20" x14ac:dyDescent="0.35">
      <c r="A305" s="3">
        <v>254470</v>
      </c>
      <c r="B305" s="2" t="s">
        <v>12</v>
      </c>
      <c r="C305">
        <v>60875</v>
      </c>
      <c r="D305" s="2" t="s">
        <v>13</v>
      </c>
      <c r="E305">
        <v>3</v>
      </c>
      <c r="F305">
        <v>2</v>
      </c>
      <c r="G305" s="4">
        <f>VALUE(SUBSTITUTE(SUBSTITUTE(Table1[[#This Row],[Price]],"$",""),",",""))</f>
        <v>254470</v>
      </c>
      <c r="H305" s="1">
        <f>Table1[[#This Row],[Price2]]/Table1[[#This Row],[Area]]</f>
        <v>110.97688617531618</v>
      </c>
      <c r="I305">
        <v>2293</v>
      </c>
      <c r="J305">
        <v>1993</v>
      </c>
      <c r="K305">
        <v>4</v>
      </c>
      <c r="L305" t="s">
        <v>40</v>
      </c>
      <c r="M305" t="s">
        <v>2155</v>
      </c>
      <c r="N305" s="2" t="s">
        <v>3031</v>
      </c>
      <c r="O305" t="s">
        <v>3032</v>
      </c>
      <c r="P305" t="s">
        <v>16</v>
      </c>
      <c r="Q305">
        <v>110.97688617531618</v>
      </c>
      <c r="R305">
        <f ca="1">YEAR(TODAY())-Table1[[#This Row],[Year Built]]</f>
        <v>33</v>
      </c>
      <c r="S305" t="str">
        <f>IF(Table1[[#This Row],[Days on Market]] &lt; 30,"Fast",IF(Table1[[#This Row],[Days on Market]]&lt;= 90,"Average", "Slow"))</f>
        <v>Fast</v>
      </c>
      <c r="T305" t="str">
        <f>IF(Table1[[#This Row],[Price2]]&lt;500000,"Affordable",IF(Table1[[#This Row],[Price2]]&lt;1000000,"Mid range","Luxury"))</f>
        <v>Affordable</v>
      </c>
    </row>
    <row r="306" spans="1:20" x14ac:dyDescent="0.35">
      <c r="A306" s="3">
        <v>254946</v>
      </c>
      <c r="B306" s="2" t="s">
        <v>22</v>
      </c>
      <c r="C306">
        <v>25867</v>
      </c>
      <c r="D306" s="2" t="s">
        <v>35</v>
      </c>
      <c r="E306">
        <v>5</v>
      </c>
      <c r="F306">
        <v>1</v>
      </c>
      <c r="G306" s="4">
        <f>VALUE(SUBSTITUTE(SUBSTITUTE(Table1[[#This Row],[Price]],"$",""),",",""))</f>
        <v>254946</v>
      </c>
      <c r="H306" s="1">
        <f>Table1[[#This Row],[Price2]]/Table1[[#This Row],[Area]]</f>
        <v>88.831358885017423</v>
      </c>
      <c r="I306">
        <v>2870</v>
      </c>
      <c r="J306">
        <v>2008</v>
      </c>
      <c r="K306">
        <v>118</v>
      </c>
      <c r="L306" t="s">
        <v>52</v>
      </c>
      <c r="M306" t="s">
        <v>1920</v>
      </c>
      <c r="N306" s="2" t="s">
        <v>3035</v>
      </c>
      <c r="O306" t="s">
        <v>3036</v>
      </c>
      <c r="P306" t="s">
        <v>16</v>
      </c>
      <c r="Q306">
        <v>88.831358885017423</v>
      </c>
      <c r="R306">
        <f ca="1">YEAR(TODAY())-Table1[[#This Row],[Year Built]]</f>
        <v>18</v>
      </c>
      <c r="S306" t="str">
        <f>IF(Table1[[#This Row],[Days on Market]] &lt; 30,"Fast",IF(Table1[[#This Row],[Days on Market]]&lt;= 90,"Average", "Slow"))</f>
        <v>Slow</v>
      </c>
      <c r="T306" t="str">
        <f>IF(Table1[[#This Row],[Price2]]&lt;500000,"Affordable",IF(Table1[[#This Row],[Price2]]&lt;1000000,"Mid range","Luxury"))</f>
        <v>Affordable</v>
      </c>
    </row>
    <row r="307" spans="1:20" x14ac:dyDescent="0.35">
      <c r="A307" s="3">
        <v>255138</v>
      </c>
      <c r="B307" s="2" t="s">
        <v>12</v>
      </c>
      <c r="C307">
        <v>57088</v>
      </c>
      <c r="D307" s="2" t="s">
        <v>35</v>
      </c>
      <c r="E307">
        <v>4</v>
      </c>
      <c r="F307">
        <v>4</v>
      </c>
      <c r="G307" s="4">
        <f>VALUE(SUBSTITUTE(SUBSTITUTE(Table1[[#This Row],[Price]],"$",""),",",""))</f>
        <v>255138</v>
      </c>
      <c r="H307" s="1">
        <f>Table1[[#This Row],[Price2]]/Table1[[#This Row],[Area]]</f>
        <v>68.881749460043196</v>
      </c>
      <c r="I307">
        <v>3704</v>
      </c>
      <c r="J307">
        <v>1960</v>
      </c>
      <c r="K307">
        <v>84</v>
      </c>
      <c r="L307" t="s">
        <v>40</v>
      </c>
      <c r="M307" t="s">
        <v>70</v>
      </c>
      <c r="N307" s="2" t="s">
        <v>3035</v>
      </c>
      <c r="O307" t="s">
        <v>3036</v>
      </c>
      <c r="P307" t="s">
        <v>16</v>
      </c>
      <c r="Q307">
        <v>68.881749460043196</v>
      </c>
      <c r="R307">
        <f ca="1">YEAR(TODAY())-Table1[[#This Row],[Year Built]]</f>
        <v>66</v>
      </c>
      <c r="S307" t="str">
        <f>IF(Table1[[#This Row],[Days on Market]] &lt; 30,"Fast",IF(Table1[[#This Row],[Days on Market]]&lt;= 90,"Average", "Slow"))</f>
        <v>Average</v>
      </c>
      <c r="T307" t="str">
        <f>IF(Table1[[#This Row],[Price2]]&lt;500000,"Affordable",IF(Table1[[#This Row],[Price2]]&lt;1000000,"Mid range","Luxury"))</f>
        <v>Affordable</v>
      </c>
    </row>
    <row r="308" spans="1:20" x14ac:dyDescent="0.35">
      <c r="A308" s="3">
        <v>256040</v>
      </c>
      <c r="B308" s="2" t="s">
        <v>12</v>
      </c>
      <c r="C308">
        <v>79772</v>
      </c>
      <c r="D308" s="2" t="s">
        <v>13</v>
      </c>
      <c r="E308">
        <v>2</v>
      </c>
      <c r="F308">
        <v>4</v>
      </c>
      <c r="G308" s="4">
        <f>VALUE(SUBSTITUTE(SUBSTITUTE(Table1[[#This Row],[Price]],"$",""),",",""))</f>
        <v>256040</v>
      </c>
      <c r="H308" s="1">
        <f>Table1[[#This Row],[Price2]]/Table1[[#This Row],[Area]]</f>
        <v>84.251398486344186</v>
      </c>
      <c r="I308">
        <v>3039</v>
      </c>
      <c r="J308">
        <v>1981</v>
      </c>
      <c r="K308">
        <v>109</v>
      </c>
      <c r="L308" t="s">
        <v>19</v>
      </c>
      <c r="M308" t="s">
        <v>2343</v>
      </c>
      <c r="N308" s="2" t="s">
        <v>3033</v>
      </c>
      <c r="O308" t="s">
        <v>3034</v>
      </c>
      <c r="P308" t="s">
        <v>26</v>
      </c>
      <c r="Q308">
        <v>84.251398486344186</v>
      </c>
      <c r="R308">
        <f ca="1">YEAR(TODAY())-Table1[[#This Row],[Year Built]]</f>
        <v>45</v>
      </c>
      <c r="S308" t="str">
        <f>IF(Table1[[#This Row],[Days on Market]] &lt; 30,"Fast",IF(Table1[[#This Row],[Days on Market]]&lt;= 90,"Average", "Slow"))</f>
        <v>Slow</v>
      </c>
      <c r="T308" t="str">
        <f>IF(Table1[[#This Row],[Price2]]&lt;500000,"Affordable",IF(Table1[[#This Row],[Price2]]&lt;1000000,"Mid range","Luxury"))</f>
        <v>Affordable</v>
      </c>
    </row>
    <row r="309" spans="1:20" x14ac:dyDescent="0.35">
      <c r="A309" s="3">
        <v>256879</v>
      </c>
      <c r="B309" s="2" t="s">
        <v>17</v>
      </c>
      <c r="C309">
        <v>25830</v>
      </c>
      <c r="D309" s="2" t="s">
        <v>35</v>
      </c>
      <c r="E309">
        <v>5</v>
      </c>
      <c r="F309">
        <v>4</v>
      </c>
      <c r="G309" s="4">
        <f>VALUE(SUBSTITUTE(SUBSTITUTE(Table1[[#This Row],[Price]],"$",""),",",""))</f>
        <v>256879</v>
      </c>
      <c r="H309" s="1">
        <f>Table1[[#This Row],[Price2]]/Table1[[#This Row],[Area]]</f>
        <v>67.975390314898121</v>
      </c>
      <c r="I309">
        <v>3779</v>
      </c>
      <c r="J309">
        <v>1977</v>
      </c>
      <c r="K309">
        <v>22</v>
      </c>
      <c r="L309" t="s">
        <v>30</v>
      </c>
      <c r="M309" t="s">
        <v>1168</v>
      </c>
      <c r="N309" s="2" t="s">
        <v>3033</v>
      </c>
      <c r="O309" t="s">
        <v>3034</v>
      </c>
      <c r="P309" t="s">
        <v>16</v>
      </c>
      <c r="Q309">
        <v>67.975390314898121</v>
      </c>
      <c r="R309">
        <f ca="1">YEAR(TODAY())-Table1[[#This Row],[Year Built]]</f>
        <v>49</v>
      </c>
      <c r="S309" t="str">
        <f>IF(Table1[[#This Row],[Days on Market]] &lt; 30,"Fast",IF(Table1[[#This Row],[Days on Market]]&lt;= 90,"Average", "Slow"))</f>
        <v>Fast</v>
      </c>
      <c r="T309" t="str">
        <f>IF(Table1[[#This Row],[Price2]]&lt;500000,"Affordable",IF(Table1[[#This Row],[Price2]]&lt;1000000,"Mid range","Luxury"))</f>
        <v>Affordable</v>
      </c>
    </row>
    <row r="310" spans="1:20" x14ac:dyDescent="0.35">
      <c r="A310" s="3">
        <v>257758</v>
      </c>
      <c r="B310" s="2" t="s">
        <v>12</v>
      </c>
      <c r="C310">
        <v>26675</v>
      </c>
      <c r="D310" s="2" t="s">
        <v>23</v>
      </c>
      <c r="E310">
        <v>3</v>
      </c>
      <c r="F310">
        <v>1</v>
      </c>
      <c r="G310" s="4">
        <f>VALUE(SUBSTITUTE(SUBSTITUTE(Table1[[#This Row],[Price]],"$",""),",",""))</f>
        <v>257758</v>
      </c>
      <c r="H310" s="1">
        <f>Table1[[#This Row],[Price2]]/Table1[[#This Row],[Area]]</f>
        <v>95.46592592592593</v>
      </c>
      <c r="I310">
        <v>2700</v>
      </c>
      <c r="J310">
        <v>1989</v>
      </c>
      <c r="K310">
        <v>44</v>
      </c>
      <c r="L310" t="s">
        <v>40</v>
      </c>
      <c r="M310" t="s">
        <v>298</v>
      </c>
      <c r="N310" s="2" t="s">
        <v>3029</v>
      </c>
      <c r="O310" t="s">
        <v>3030</v>
      </c>
      <c r="P310" t="s">
        <v>21</v>
      </c>
      <c r="Q310">
        <v>95.46592592592593</v>
      </c>
      <c r="R310">
        <f ca="1">YEAR(TODAY())-Table1[[#This Row],[Year Built]]</f>
        <v>37</v>
      </c>
      <c r="S310" t="str">
        <f>IF(Table1[[#This Row],[Days on Market]] &lt; 30,"Fast",IF(Table1[[#This Row],[Days on Market]]&lt;= 90,"Average", "Slow"))</f>
        <v>Average</v>
      </c>
      <c r="T310" t="str">
        <f>IF(Table1[[#This Row],[Price2]]&lt;500000,"Affordable",IF(Table1[[#This Row],[Price2]]&lt;1000000,"Mid range","Luxury"))</f>
        <v>Affordable</v>
      </c>
    </row>
    <row r="311" spans="1:20" x14ac:dyDescent="0.35">
      <c r="A311" s="3">
        <v>257927</v>
      </c>
      <c r="B311" s="2" t="s">
        <v>12</v>
      </c>
      <c r="C311">
        <v>29937</v>
      </c>
      <c r="D311" s="2" t="s">
        <v>29</v>
      </c>
      <c r="E311">
        <v>6</v>
      </c>
      <c r="F311">
        <v>2</v>
      </c>
      <c r="G311" s="4">
        <f>VALUE(SUBSTITUTE(SUBSTITUTE(Table1[[#This Row],[Price]],"$",""),",",""))</f>
        <v>257927</v>
      </c>
      <c r="H311" s="1">
        <f>Table1[[#This Row],[Price2]]/Table1[[#This Row],[Area]]</f>
        <v>67.081144343302995</v>
      </c>
      <c r="I311">
        <v>3845</v>
      </c>
      <c r="J311">
        <v>2019</v>
      </c>
      <c r="K311">
        <v>108</v>
      </c>
      <c r="L311" t="s">
        <v>19</v>
      </c>
      <c r="M311" t="s">
        <v>212</v>
      </c>
      <c r="N311" s="2" t="s">
        <v>3031</v>
      </c>
      <c r="O311" t="s">
        <v>3032</v>
      </c>
      <c r="P311" t="s">
        <v>16</v>
      </c>
      <c r="Q311">
        <v>67.081144343302995</v>
      </c>
      <c r="R311">
        <f ca="1">YEAR(TODAY())-Table1[[#This Row],[Year Built]]</f>
        <v>7</v>
      </c>
      <c r="S311" t="str">
        <f>IF(Table1[[#This Row],[Days on Market]] &lt; 30,"Fast",IF(Table1[[#This Row],[Days on Market]]&lt;= 90,"Average", "Slow"))</f>
        <v>Slow</v>
      </c>
      <c r="T311" t="str">
        <f>IF(Table1[[#This Row],[Price2]]&lt;500000,"Affordable",IF(Table1[[#This Row],[Price2]]&lt;1000000,"Mid range","Luxury"))</f>
        <v>Affordable</v>
      </c>
    </row>
    <row r="312" spans="1:20" x14ac:dyDescent="0.35">
      <c r="A312" s="3">
        <v>258025</v>
      </c>
      <c r="B312" s="2" t="s">
        <v>22</v>
      </c>
      <c r="C312">
        <v>11097</v>
      </c>
      <c r="D312" s="2" t="s">
        <v>23</v>
      </c>
      <c r="E312">
        <v>2</v>
      </c>
      <c r="F312">
        <v>2</v>
      </c>
      <c r="G312" s="4">
        <f>VALUE(SUBSTITUTE(SUBSTITUTE(Table1[[#This Row],[Price]],"$",""),",",""))</f>
        <v>258025</v>
      </c>
      <c r="H312" s="1">
        <f>Table1[[#This Row],[Price2]]/Table1[[#This Row],[Area]]</f>
        <v>88.063139931740608</v>
      </c>
      <c r="I312">
        <v>2930</v>
      </c>
      <c r="J312">
        <v>1993</v>
      </c>
      <c r="K312">
        <v>8</v>
      </c>
      <c r="L312" t="s">
        <v>30</v>
      </c>
      <c r="M312" t="s">
        <v>115</v>
      </c>
      <c r="N312" s="2" t="s">
        <v>3031</v>
      </c>
      <c r="O312" t="s">
        <v>3032</v>
      </c>
      <c r="P312" t="s">
        <v>21</v>
      </c>
      <c r="Q312">
        <v>88.063139931740608</v>
      </c>
      <c r="R312">
        <f ca="1">YEAR(TODAY())-Table1[[#This Row],[Year Built]]</f>
        <v>33</v>
      </c>
      <c r="S312" t="str">
        <f>IF(Table1[[#This Row],[Days on Market]] &lt; 30,"Fast",IF(Table1[[#This Row],[Days on Market]]&lt;= 90,"Average", "Slow"))</f>
        <v>Fast</v>
      </c>
      <c r="T312" t="str">
        <f>IF(Table1[[#This Row],[Price2]]&lt;500000,"Affordable",IF(Table1[[#This Row],[Price2]]&lt;1000000,"Mid range","Luxury"))</f>
        <v>Affordable</v>
      </c>
    </row>
    <row r="313" spans="1:20" x14ac:dyDescent="0.35">
      <c r="A313" s="3">
        <v>258042</v>
      </c>
      <c r="B313" s="2" t="s">
        <v>27</v>
      </c>
      <c r="C313">
        <v>80681</v>
      </c>
      <c r="D313" s="2" t="s">
        <v>35</v>
      </c>
      <c r="E313">
        <v>6</v>
      </c>
      <c r="F313">
        <v>1</v>
      </c>
      <c r="G313" s="4">
        <f>VALUE(SUBSTITUTE(SUBSTITUTE(Table1[[#This Row],[Price]],"$",""),",",""))</f>
        <v>258042</v>
      </c>
      <c r="H313" s="1">
        <f>Table1[[#This Row],[Price2]]/Table1[[#This Row],[Area]]</f>
        <v>85.899467376830899</v>
      </c>
      <c r="I313">
        <v>3004</v>
      </c>
      <c r="J313">
        <v>1997</v>
      </c>
      <c r="K313">
        <v>28</v>
      </c>
      <c r="L313" t="s">
        <v>19</v>
      </c>
      <c r="M313" t="s">
        <v>1191</v>
      </c>
      <c r="N313" s="2" t="s">
        <v>3027</v>
      </c>
      <c r="O313" t="s">
        <v>3028</v>
      </c>
      <c r="P313" t="s">
        <v>26</v>
      </c>
      <c r="Q313">
        <v>85.899467376830899</v>
      </c>
      <c r="R313">
        <f ca="1">YEAR(TODAY())-Table1[[#This Row],[Year Built]]</f>
        <v>29</v>
      </c>
      <c r="S313" t="str">
        <f>IF(Table1[[#This Row],[Days on Market]] &lt; 30,"Fast",IF(Table1[[#This Row],[Days on Market]]&lt;= 90,"Average", "Slow"))</f>
        <v>Fast</v>
      </c>
      <c r="T313" t="str">
        <f>IF(Table1[[#This Row],[Price2]]&lt;500000,"Affordable",IF(Table1[[#This Row],[Price2]]&lt;1000000,"Mid range","Luxury"))</f>
        <v>Affordable</v>
      </c>
    </row>
    <row r="314" spans="1:20" x14ac:dyDescent="0.35">
      <c r="A314" s="3">
        <v>258490</v>
      </c>
      <c r="B314" s="2" t="s">
        <v>22</v>
      </c>
      <c r="C314">
        <v>64621</v>
      </c>
      <c r="D314" s="2" t="s">
        <v>29</v>
      </c>
      <c r="E314">
        <v>6</v>
      </c>
      <c r="F314">
        <v>2</v>
      </c>
      <c r="G314" s="4">
        <f>VALUE(SUBSTITUTE(SUBSTITUTE(Table1[[#This Row],[Price]],"$",""),",",""))</f>
        <v>258490</v>
      </c>
      <c r="H314" s="1">
        <f>Table1[[#This Row],[Price2]]/Table1[[#This Row],[Area]]</f>
        <v>252.431640625</v>
      </c>
      <c r="I314">
        <v>1024</v>
      </c>
      <c r="J314">
        <v>1960</v>
      </c>
      <c r="K314">
        <v>95</v>
      </c>
      <c r="L314" t="s">
        <v>52</v>
      </c>
      <c r="M314" t="s">
        <v>631</v>
      </c>
      <c r="N314" s="2" t="s">
        <v>3033</v>
      </c>
      <c r="O314" t="s">
        <v>3034</v>
      </c>
      <c r="P314" t="s">
        <v>21</v>
      </c>
      <c r="Q314">
        <v>252.431640625</v>
      </c>
      <c r="R314">
        <f ca="1">YEAR(TODAY())-Table1[[#This Row],[Year Built]]</f>
        <v>66</v>
      </c>
      <c r="S314" t="str">
        <f>IF(Table1[[#This Row],[Days on Market]] &lt; 30,"Fast",IF(Table1[[#This Row],[Days on Market]]&lt;= 90,"Average", "Slow"))</f>
        <v>Slow</v>
      </c>
      <c r="T314" t="str">
        <f>IF(Table1[[#This Row],[Price2]]&lt;500000,"Affordable",IF(Table1[[#This Row],[Price2]]&lt;1000000,"Mid range","Luxury"))</f>
        <v>Affordable</v>
      </c>
    </row>
    <row r="315" spans="1:20" x14ac:dyDescent="0.35">
      <c r="A315" s="3">
        <v>258887</v>
      </c>
      <c r="B315" s="2" t="s">
        <v>27</v>
      </c>
      <c r="C315">
        <v>85581</v>
      </c>
      <c r="D315" s="2" t="s">
        <v>18</v>
      </c>
      <c r="E315">
        <v>5</v>
      </c>
      <c r="F315">
        <v>3</v>
      </c>
      <c r="G315" s="4">
        <f>VALUE(SUBSTITUTE(SUBSTITUTE(Table1[[#This Row],[Price]],"$",""),",",""))</f>
        <v>258887</v>
      </c>
      <c r="H315" s="1">
        <f>Table1[[#This Row],[Price2]]/Table1[[#This Row],[Area]]</f>
        <v>210.13555194805195</v>
      </c>
      <c r="I315">
        <v>1232</v>
      </c>
      <c r="J315">
        <v>1976</v>
      </c>
      <c r="K315">
        <v>57</v>
      </c>
      <c r="L315" t="s">
        <v>40</v>
      </c>
      <c r="M315" t="s">
        <v>137</v>
      </c>
      <c r="N315" s="2" t="s">
        <v>3031</v>
      </c>
      <c r="O315" t="s">
        <v>3032</v>
      </c>
      <c r="P315" t="s">
        <v>26</v>
      </c>
      <c r="Q315">
        <v>210.13555194805195</v>
      </c>
      <c r="R315">
        <f ca="1">YEAR(TODAY())-Table1[[#This Row],[Year Built]]</f>
        <v>50</v>
      </c>
      <c r="S315" t="str">
        <f>IF(Table1[[#This Row],[Days on Market]] &lt; 30,"Fast",IF(Table1[[#This Row],[Days on Market]]&lt;= 90,"Average", "Slow"))</f>
        <v>Average</v>
      </c>
      <c r="T315" t="str">
        <f>IF(Table1[[#This Row],[Price2]]&lt;500000,"Affordable",IF(Table1[[#This Row],[Price2]]&lt;1000000,"Mid range","Luxury"))</f>
        <v>Affordable</v>
      </c>
    </row>
    <row r="316" spans="1:20" x14ac:dyDescent="0.35">
      <c r="A316" s="3">
        <v>259450</v>
      </c>
      <c r="B316" s="2" t="s">
        <v>17</v>
      </c>
      <c r="C316">
        <v>30783</v>
      </c>
      <c r="D316" s="2" t="s">
        <v>23</v>
      </c>
      <c r="E316">
        <v>2</v>
      </c>
      <c r="F316">
        <v>3</v>
      </c>
      <c r="G316" s="4">
        <f>VALUE(SUBSTITUTE(SUBSTITUTE(Table1[[#This Row],[Price]],"$",""),",",""))</f>
        <v>259450</v>
      </c>
      <c r="H316" s="1">
        <f>Table1[[#This Row],[Price2]]/Table1[[#This Row],[Area]]</f>
        <v>219.13006756756758</v>
      </c>
      <c r="I316">
        <v>1184</v>
      </c>
      <c r="J316">
        <v>2000</v>
      </c>
      <c r="K316">
        <v>14</v>
      </c>
      <c r="L316" t="s">
        <v>14</v>
      </c>
      <c r="M316" t="s">
        <v>2902</v>
      </c>
      <c r="N316" s="2" t="s">
        <v>3029</v>
      </c>
      <c r="O316" t="s">
        <v>3030</v>
      </c>
      <c r="P316" t="s">
        <v>21</v>
      </c>
      <c r="Q316">
        <v>219.13006756756758</v>
      </c>
      <c r="R316">
        <f ca="1">YEAR(TODAY())-Table1[[#This Row],[Year Built]]</f>
        <v>26</v>
      </c>
      <c r="S316" t="str">
        <f>IF(Table1[[#This Row],[Days on Market]] &lt; 30,"Fast",IF(Table1[[#This Row],[Days on Market]]&lt;= 90,"Average", "Slow"))</f>
        <v>Fast</v>
      </c>
      <c r="T316" t="str">
        <f>IF(Table1[[#This Row],[Price2]]&lt;500000,"Affordable",IF(Table1[[#This Row],[Price2]]&lt;1000000,"Mid range","Luxury"))</f>
        <v>Affordable</v>
      </c>
    </row>
    <row r="317" spans="1:20" x14ac:dyDescent="0.35">
      <c r="A317" s="3">
        <v>259927</v>
      </c>
      <c r="B317" s="2" t="s">
        <v>17</v>
      </c>
      <c r="C317">
        <v>97417</v>
      </c>
      <c r="D317" s="2" t="s">
        <v>18</v>
      </c>
      <c r="E317">
        <v>4</v>
      </c>
      <c r="F317">
        <v>4</v>
      </c>
      <c r="G317" s="4">
        <f>VALUE(SUBSTITUTE(SUBSTITUTE(Table1[[#This Row],[Price]],"$",""),",",""))</f>
        <v>259927</v>
      </c>
      <c r="H317" s="1">
        <f>Table1[[#This Row],[Price2]]/Table1[[#This Row],[Area]]</f>
        <v>81.50736908121668</v>
      </c>
      <c r="I317">
        <v>3189</v>
      </c>
      <c r="J317">
        <v>2013</v>
      </c>
      <c r="K317">
        <v>38</v>
      </c>
      <c r="L317" t="s">
        <v>30</v>
      </c>
      <c r="M317" t="s">
        <v>1141</v>
      </c>
      <c r="N317" s="2" t="s">
        <v>3029</v>
      </c>
      <c r="O317" t="s">
        <v>3030</v>
      </c>
      <c r="P317" t="s">
        <v>16</v>
      </c>
      <c r="Q317">
        <v>81.50736908121668</v>
      </c>
      <c r="R317">
        <f ca="1">YEAR(TODAY())-Table1[[#This Row],[Year Built]]</f>
        <v>13</v>
      </c>
      <c r="S317" t="str">
        <f>IF(Table1[[#This Row],[Days on Market]] &lt; 30,"Fast",IF(Table1[[#This Row],[Days on Market]]&lt;= 90,"Average", "Slow"))</f>
        <v>Average</v>
      </c>
      <c r="T317" t="str">
        <f>IF(Table1[[#This Row],[Price2]]&lt;500000,"Affordable",IF(Table1[[#This Row],[Price2]]&lt;1000000,"Mid range","Luxury"))</f>
        <v>Affordable</v>
      </c>
    </row>
    <row r="318" spans="1:20" x14ac:dyDescent="0.35">
      <c r="A318" s="3">
        <v>260105</v>
      </c>
      <c r="B318" s="2" t="s">
        <v>12</v>
      </c>
      <c r="C318">
        <v>69070</v>
      </c>
      <c r="D318" s="2" t="s">
        <v>35</v>
      </c>
      <c r="E318">
        <v>1</v>
      </c>
      <c r="F318">
        <v>3</v>
      </c>
      <c r="G318" s="4">
        <f>VALUE(SUBSTITUTE(SUBSTITUTE(Table1[[#This Row],[Price]],"$",""),",",""))</f>
        <v>260105</v>
      </c>
      <c r="H318" s="1">
        <f>Table1[[#This Row],[Price2]]/Table1[[#This Row],[Area]]</f>
        <v>81.588770388958594</v>
      </c>
      <c r="I318">
        <v>3188</v>
      </c>
      <c r="J318">
        <v>1990</v>
      </c>
      <c r="K318">
        <v>91</v>
      </c>
      <c r="L318" t="s">
        <v>40</v>
      </c>
      <c r="M318" t="s">
        <v>1933</v>
      </c>
      <c r="N318" s="2" t="s">
        <v>3027</v>
      </c>
      <c r="O318" t="s">
        <v>3028</v>
      </c>
      <c r="P318" t="s">
        <v>26</v>
      </c>
      <c r="Q318">
        <v>81.588770388958594</v>
      </c>
      <c r="R318">
        <f ca="1">YEAR(TODAY())-Table1[[#This Row],[Year Built]]</f>
        <v>36</v>
      </c>
      <c r="S318" t="str">
        <f>IF(Table1[[#This Row],[Days on Market]] &lt; 30,"Fast",IF(Table1[[#This Row],[Days on Market]]&lt;= 90,"Average", "Slow"))</f>
        <v>Slow</v>
      </c>
      <c r="T318" t="str">
        <f>IF(Table1[[#This Row],[Price2]]&lt;500000,"Affordable",IF(Table1[[#This Row],[Price2]]&lt;1000000,"Mid range","Luxury"))</f>
        <v>Affordable</v>
      </c>
    </row>
    <row r="319" spans="1:20" x14ac:dyDescent="0.35">
      <c r="A319" s="3">
        <v>260417</v>
      </c>
      <c r="B319" s="2" t="s">
        <v>34</v>
      </c>
      <c r="C319">
        <v>54146</v>
      </c>
      <c r="D319" s="2" t="s">
        <v>13</v>
      </c>
      <c r="E319">
        <v>3</v>
      </c>
      <c r="F319">
        <v>1</v>
      </c>
      <c r="G319" s="4">
        <f>VALUE(SUBSTITUTE(SUBSTITUTE(Table1[[#This Row],[Price]],"$",""),",",""))</f>
        <v>260417</v>
      </c>
      <c r="H319" s="1">
        <f>Table1[[#This Row],[Price2]]/Table1[[#This Row],[Area]]</f>
        <v>86.718947718947717</v>
      </c>
      <c r="I319">
        <v>3003</v>
      </c>
      <c r="J319">
        <v>2015</v>
      </c>
      <c r="K319">
        <v>95</v>
      </c>
      <c r="L319" t="s">
        <v>40</v>
      </c>
      <c r="M319" t="s">
        <v>335</v>
      </c>
      <c r="N319" s="2" t="s">
        <v>3035</v>
      </c>
      <c r="O319" t="s">
        <v>3036</v>
      </c>
      <c r="P319" t="s">
        <v>26</v>
      </c>
      <c r="Q319">
        <v>86.718947718947717</v>
      </c>
      <c r="R319">
        <f ca="1">YEAR(TODAY())-Table1[[#This Row],[Year Built]]</f>
        <v>11</v>
      </c>
      <c r="S319" t="str">
        <f>IF(Table1[[#This Row],[Days on Market]] &lt; 30,"Fast",IF(Table1[[#This Row],[Days on Market]]&lt;= 90,"Average", "Slow"))</f>
        <v>Slow</v>
      </c>
      <c r="T319" t="str">
        <f>IF(Table1[[#This Row],[Price2]]&lt;500000,"Affordable",IF(Table1[[#This Row],[Price2]]&lt;1000000,"Mid range","Luxury"))</f>
        <v>Affordable</v>
      </c>
    </row>
    <row r="320" spans="1:20" x14ac:dyDescent="0.35">
      <c r="A320" s="3">
        <v>262341</v>
      </c>
      <c r="B320" s="2" t="s">
        <v>27</v>
      </c>
      <c r="C320">
        <v>26032</v>
      </c>
      <c r="D320" s="2" t="s">
        <v>13</v>
      </c>
      <c r="E320">
        <v>6</v>
      </c>
      <c r="F320">
        <v>2</v>
      </c>
      <c r="G320" s="4">
        <f>VALUE(SUBSTITUTE(SUBSTITUTE(Table1[[#This Row],[Price]],"$",""),",",""))</f>
        <v>262341</v>
      </c>
      <c r="H320" s="1">
        <f>Table1[[#This Row],[Price2]]/Table1[[#This Row],[Area]]</f>
        <v>114.11091779034363</v>
      </c>
      <c r="I320">
        <v>2299</v>
      </c>
      <c r="J320">
        <v>1987</v>
      </c>
      <c r="K320">
        <v>67</v>
      </c>
      <c r="L320" t="s">
        <v>19</v>
      </c>
      <c r="M320" t="s">
        <v>1726</v>
      </c>
      <c r="N320" s="2" t="s">
        <v>3033</v>
      </c>
      <c r="O320" t="s">
        <v>3034</v>
      </c>
      <c r="P320" t="s">
        <v>21</v>
      </c>
      <c r="Q320">
        <v>114.11091779034363</v>
      </c>
      <c r="R320">
        <f ca="1">YEAR(TODAY())-Table1[[#This Row],[Year Built]]</f>
        <v>39</v>
      </c>
      <c r="S320" t="str">
        <f>IF(Table1[[#This Row],[Days on Market]] &lt; 30,"Fast",IF(Table1[[#This Row],[Days on Market]]&lt;= 90,"Average", "Slow"))</f>
        <v>Average</v>
      </c>
      <c r="T320" t="str">
        <f>IF(Table1[[#This Row],[Price2]]&lt;500000,"Affordable",IF(Table1[[#This Row],[Price2]]&lt;1000000,"Mid range","Luxury"))</f>
        <v>Affordable</v>
      </c>
    </row>
    <row r="321" spans="1:20" x14ac:dyDescent="0.35">
      <c r="A321" s="3">
        <v>262520</v>
      </c>
      <c r="B321" s="2" t="s">
        <v>34</v>
      </c>
      <c r="C321">
        <v>65506</v>
      </c>
      <c r="D321" s="2" t="s">
        <v>13</v>
      </c>
      <c r="E321">
        <v>2</v>
      </c>
      <c r="F321">
        <v>4</v>
      </c>
      <c r="G321" s="4">
        <f>VALUE(SUBSTITUTE(SUBSTITUTE(Table1[[#This Row],[Price]],"$",""),",",""))</f>
        <v>262520</v>
      </c>
      <c r="H321" s="1">
        <f>Table1[[#This Row],[Price2]]/Table1[[#This Row],[Area]]</f>
        <v>130.99800399201598</v>
      </c>
      <c r="I321">
        <v>2004</v>
      </c>
      <c r="J321">
        <v>2006</v>
      </c>
      <c r="K321">
        <v>42</v>
      </c>
      <c r="L321" t="s">
        <v>19</v>
      </c>
      <c r="M321" t="s">
        <v>1319</v>
      </c>
      <c r="N321" s="2" t="s">
        <v>3029</v>
      </c>
      <c r="O321" t="s">
        <v>3030</v>
      </c>
      <c r="P321" t="s">
        <v>16</v>
      </c>
      <c r="Q321">
        <v>130.99800399201598</v>
      </c>
      <c r="R321">
        <f ca="1">YEAR(TODAY())-Table1[[#This Row],[Year Built]]</f>
        <v>20</v>
      </c>
      <c r="S321" t="str">
        <f>IF(Table1[[#This Row],[Days on Market]] &lt; 30,"Fast",IF(Table1[[#This Row],[Days on Market]]&lt;= 90,"Average", "Slow"))</f>
        <v>Average</v>
      </c>
      <c r="T321" t="str">
        <f>IF(Table1[[#This Row],[Price2]]&lt;500000,"Affordable",IF(Table1[[#This Row],[Price2]]&lt;1000000,"Mid range","Luxury"))</f>
        <v>Affordable</v>
      </c>
    </row>
    <row r="322" spans="1:20" x14ac:dyDescent="0.35">
      <c r="A322" s="3">
        <v>262684</v>
      </c>
      <c r="B322" s="2" t="s">
        <v>34</v>
      </c>
      <c r="C322">
        <v>45612</v>
      </c>
      <c r="D322" s="2" t="s">
        <v>13</v>
      </c>
      <c r="E322">
        <v>2</v>
      </c>
      <c r="F322">
        <v>1</v>
      </c>
      <c r="G322" s="4">
        <f>VALUE(SUBSTITUTE(SUBSTITUTE(Table1[[#This Row],[Price]],"$",""),",",""))</f>
        <v>262684</v>
      </c>
      <c r="H322" s="1">
        <f>Table1[[#This Row],[Price2]]/Table1[[#This Row],[Area]]</f>
        <v>92.137495615573485</v>
      </c>
      <c r="I322">
        <v>2851</v>
      </c>
      <c r="J322">
        <v>2010</v>
      </c>
      <c r="K322">
        <v>3</v>
      </c>
      <c r="L322" t="s">
        <v>19</v>
      </c>
      <c r="M322" t="s">
        <v>1896</v>
      </c>
      <c r="N322" s="2" t="s">
        <v>3035</v>
      </c>
      <c r="O322" t="s">
        <v>3036</v>
      </c>
      <c r="P322" t="s">
        <v>16</v>
      </c>
      <c r="Q322">
        <v>92.137495615573485</v>
      </c>
      <c r="R322">
        <f ca="1">YEAR(TODAY())-Table1[[#This Row],[Year Built]]</f>
        <v>16</v>
      </c>
      <c r="S322" t="str">
        <f>IF(Table1[[#This Row],[Days on Market]] &lt; 30,"Fast",IF(Table1[[#This Row],[Days on Market]]&lt;= 90,"Average", "Slow"))</f>
        <v>Fast</v>
      </c>
      <c r="T322" t="str">
        <f>IF(Table1[[#This Row],[Price2]]&lt;500000,"Affordable",IF(Table1[[#This Row],[Price2]]&lt;1000000,"Mid range","Luxury"))</f>
        <v>Affordable</v>
      </c>
    </row>
    <row r="323" spans="1:20" x14ac:dyDescent="0.35">
      <c r="A323" s="3">
        <v>263337</v>
      </c>
      <c r="B323" s="2" t="s">
        <v>17</v>
      </c>
      <c r="C323">
        <v>12498</v>
      </c>
      <c r="D323" s="2" t="s">
        <v>13</v>
      </c>
      <c r="E323">
        <v>6</v>
      </c>
      <c r="F323">
        <v>1</v>
      </c>
      <c r="G323" s="4">
        <f>VALUE(SUBSTITUTE(SUBSTITUTE(Table1[[#This Row],[Price]],"$",""),",",""))</f>
        <v>263337</v>
      </c>
      <c r="H323" s="1">
        <f>Table1[[#This Row],[Price2]]/Table1[[#This Row],[Area]]</f>
        <v>117.56116071428572</v>
      </c>
      <c r="I323">
        <v>2240</v>
      </c>
      <c r="J323">
        <v>1956</v>
      </c>
      <c r="K323">
        <v>82</v>
      </c>
      <c r="L323" t="s">
        <v>52</v>
      </c>
      <c r="M323" t="s">
        <v>2317</v>
      </c>
      <c r="N323" s="2" t="s">
        <v>3031</v>
      </c>
      <c r="O323" t="s">
        <v>3032</v>
      </c>
      <c r="P323" t="s">
        <v>26</v>
      </c>
      <c r="Q323">
        <v>117.56116071428572</v>
      </c>
      <c r="R323">
        <f ca="1">YEAR(TODAY())-Table1[[#This Row],[Year Built]]</f>
        <v>70</v>
      </c>
      <c r="S323" t="str">
        <f>IF(Table1[[#This Row],[Days on Market]] &lt; 30,"Fast",IF(Table1[[#This Row],[Days on Market]]&lt;= 90,"Average", "Slow"))</f>
        <v>Average</v>
      </c>
      <c r="T323" t="str">
        <f>IF(Table1[[#This Row],[Price2]]&lt;500000,"Affordable",IF(Table1[[#This Row],[Price2]]&lt;1000000,"Mid range","Luxury"))</f>
        <v>Affordable</v>
      </c>
    </row>
    <row r="324" spans="1:20" x14ac:dyDescent="0.35">
      <c r="A324" s="3">
        <v>263351</v>
      </c>
      <c r="B324" s="2" t="s">
        <v>27</v>
      </c>
      <c r="C324">
        <v>50766</v>
      </c>
      <c r="D324" s="2" t="s">
        <v>35</v>
      </c>
      <c r="E324">
        <v>2</v>
      </c>
      <c r="F324">
        <v>4</v>
      </c>
      <c r="G324" s="4">
        <f>VALUE(SUBSTITUTE(SUBSTITUTE(Table1[[#This Row],[Price]],"$",""),",",""))</f>
        <v>263351</v>
      </c>
      <c r="H324" s="1">
        <f>Table1[[#This Row],[Price2]]/Table1[[#This Row],[Area]]</f>
        <v>150.83104238258878</v>
      </c>
      <c r="I324">
        <v>1746</v>
      </c>
      <c r="J324">
        <v>2013</v>
      </c>
      <c r="K324">
        <v>97</v>
      </c>
      <c r="L324" t="s">
        <v>30</v>
      </c>
      <c r="M324" t="s">
        <v>506</v>
      </c>
      <c r="N324" s="2" t="s">
        <v>3027</v>
      </c>
      <c r="O324" t="s">
        <v>3028</v>
      </c>
      <c r="P324" t="s">
        <v>21</v>
      </c>
      <c r="Q324">
        <v>150.83104238258878</v>
      </c>
      <c r="R324">
        <f ca="1">YEAR(TODAY())-Table1[[#This Row],[Year Built]]</f>
        <v>13</v>
      </c>
      <c r="S324" t="str">
        <f>IF(Table1[[#This Row],[Days on Market]] &lt; 30,"Fast",IF(Table1[[#This Row],[Days on Market]]&lt;= 90,"Average", "Slow"))</f>
        <v>Slow</v>
      </c>
      <c r="T324" t="str">
        <f>IF(Table1[[#This Row],[Price2]]&lt;500000,"Affordable",IF(Table1[[#This Row],[Price2]]&lt;1000000,"Mid range","Luxury"))</f>
        <v>Affordable</v>
      </c>
    </row>
    <row r="325" spans="1:20" x14ac:dyDescent="0.35">
      <c r="A325" s="3">
        <v>263469</v>
      </c>
      <c r="B325" s="2" t="s">
        <v>17</v>
      </c>
      <c r="C325">
        <v>50468</v>
      </c>
      <c r="D325" s="2" t="s">
        <v>18</v>
      </c>
      <c r="E325">
        <v>4</v>
      </c>
      <c r="F325">
        <v>1</v>
      </c>
      <c r="G325" s="4">
        <f>VALUE(SUBSTITUTE(SUBSTITUTE(Table1[[#This Row],[Price]],"$",""),",",""))</f>
        <v>263469</v>
      </c>
      <c r="H325" s="1">
        <f>Table1[[#This Row],[Price2]]/Table1[[#This Row],[Area]]</f>
        <v>87.735264735264735</v>
      </c>
      <c r="I325">
        <v>3003</v>
      </c>
      <c r="J325">
        <v>2014</v>
      </c>
      <c r="K325">
        <v>118</v>
      </c>
      <c r="L325" t="s">
        <v>52</v>
      </c>
      <c r="M325" t="s">
        <v>2240</v>
      </c>
      <c r="N325" s="2" t="s">
        <v>3029</v>
      </c>
      <c r="O325" t="s">
        <v>3030</v>
      </c>
      <c r="P325" t="s">
        <v>16</v>
      </c>
      <c r="Q325">
        <v>87.735264735264735</v>
      </c>
      <c r="R325">
        <f ca="1">YEAR(TODAY())-Table1[[#This Row],[Year Built]]</f>
        <v>12</v>
      </c>
      <c r="S325" t="str">
        <f>IF(Table1[[#This Row],[Days on Market]] &lt; 30,"Fast",IF(Table1[[#This Row],[Days on Market]]&lt;= 90,"Average", "Slow"))</f>
        <v>Slow</v>
      </c>
      <c r="T325" t="str">
        <f>IF(Table1[[#This Row],[Price2]]&lt;500000,"Affordable",IF(Table1[[#This Row],[Price2]]&lt;1000000,"Mid range","Luxury"))</f>
        <v>Affordable</v>
      </c>
    </row>
    <row r="326" spans="1:20" x14ac:dyDescent="0.35">
      <c r="A326" s="3">
        <v>264127</v>
      </c>
      <c r="B326" s="2" t="s">
        <v>22</v>
      </c>
      <c r="C326">
        <v>92924</v>
      </c>
      <c r="D326" s="2" t="s">
        <v>23</v>
      </c>
      <c r="E326">
        <v>1</v>
      </c>
      <c r="F326">
        <v>1</v>
      </c>
      <c r="G326" s="4">
        <f>VALUE(SUBSTITUTE(SUBSTITUTE(Table1[[#This Row],[Price]],"$",""),",",""))</f>
        <v>264127</v>
      </c>
      <c r="H326" s="1">
        <f>Table1[[#This Row],[Price2]]/Table1[[#This Row],[Area]]</f>
        <v>91.615331252167877</v>
      </c>
      <c r="I326">
        <v>2883</v>
      </c>
      <c r="J326">
        <v>2004</v>
      </c>
      <c r="K326">
        <v>43</v>
      </c>
      <c r="L326" t="s">
        <v>52</v>
      </c>
      <c r="M326" t="s">
        <v>1264</v>
      </c>
      <c r="N326" s="2" t="s">
        <v>3027</v>
      </c>
      <c r="O326" t="s">
        <v>3028</v>
      </c>
      <c r="P326" t="s">
        <v>21</v>
      </c>
      <c r="Q326">
        <v>91.615331252167877</v>
      </c>
      <c r="R326">
        <f ca="1">YEAR(TODAY())-Table1[[#This Row],[Year Built]]</f>
        <v>22</v>
      </c>
      <c r="S326" t="str">
        <f>IF(Table1[[#This Row],[Days on Market]] &lt; 30,"Fast",IF(Table1[[#This Row],[Days on Market]]&lt;= 90,"Average", "Slow"))</f>
        <v>Average</v>
      </c>
      <c r="T326" t="str">
        <f>IF(Table1[[#This Row],[Price2]]&lt;500000,"Affordable",IF(Table1[[#This Row],[Price2]]&lt;1000000,"Mid range","Luxury"))</f>
        <v>Affordable</v>
      </c>
    </row>
    <row r="327" spans="1:20" x14ac:dyDescent="0.35">
      <c r="A327" s="3">
        <v>264357</v>
      </c>
      <c r="B327" s="2" t="s">
        <v>27</v>
      </c>
      <c r="C327">
        <v>75225</v>
      </c>
      <c r="D327" s="2" t="s">
        <v>29</v>
      </c>
      <c r="E327">
        <v>2</v>
      </c>
      <c r="F327">
        <v>1</v>
      </c>
      <c r="G327" s="4">
        <f>VALUE(SUBSTITUTE(SUBSTITUTE(Table1[[#This Row],[Price]],"$",""),",",""))</f>
        <v>264357</v>
      </c>
      <c r="H327" s="1">
        <f>Table1[[#This Row],[Price2]]/Table1[[#This Row],[Area]]</f>
        <v>280.9319872476089</v>
      </c>
      <c r="I327">
        <v>941</v>
      </c>
      <c r="J327">
        <v>1984</v>
      </c>
      <c r="K327">
        <v>60</v>
      </c>
      <c r="L327" t="s">
        <v>40</v>
      </c>
      <c r="M327" t="s">
        <v>2107</v>
      </c>
      <c r="N327" s="2" t="s">
        <v>3027</v>
      </c>
      <c r="O327" t="s">
        <v>3028</v>
      </c>
      <c r="P327" t="s">
        <v>21</v>
      </c>
      <c r="Q327">
        <v>280.9319872476089</v>
      </c>
      <c r="R327">
        <f ca="1">YEAR(TODAY())-Table1[[#This Row],[Year Built]]</f>
        <v>42</v>
      </c>
      <c r="S327" t="str">
        <f>IF(Table1[[#This Row],[Days on Market]] &lt; 30,"Fast",IF(Table1[[#This Row],[Days on Market]]&lt;= 90,"Average", "Slow"))</f>
        <v>Average</v>
      </c>
      <c r="T327" t="str">
        <f>IF(Table1[[#This Row],[Price2]]&lt;500000,"Affordable",IF(Table1[[#This Row],[Price2]]&lt;1000000,"Mid range","Luxury"))</f>
        <v>Affordable</v>
      </c>
    </row>
    <row r="328" spans="1:20" x14ac:dyDescent="0.35">
      <c r="A328" s="3">
        <v>264387</v>
      </c>
      <c r="B328" s="2" t="s">
        <v>34</v>
      </c>
      <c r="C328">
        <v>92035</v>
      </c>
      <c r="D328" s="2" t="s">
        <v>29</v>
      </c>
      <c r="E328">
        <v>5</v>
      </c>
      <c r="F328">
        <v>4</v>
      </c>
      <c r="G328" s="4">
        <f>VALUE(SUBSTITUTE(SUBSTITUTE(Table1[[#This Row],[Price]],"$",""),",",""))</f>
        <v>264387</v>
      </c>
      <c r="H328" s="1">
        <f>Table1[[#This Row],[Price2]]/Table1[[#This Row],[Area]]</f>
        <v>103.59992163009404</v>
      </c>
      <c r="I328">
        <v>2552</v>
      </c>
      <c r="J328">
        <v>2006</v>
      </c>
      <c r="K328">
        <v>49</v>
      </c>
      <c r="L328" t="s">
        <v>14</v>
      </c>
      <c r="M328" t="s">
        <v>2369</v>
      </c>
      <c r="N328" s="2" t="s">
        <v>3027</v>
      </c>
      <c r="O328" t="s">
        <v>3028</v>
      </c>
      <c r="P328" t="s">
        <v>16</v>
      </c>
      <c r="Q328">
        <v>103.59992163009404</v>
      </c>
      <c r="R328">
        <f ca="1">YEAR(TODAY())-Table1[[#This Row],[Year Built]]</f>
        <v>20</v>
      </c>
      <c r="S328" t="str">
        <f>IF(Table1[[#This Row],[Days on Market]] &lt; 30,"Fast",IF(Table1[[#This Row],[Days on Market]]&lt;= 90,"Average", "Slow"))</f>
        <v>Average</v>
      </c>
      <c r="T328" t="str">
        <f>IF(Table1[[#This Row],[Price2]]&lt;500000,"Affordable",IF(Table1[[#This Row],[Price2]]&lt;1000000,"Mid range","Luxury"))</f>
        <v>Affordable</v>
      </c>
    </row>
    <row r="329" spans="1:20" x14ac:dyDescent="0.35">
      <c r="A329" s="3">
        <v>265192</v>
      </c>
      <c r="B329" s="2" t="s">
        <v>34</v>
      </c>
      <c r="C329">
        <v>69022</v>
      </c>
      <c r="D329" s="2" t="s">
        <v>23</v>
      </c>
      <c r="E329">
        <v>2</v>
      </c>
      <c r="F329">
        <v>1</v>
      </c>
      <c r="G329" s="4">
        <f>VALUE(SUBSTITUTE(SUBSTITUTE(Table1[[#This Row],[Price]],"$",""),",",""))</f>
        <v>265192</v>
      </c>
      <c r="H329" s="1">
        <f>Table1[[#This Row],[Price2]]/Table1[[#This Row],[Area]]</f>
        <v>144.20445894507884</v>
      </c>
      <c r="I329">
        <v>1839</v>
      </c>
      <c r="J329">
        <v>1953</v>
      </c>
      <c r="K329">
        <v>82</v>
      </c>
      <c r="L329" t="s">
        <v>19</v>
      </c>
      <c r="M329" t="s">
        <v>2595</v>
      </c>
      <c r="N329" s="2" t="s">
        <v>3031</v>
      </c>
      <c r="O329" t="s">
        <v>3032</v>
      </c>
      <c r="P329" t="s">
        <v>26</v>
      </c>
      <c r="Q329">
        <v>144.20445894507884</v>
      </c>
      <c r="R329">
        <f ca="1">YEAR(TODAY())-Table1[[#This Row],[Year Built]]</f>
        <v>73</v>
      </c>
      <c r="S329" t="str">
        <f>IF(Table1[[#This Row],[Days on Market]] &lt; 30,"Fast",IF(Table1[[#This Row],[Days on Market]]&lt;= 90,"Average", "Slow"))</f>
        <v>Average</v>
      </c>
      <c r="T329" t="str">
        <f>IF(Table1[[#This Row],[Price2]]&lt;500000,"Affordable",IF(Table1[[#This Row],[Price2]]&lt;1000000,"Mid range","Luxury"))</f>
        <v>Affordable</v>
      </c>
    </row>
    <row r="330" spans="1:20" x14ac:dyDescent="0.35">
      <c r="A330" s="3">
        <v>266057</v>
      </c>
      <c r="B330" s="2" t="s">
        <v>17</v>
      </c>
      <c r="C330">
        <v>48991</v>
      </c>
      <c r="D330" s="2" t="s">
        <v>23</v>
      </c>
      <c r="E330">
        <v>5</v>
      </c>
      <c r="F330">
        <v>3</v>
      </c>
      <c r="G330" s="4">
        <f>VALUE(SUBSTITUTE(SUBSTITUTE(Table1[[#This Row],[Price]],"$",""),",",""))</f>
        <v>266057</v>
      </c>
      <c r="H330" s="1">
        <f>Table1[[#This Row],[Price2]]/Table1[[#This Row],[Area]]</f>
        <v>219.33800494641386</v>
      </c>
      <c r="I330">
        <v>1213</v>
      </c>
      <c r="J330">
        <v>1951</v>
      </c>
      <c r="K330">
        <v>48</v>
      </c>
      <c r="L330" t="s">
        <v>52</v>
      </c>
      <c r="M330" t="s">
        <v>977</v>
      </c>
      <c r="N330" s="2" t="s">
        <v>3029</v>
      </c>
      <c r="O330" t="s">
        <v>3030</v>
      </c>
      <c r="P330" t="s">
        <v>26</v>
      </c>
      <c r="Q330">
        <v>219.33800494641386</v>
      </c>
      <c r="R330">
        <f ca="1">YEAR(TODAY())-Table1[[#This Row],[Year Built]]</f>
        <v>75</v>
      </c>
      <c r="S330" t="str">
        <f>IF(Table1[[#This Row],[Days on Market]] &lt; 30,"Fast",IF(Table1[[#This Row],[Days on Market]]&lt;= 90,"Average", "Slow"))</f>
        <v>Average</v>
      </c>
      <c r="T330" t="str">
        <f>IF(Table1[[#This Row],[Price2]]&lt;500000,"Affordable",IF(Table1[[#This Row],[Price2]]&lt;1000000,"Mid range","Luxury"))</f>
        <v>Affordable</v>
      </c>
    </row>
    <row r="331" spans="1:20" x14ac:dyDescent="0.35">
      <c r="A331" s="3">
        <v>266322</v>
      </c>
      <c r="B331" s="2" t="s">
        <v>12</v>
      </c>
      <c r="C331">
        <v>62921</v>
      </c>
      <c r="D331" s="2" t="s">
        <v>13</v>
      </c>
      <c r="E331">
        <v>6</v>
      </c>
      <c r="F331">
        <v>4</v>
      </c>
      <c r="G331" s="4">
        <f>VALUE(SUBSTITUTE(SUBSTITUTE(Table1[[#This Row],[Price]],"$",""),",",""))</f>
        <v>266322</v>
      </c>
      <c r="H331" s="1">
        <f>Table1[[#This Row],[Price2]]/Table1[[#This Row],[Area]]</f>
        <v>109.77823577906018</v>
      </c>
      <c r="I331">
        <v>2426</v>
      </c>
      <c r="J331">
        <v>2002</v>
      </c>
      <c r="K331">
        <v>107</v>
      </c>
      <c r="L331" t="s">
        <v>14</v>
      </c>
      <c r="M331" t="s">
        <v>2861</v>
      </c>
      <c r="N331" s="2" t="s">
        <v>3033</v>
      </c>
      <c r="O331" t="s">
        <v>3034</v>
      </c>
      <c r="P331" t="s">
        <v>16</v>
      </c>
      <c r="Q331">
        <v>109.77823577906018</v>
      </c>
      <c r="R331">
        <f ca="1">YEAR(TODAY())-Table1[[#This Row],[Year Built]]</f>
        <v>24</v>
      </c>
      <c r="S331" t="str">
        <f>IF(Table1[[#This Row],[Days on Market]] &lt; 30,"Fast",IF(Table1[[#This Row],[Days on Market]]&lt;= 90,"Average", "Slow"))</f>
        <v>Slow</v>
      </c>
      <c r="T331" t="str">
        <f>IF(Table1[[#This Row],[Price2]]&lt;500000,"Affordable",IF(Table1[[#This Row],[Price2]]&lt;1000000,"Mid range","Luxury"))</f>
        <v>Affordable</v>
      </c>
    </row>
    <row r="332" spans="1:20" x14ac:dyDescent="0.35">
      <c r="A332" s="3">
        <v>267346</v>
      </c>
      <c r="B332" s="2" t="s">
        <v>27</v>
      </c>
      <c r="C332">
        <v>36720</v>
      </c>
      <c r="D332" s="2" t="s">
        <v>18</v>
      </c>
      <c r="E332">
        <v>4</v>
      </c>
      <c r="F332">
        <v>3</v>
      </c>
      <c r="G332" s="4">
        <f>VALUE(SUBSTITUTE(SUBSTITUTE(Table1[[#This Row],[Price]],"$",""),",",""))</f>
        <v>267346</v>
      </c>
      <c r="H332" s="1">
        <f>Table1[[#This Row],[Price2]]/Table1[[#This Row],[Area]]</f>
        <v>282.60676532769554</v>
      </c>
      <c r="I332">
        <v>946</v>
      </c>
      <c r="J332">
        <v>2003</v>
      </c>
      <c r="K332">
        <v>60</v>
      </c>
      <c r="L332" t="s">
        <v>40</v>
      </c>
      <c r="M332" t="s">
        <v>2267</v>
      </c>
      <c r="N332" s="2" t="s">
        <v>3033</v>
      </c>
      <c r="O332" t="s">
        <v>3034</v>
      </c>
      <c r="P332" t="s">
        <v>26</v>
      </c>
      <c r="Q332">
        <v>282.60676532769554</v>
      </c>
      <c r="R332">
        <f ca="1">YEAR(TODAY())-Table1[[#This Row],[Year Built]]</f>
        <v>23</v>
      </c>
      <c r="S332" t="str">
        <f>IF(Table1[[#This Row],[Days on Market]] &lt; 30,"Fast",IF(Table1[[#This Row],[Days on Market]]&lt;= 90,"Average", "Slow"))</f>
        <v>Average</v>
      </c>
      <c r="T332" t="str">
        <f>IF(Table1[[#This Row],[Price2]]&lt;500000,"Affordable",IF(Table1[[#This Row],[Price2]]&lt;1000000,"Mid range","Luxury"))</f>
        <v>Affordable</v>
      </c>
    </row>
    <row r="333" spans="1:20" x14ac:dyDescent="0.35">
      <c r="A333" s="3">
        <v>268004</v>
      </c>
      <c r="B333" s="2" t="s">
        <v>27</v>
      </c>
      <c r="C333">
        <v>84948</v>
      </c>
      <c r="D333" s="2" t="s">
        <v>18</v>
      </c>
      <c r="E333">
        <v>5</v>
      </c>
      <c r="F333">
        <v>2</v>
      </c>
      <c r="G333" s="4">
        <f>VALUE(SUBSTITUTE(SUBSTITUTE(Table1[[#This Row],[Price]],"$",""),",",""))</f>
        <v>268004</v>
      </c>
      <c r="H333" s="1">
        <f>Table1[[#This Row],[Price2]]/Table1[[#This Row],[Area]]</f>
        <v>104.07922330097087</v>
      </c>
      <c r="I333">
        <v>2575</v>
      </c>
      <c r="J333">
        <v>1993</v>
      </c>
      <c r="K333">
        <v>47</v>
      </c>
      <c r="L333" t="s">
        <v>40</v>
      </c>
      <c r="M333" t="s">
        <v>1382</v>
      </c>
      <c r="N333" s="2" t="s">
        <v>3029</v>
      </c>
      <c r="O333" t="s">
        <v>3030</v>
      </c>
      <c r="P333" t="s">
        <v>26</v>
      </c>
      <c r="Q333">
        <v>104.07922330097087</v>
      </c>
      <c r="R333">
        <f ca="1">YEAR(TODAY())-Table1[[#This Row],[Year Built]]</f>
        <v>33</v>
      </c>
      <c r="S333" t="str">
        <f>IF(Table1[[#This Row],[Days on Market]] &lt; 30,"Fast",IF(Table1[[#This Row],[Days on Market]]&lt;= 90,"Average", "Slow"))</f>
        <v>Average</v>
      </c>
      <c r="T333" t="str">
        <f>IF(Table1[[#This Row],[Price2]]&lt;500000,"Affordable",IF(Table1[[#This Row],[Price2]]&lt;1000000,"Mid range","Luxury"))</f>
        <v>Affordable</v>
      </c>
    </row>
    <row r="334" spans="1:20" x14ac:dyDescent="0.35">
      <c r="A334" s="3">
        <v>268142</v>
      </c>
      <c r="B334" s="2" t="s">
        <v>27</v>
      </c>
      <c r="C334">
        <v>61325</v>
      </c>
      <c r="D334" s="2" t="s">
        <v>13</v>
      </c>
      <c r="E334">
        <v>6</v>
      </c>
      <c r="F334">
        <v>4</v>
      </c>
      <c r="G334" s="4">
        <f>VALUE(SUBSTITUTE(SUBSTITUTE(Table1[[#This Row],[Price]],"$",""),",",""))</f>
        <v>268142</v>
      </c>
      <c r="H334" s="1">
        <f>Table1[[#This Row],[Price2]]/Table1[[#This Row],[Area]]</f>
        <v>70.974589730015879</v>
      </c>
      <c r="I334">
        <v>3778</v>
      </c>
      <c r="J334">
        <v>2012</v>
      </c>
      <c r="K334">
        <v>8</v>
      </c>
      <c r="L334" t="s">
        <v>52</v>
      </c>
      <c r="M334" t="s">
        <v>63</v>
      </c>
      <c r="N334" s="2" t="s">
        <v>3035</v>
      </c>
      <c r="O334" t="s">
        <v>3036</v>
      </c>
      <c r="P334" t="s">
        <v>16</v>
      </c>
      <c r="Q334">
        <v>70.974589730015879</v>
      </c>
      <c r="R334">
        <f ca="1">YEAR(TODAY())-Table1[[#This Row],[Year Built]]</f>
        <v>14</v>
      </c>
      <c r="S334" t="str">
        <f>IF(Table1[[#This Row],[Days on Market]] &lt; 30,"Fast",IF(Table1[[#This Row],[Days on Market]]&lt;= 90,"Average", "Slow"))</f>
        <v>Fast</v>
      </c>
      <c r="T334" t="str">
        <f>IF(Table1[[#This Row],[Price2]]&lt;500000,"Affordable",IF(Table1[[#This Row],[Price2]]&lt;1000000,"Mid range","Luxury"))</f>
        <v>Affordable</v>
      </c>
    </row>
    <row r="335" spans="1:20" x14ac:dyDescent="0.35">
      <c r="A335" s="3">
        <v>268166</v>
      </c>
      <c r="B335" s="2" t="s">
        <v>12</v>
      </c>
      <c r="C335">
        <v>34479</v>
      </c>
      <c r="D335" s="2" t="s">
        <v>23</v>
      </c>
      <c r="E335">
        <v>2</v>
      </c>
      <c r="F335">
        <v>4</v>
      </c>
      <c r="G335" s="4">
        <f>VALUE(SUBSTITUTE(SUBSTITUTE(Table1[[#This Row],[Price]],"$",""),",",""))</f>
        <v>268166</v>
      </c>
      <c r="H335" s="1">
        <f>Table1[[#This Row],[Price2]]/Table1[[#This Row],[Area]]</f>
        <v>81.237806725234776</v>
      </c>
      <c r="I335">
        <v>3301</v>
      </c>
      <c r="J335">
        <v>1982</v>
      </c>
      <c r="K335">
        <v>10</v>
      </c>
      <c r="L335" t="s">
        <v>40</v>
      </c>
      <c r="M335" t="s">
        <v>2750</v>
      </c>
      <c r="N335" s="2" t="s">
        <v>3027</v>
      </c>
      <c r="O335" t="s">
        <v>3028</v>
      </c>
      <c r="P335" t="s">
        <v>16</v>
      </c>
      <c r="Q335">
        <v>81.237806725234776</v>
      </c>
      <c r="R335">
        <f ca="1">YEAR(TODAY())-Table1[[#This Row],[Year Built]]</f>
        <v>44</v>
      </c>
      <c r="S335" t="str">
        <f>IF(Table1[[#This Row],[Days on Market]] &lt; 30,"Fast",IF(Table1[[#This Row],[Days on Market]]&lt;= 90,"Average", "Slow"))</f>
        <v>Fast</v>
      </c>
      <c r="T335" t="str">
        <f>IF(Table1[[#This Row],[Price2]]&lt;500000,"Affordable",IF(Table1[[#This Row],[Price2]]&lt;1000000,"Mid range","Luxury"))</f>
        <v>Affordable</v>
      </c>
    </row>
    <row r="336" spans="1:20" x14ac:dyDescent="0.35">
      <c r="A336" s="3">
        <v>269487</v>
      </c>
      <c r="B336" s="2" t="s">
        <v>17</v>
      </c>
      <c r="C336">
        <v>50573</v>
      </c>
      <c r="D336" s="2" t="s">
        <v>35</v>
      </c>
      <c r="E336">
        <v>6</v>
      </c>
      <c r="F336">
        <v>3</v>
      </c>
      <c r="G336" s="4">
        <f>VALUE(SUBSTITUTE(SUBSTITUTE(Table1[[#This Row],[Price]],"$",""),",",""))</f>
        <v>269487</v>
      </c>
      <c r="H336" s="1">
        <f>Table1[[#This Row],[Price2]]/Table1[[#This Row],[Area]]</f>
        <v>88.647039473684217</v>
      </c>
      <c r="I336">
        <v>3040</v>
      </c>
      <c r="J336">
        <v>1987</v>
      </c>
      <c r="K336">
        <v>2</v>
      </c>
      <c r="L336" t="s">
        <v>52</v>
      </c>
      <c r="M336" t="s">
        <v>984</v>
      </c>
      <c r="N336" s="2" t="s">
        <v>3033</v>
      </c>
      <c r="O336" t="s">
        <v>3034</v>
      </c>
      <c r="P336" t="s">
        <v>21</v>
      </c>
      <c r="Q336">
        <v>88.647039473684217</v>
      </c>
      <c r="R336">
        <f ca="1">YEAR(TODAY())-Table1[[#This Row],[Year Built]]</f>
        <v>39</v>
      </c>
      <c r="S336" t="str">
        <f>IF(Table1[[#This Row],[Days on Market]] &lt; 30,"Fast",IF(Table1[[#This Row],[Days on Market]]&lt;= 90,"Average", "Slow"))</f>
        <v>Fast</v>
      </c>
      <c r="T336" t="str">
        <f>IF(Table1[[#This Row],[Price2]]&lt;500000,"Affordable",IF(Table1[[#This Row],[Price2]]&lt;1000000,"Mid range","Luxury"))</f>
        <v>Affordable</v>
      </c>
    </row>
    <row r="337" spans="1:20" x14ac:dyDescent="0.35">
      <c r="A337" s="3">
        <v>270055</v>
      </c>
      <c r="B337" s="2" t="s">
        <v>22</v>
      </c>
      <c r="C337">
        <v>69720</v>
      </c>
      <c r="D337" s="2" t="s">
        <v>29</v>
      </c>
      <c r="E337">
        <v>6</v>
      </c>
      <c r="F337">
        <v>1</v>
      </c>
      <c r="G337" s="4">
        <f>VALUE(SUBSTITUTE(SUBSTITUTE(Table1[[#This Row],[Price]],"$",""),",",""))</f>
        <v>270055</v>
      </c>
      <c r="H337" s="1">
        <f>Table1[[#This Row],[Price2]]/Table1[[#This Row],[Area]]</f>
        <v>96.31062767475035</v>
      </c>
      <c r="I337">
        <v>2804</v>
      </c>
      <c r="J337">
        <v>1974</v>
      </c>
      <c r="K337">
        <v>41</v>
      </c>
      <c r="L337" t="s">
        <v>19</v>
      </c>
      <c r="M337" t="s">
        <v>1492</v>
      </c>
      <c r="N337" s="2" t="s">
        <v>3031</v>
      </c>
      <c r="O337" t="s">
        <v>3032</v>
      </c>
      <c r="P337" t="s">
        <v>16</v>
      </c>
      <c r="Q337">
        <v>96.31062767475035</v>
      </c>
      <c r="R337">
        <f ca="1">YEAR(TODAY())-Table1[[#This Row],[Year Built]]</f>
        <v>52</v>
      </c>
      <c r="S337" t="str">
        <f>IF(Table1[[#This Row],[Days on Market]] &lt; 30,"Fast",IF(Table1[[#This Row],[Days on Market]]&lt;= 90,"Average", "Slow"))</f>
        <v>Average</v>
      </c>
      <c r="T337" t="str">
        <f>IF(Table1[[#This Row],[Price2]]&lt;500000,"Affordable",IF(Table1[[#This Row],[Price2]]&lt;1000000,"Mid range","Luxury"))</f>
        <v>Affordable</v>
      </c>
    </row>
    <row r="338" spans="1:20" x14ac:dyDescent="0.35">
      <c r="A338" s="3">
        <v>270245</v>
      </c>
      <c r="B338" s="2" t="s">
        <v>27</v>
      </c>
      <c r="C338">
        <v>73252</v>
      </c>
      <c r="D338" s="2" t="s">
        <v>29</v>
      </c>
      <c r="E338">
        <v>5</v>
      </c>
      <c r="F338">
        <v>2</v>
      </c>
      <c r="G338" s="4">
        <f>VALUE(SUBSTITUTE(SUBSTITUTE(Table1[[#This Row],[Price]],"$",""),",",""))</f>
        <v>270245</v>
      </c>
      <c r="H338" s="1">
        <f>Table1[[#This Row],[Price2]]/Table1[[#This Row],[Area]]</f>
        <v>72.510061711832577</v>
      </c>
      <c r="I338">
        <v>3727</v>
      </c>
      <c r="J338">
        <v>1951</v>
      </c>
      <c r="K338">
        <v>55</v>
      </c>
      <c r="L338" t="s">
        <v>19</v>
      </c>
      <c r="M338" t="s">
        <v>2098</v>
      </c>
      <c r="N338" s="2" t="s">
        <v>3027</v>
      </c>
      <c r="O338" t="s">
        <v>3028</v>
      </c>
      <c r="P338" t="s">
        <v>16</v>
      </c>
      <c r="Q338">
        <v>72.510061711832577</v>
      </c>
      <c r="R338">
        <f ca="1">YEAR(TODAY())-Table1[[#This Row],[Year Built]]</f>
        <v>75</v>
      </c>
      <c r="S338" t="str">
        <f>IF(Table1[[#This Row],[Days on Market]] &lt; 30,"Fast",IF(Table1[[#This Row],[Days on Market]]&lt;= 90,"Average", "Slow"))</f>
        <v>Average</v>
      </c>
      <c r="T338" t="str">
        <f>IF(Table1[[#This Row],[Price2]]&lt;500000,"Affordable",IF(Table1[[#This Row],[Price2]]&lt;1000000,"Mid range","Luxury"))</f>
        <v>Affordable</v>
      </c>
    </row>
    <row r="339" spans="1:20" x14ac:dyDescent="0.35">
      <c r="A339" s="3">
        <v>270319</v>
      </c>
      <c r="B339" s="2" t="s">
        <v>27</v>
      </c>
      <c r="C339">
        <v>83167</v>
      </c>
      <c r="D339" s="2" t="s">
        <v>29</v>
      </c>
      <c r="E339">
        <v>3</v>
      </c>
      <c r="F339">
        <v>1</v>
      </c>
      <c r="G339" s="4">
        <f>VALUE(SUBSTITUTE(SUBSTITUTE(Table1[[#This Row],[Price]],"$",""),",",""))</f>
        <v>270319</v>
      </c>
      <c r="H339" s="1">
        <f>Table1[[#This Row],[Price2]]/Table1[[#This Row],[Area]]</f>
        <v>87.68050600064872</v>
      </c>
      <c r="I339">
        <v>3083</v>
      </c>
      <c r="J339">
        <v>1999</v>
      </c>
      <c r="K339">
        <v>83</v>
      </c>
      <c r="L339" t="s">
        <v>14</v>
      </c>
      <c r="M339" t="s">
        <v>2849</v>
      </c>
      <c r="N339" s="2" t="s">
        <v>3035</v>
      </c>
      <c r="O339" t="s">
        <v>3036</v>
      </c>
      <c r="P339" t="s">
        <v>26</v>
      </c>
      <c r="Q339">
        <v>87.68050600064872</v>
      </c>
      <c r="R339">
        <f ca="1">YEAR(TODAY())-Table1[[#This Row],[Year Built]]</f>
        <v>27</v>
      </c>
      <c r="S339" t="str">
        <f>IF(Table1[[#This Row],[Days on Market]] &lt; 30,"Fast",IF(Table1[[#This Row],[Days on Market]]&lt;= 90,"Average", "Slow"))</f>
        <v>Average</v>
      </c>
      <c r="T339" t="str">
        <f>IF(Table1[[#This Row],[Price2]]&lt;500000,"Affordable",IF(Table1[[#This Row],[Price2]]&lt;1000000,"Mid range","Luxury"))</f>
        <v>Affordable</v>
      </c>
    </row>
    <row r="340" spans="1:20" x14ac:dyDescent="0.35">
      <c r="A340" s="3">
        <v>271192</v>
      </c>
      <c r="B340" s="2" t="s">
        <v>34</v>
      </c>
      <c r="C340">
        <v>91208</v>
      </c>
      <c r="D340" s="2" t="s">
        <v>35</v>
      </c>
      <c r="E340">
        <v>2</v>
      </c>
      <c r="F340">
        <v>4</v>
      </c>
      <c r="G340" s="4">
        <f>VALUE(SUBSTITUTE(SUBSTITUTE(Table1[[#This Row],[Price]],"$",""),",",""))</f>
        <v>271192</v>
      </c>
      <c r="H340" s="1">
        <f>Table1[[#This Row],[Price2]]/Table1[[#This Row],[Area]]</f>
        <v>70.093564228482819</v>
      </c>
      <c r="I340">
        <v>3869</v>
      </c>
      <c r="J340">
        <v>2012</v>
      </c>
      <c r="K340">
        <v>67</v>
      </c>
      <c r="L340" t="s">
        <v>52</v>
      </c>
      <c r="M340" t="s">
        <v>1878</v>
      </c>
      <c r="N340" s="2" t="s">
        <v>3033</v>
      </c>
      <c r="O340" t="s">
        <v>3034</v>
      </c>
      <c r="P340" t="s">
        <v>16</v>
      </c>
      <c r="Q340">
        <v>70.093564228482819</v>
      </c>
      <c r="R340">
        <f ca="1">YEAR(TODAY())-Table1[[#This Row],[Year Built]]</f>
        <v>14</v>
      </c>
      <c r="S340" t="str">
        <f>IF(Table1[[#This Row],[Days on Market]] &lt; 30,"Fast",IF(Table1[[#This Row],[Days on Market]]&lt;= 90,"Average", "Slow"))</f>
        <v>Average</v>
      </c>
      <c r="T340" t="str">
        <f>IF(Table1[[#This Row],[Price2]]&lt;500000,"Affordable",IF(Table1[[#This Row],[Price2]]&lt;1000000,"Mid range","Luxury"))</f>
        <v>Affordable</v>
      </c>
    </row>
    <row r="341" spans="1:20" x14ac:dyDescent="0.35">
      <c r="A341" s="3">
        <v>272592</v>
      </c>
      <c r="B341" s="2" t="s">
        <v>12</v>
      </c>
      <c r="C341">
        <v>22610</v>
      </c>
      <c r="D341" s="2" t="s">
        <v>13</v>
      </c>
      <c r="E341">
        <v>3</v>
      </c>
      <c r="F341">
        <v>3</v>
      </c>
      <c r="G341" s="4">
        <f>VALUE(SUBSTITUTE(SUBSTITUTE(Table1[[#This Row],[Price]],"$",""),",",""))</f>
        <v>272592</v>
      </c>
      <c r="H341" s="1">
        <f>Table1[[#This Row],[Price2]]/Table1[[#This Row],[Area]]</f>
        <v>74.867344136226308</v>
      </c>
      <c r="I341">
        <v>3641</v>
      </c>
      <c r="J341">
        <v>1988</v>
      </c>
      <c r="K341">
        <v>115</v>
      </c>
      <c r="L341" t="s">
        <v>14</v>
      </c>
      <c r="M341" t="s">
        <v>68</v>
      </c>
      <c r="N341" s="2" t="s">
        <v>3031</v>
      </c>
      <c r="O341" t="s">
        <v>3032</v>
      </c>
      <c r="P341" t="s">
        <v>16</v>
      </c>
      <c r="Q341">
        <v>74.867344136226308</v>
      </c>
      <c r="R341">
        <f ca="1">YEAR(TODAY())-Table1[[#This Row],[Year Built]]</f>
        <v>38</v>
      </c>
      <c r="S341" t="str">
        <f>IF(Table1[[#This Row],[Days on Market]] &lt; 30,"Fast",IF(Table1[[#This Row],[Days on Market]]&lt;= 90,"Average", "Slow"))</f>
        <v>Slow</v>
      </c>
      <c r="T341" t="str">
        <f>IF(Table1[[#This Row],[Price2]]&lt;500000,"Affordable",IF(Table1[[#This Row],[Price2]]&lt;1000000,"Mid range","Luxury"))</f>
        <v>Affordable</v>
      </c>
    </row>
    <row r="342" spans="1:20" x14ac:dyDescent="0.35">
      <c r="A342" s="3">
        <v>273704</v>
      </c>
      <c r="B342" s="2" t="s">
        <v>22</v>
      </c>
      <c r="C342">
        <v>80702</v>
      </c>
      <c r="D342" s="2" t="s">
        <v>35</v>
      </c>
      <c r="E342">
        <v>6</v>
      </c>
      <c r="F342">
        <v>4</v>
      </c>
      <c r="G342" s="4">
        <f>VALUE(SUBSTITUTE(SUBSTITUTE(Table1[[#This Row],[Price]],"$",""),",",""))</f>
        <v>273704</v>
      </c>
      <c r="H342" s="1">
        <f>Table1[[#This Row],[Price2]]/Table1[[#This Row],[Area]]</f>
        <v>79.773826872631886</v>
      </c>
      <c r="I342">
        <v>3431</v>
      </c>
      <c r="J342">
        <v>1958</v>
      </c>
      <c r="K342">
        <v>87</v>
      </c>
      <c r="L342" t="s">
        <v>40</v>
      </c>
      <c r="M342" t="s">
        <v>486</v>
      </c>
      <c r="N342" s="2" t="s">
        <v>3029</v>
      </c>
      <c r="O342" t="s">
        <v>3030</v>
      </c>
      <c r="P342" t="s">
        <v>16</v>
      </c>
      <c r="Q342">
        <v>79.773826872631886</v>
      </c>
      <c r="R342">
        <f ca="1">YEAR(TODAY())-Table1[[#This Row],[Year Built]]</f>
        <v>68</v>
      </c>
      <c r="S342" t="str">
        <f>IF(Table1[[#This Row],[Days on Market]] &lt; 30,"Fast",IF(Table1[[#This Row],[Days on Market]]&lt;= 90,"Average", "Slow"))</f>
        <v>Average</v>
      </c>
      <c r="T342" t="str">
        <f>IF(Table1[[#This Row],[Price2]]&lt;500000,"Affordable",IF(Table1[[#This Row],[Price2]]&lt;1000000,"Mid range","Luxury"))</f>
        <v>Affordable</v>
      </c>
    </row>
    <row r="343" spans="1:20" x14ac:dyDescent="0.35">
      <c r="A343" s="3">
        <v>273905</v>
      </c>
      <c r="B343" s="2" t="s">
        <v>22</v>
      </c>
      <c r="C343">
        <v>49587</v>
      </c>
      <c r="D343" s="2" t="s">
        <v>29</v>
      </c>
      <c r="E343">
        <v>3</v>
      </c>
      <c r="F343">
        <v>4</v>
      </c>
      <c r="G343" s="4">
        <f>VALUE(SUBSTITUTE(SUBSTITUTE(Table1[[#This Row],[Price]],"$",""),",",""))</f>
        <v>273905</v>
      </c>
      <c r="H343" s="1">
        <f>Table1[[#This Row],[Price2]]/Table1[[#This Row],[Area]]</f>
        <v>196.48852223816357</v>
      </c>
      <c r="I343">
        <v>1394</v>
      </c>
      <c r="J343">
        <v>2018</v>
      </c>
      <c r="K343">
        <v>8</v>
      </c>
      <c r="L343" t="s">
        <v>19</v>
      </c>
      <c r="M343" t="s">
        <v>1862</v>
      </c>
      <c r="N343" s="2" t="s">
        <v>3033</v>
      </c>
      <c r="O343" t="s">
        <v>3034</v>
      </c>
      <c r="P343" t="s">
        <v>16</v>
      </c>
      <c r="Q343">
        <v>196.48852223816357</v>
      </c>
      <c r="R343">
        <f ca="1">YEAR(TODAY())-Table1[[#This Row],[Year Built]]</f>
        <v>8</v>
      </c>
      <c r="S343" t="str">
        <f>IF(Table1[[#This Row],[Days on Market]] &lt; 30,"Fast",IF(Table1[[#This Row],[Days on Market]]&lt;= 90,"Average", "Slow"))</f>
        <v>Fast</v>
      </c>
      <c r="T343" t="str">
        <f>IF(Table1[[#This Row],[Price2]]&lt;500000,"Affordable",IF(Table1[[#This Row],[Price2]]&lt;1000000,"Mid range","Luxury"))</f>
        <v>Affordable</v>
      </c>
    </row>
    <row r="344" spans="1:20" x14ac:dyDescent="0.35">
      <c r="A344" s="3">
        <v>273995</v>
      </c>
      <c r="B344" s="2" t="s">
        <v>34</v>
      </c>
      <c r="C344">
        <v>56441</v>
      </c>
      <c r="D344" s="2" t="s">
        <v>29</v>
      </c>
      <c r="E344">
        <v>2</v>
      </c>
      <c r="F344">
        <v>1</v>
      </c>
      <c r="G344" s="4">
        <f>VALUE(SUBSTITUTE(SUBSTITUTE(Table1[[#This Row],[Price]],"$",""),",",""))</f>
        <v>273995</v>
      </c>
      <c r="H344" s="1">
        <f>Table1[[#This Row],[Price2]]/Table1[[#This Row],[Area]]</f>
        <v>184.13642473118279</v>
      </c>
      <c r="I344">
        <v>1488</v>
      </c>
      <c r="J344">
        <v>1971</v>
      </c>
      <c r="K344">
        <v>37</v>
      </c>
      <c r="L344" t="s">
        <v>30</v>
      </c>
      <c r="M344" t="s">
        <v>1444</v>
      </c>
      <c r="N344" s="2" t="s">
        <v>3029</v>
      </c>
      <c r="O344" t="s">
        <v>3030</v>
      </c>
      <c r="P344" t="s">
        <v>16</v>
      </c>
      <c r="Q344">
        <v>184.13642473118279</v>
      </c>
      <c r="R344">
        <f ca="1">YEAR(TODAY())-Table1[[#This Row],[Year Built]]</f>
        <v>55</v>
      </c>
      <c r="S344" t="str">
        <f>IF(Table1[[#This Row],[Days on Market]] &lt; 30,"Fast",IF(Table1[[#This Row],[Days on Market]]&lt;= 90,"Average", "Slow"))</f>
        <v>Average</v>
      </c>
      <c r="T344" t="str">
        <f>IF(Table1[[#This Row],[Price2]]&lt;500000,"Affordable",IF(Table1[[#This Row],[Price2]]&lt;1000000,"Mid range","Luxury"))</f>
        <v>Affordable</v>
      </c>
    </row>
    <row r="345" spans="1:20" x14ac:dyDescent="0.35">
      <c r="A345" s="3">
        <v>274061</v>
      </c>
      <c r="B345" s="2" t="s">
        <v>34</v>
      </c>
      <c r="C345">
        <v>68531</v>
      </c>
      <c r="D345" s="2" t="s">
        <v>23</v>
      </c>
      <c r="E345">
        <v>1</v>
      </c>
      <c r="F345">
        <v>3</v>
      </c>
      <c r="G345" s="4">
        <f>VALUE(SUBSTITUTE(SUBSTITUTE(Table1[[#This Row],[Price]],"$",""),",",""))</f>
        <v>274061</v>
      </c>
      <c r="H345" s="1">
        <f>Table1[[#This Row],[Price2]]/Table1[[#This Row],[Area]]</f>
        <v>304.85094549499445</v>
      </c>
      <c r="I345">
        <v>899</v>
      </c>
      <c r="J345">
        <v>1978</v>
      </c>
      <c r="K345">
        <v>34</v>
      </c>
      <c r="L345" t="s">
        <v>40</v>
      </c>
      <c r="M345" t="s">
        <v>323</v>
      </c>
      <c r="N345" s="2" t="s">
        <v>3031</v>
      </c>
      <c r="O345" t="s">
        <v>3032</v>
      </c>
      <c r="P345" t="s">
        <v>26</v>
      </c>
      <c r="Q345">
        <v>304.85094549499445</v>
      </c>
      <c r="R345">
        <f ca="1">YEAR(TODAY())-Table1[[#This Row],[Year Built]]</f>
        <v>48</v>
      </c>
      <c r="S345" t="str">
        <f>IF(Table1[[#This Row],[Days on Market]] &lt; 30,"Fast",IF(Table1[[#This Row],[Days on Market]]&lt;= 90,"Average", "Slow"))</f>
        <v>Average</v>
      </c>
      <c r="T345" t="str">
        <f>IF(Table1[[#This Row],[Price2]]&lt;500000,"Affordable",IF(Table1[[#This Row],[Price2]]&lt;1000000,"Mid range","Luxury"))</f>
        <v>Affordable</v>
      </c>
    </row>
    <row r="346" spans="1:20" x14ac:dyDescent="0.35">
      <c r="A346" s="3">
        <v>274635</v>
      </c>
      <c r="B346" s="2" t="s">
        <v>22</v>
      </c>
      <c r="C346">
        <v>77443</v>
      </c>
      <c r="D346" s="2" t="s">
        <v>23</v>
      </c>
      <c r="E346">
        <v>6</v>
      </c>
      <c r="F346">
        <v>3</v>
      </c>
      <c r="G346" s="4">
        <f>VALUE(SUBSTITUTE(SUBSTITUTE(Table1[[#This Row],[Price]],"$",""),",",""))</f>
        <v>274635</v>
      </c>
      <c r="H346" s="1">
        <f>Table1[[#This Row],[Price2]]/Table1[[#This Row],[Area]]</f>
        <v>119.04421326397919</v>
      </c>
      <c r="I346">
        <v>2307</v>
      </c>
      <c r="J346">
        <v>2009</v>
      </c>
      <c r="K346">
        <v>27</v>
      </c>
      <c r="L346" t="s">
        <v>40</v>
      </c>
      <c r="M346" t="s">
        <v>2755</v>
      </c>
      <c r="N346" s="2" t="s">
        <v>3029</v>
      </c>
      <c r="O346" t="s">
        <v>3030</v>
      </c>
      <c r="P346" t="s">
        <v>16</v>
      </c>
      <c r="Q346">
        <v>119.04421326397919</v>
      </c>
      <c r="R346">
        <f ca="1">YEAR(TODAY())-Table1[[#This Row],[Year Built]]</f>
        <v>17</v>
      </c>
      <c r="S346" t="str">
        <f>IF(Table1[[#This Row],[Days on Market]] &lt; 30,"Fast",IF(Table1[[#This Row],[Days on Market]]&lt;= 90,"Average", "Slow"))</f>
        <v>Fast</v>
      </c>
      <c r="T346" t="str">
        <f>IF(Table1[[#This Row],[Price2]]&lt;500000,"Affordable",IF(Table1[[#This Row],[Price2]]&lt;1000000,"Mid range","Luxury"))</f>
        <v>Affordable</v>
      </c>
    </row>
    <row r="347" spans="1:20" x14ac:dyDescent="0.35">
      <c r="A347" s="3">
        <v>274794</v>
      </c>
      <c r="B347" s="2" t="s">
        <v>12</v>
      </c>
      <c r="C347">
        <v>18058</v>
      </c>
      <c r="D347" s="2" t="s">
        <v>13</v>
      </c>
      <c r="E347">
        <v>1</v>
      </c>
      <c r="F347">
        <v>1</v>
      </c>
      <c r="G347" s="4">
        <f>VALUE(SUBSTITUTE(SUBSTITUTE(Table1[[#This Row],[Price]],"$",""),",",""))</f>
        <v>274794</v>
      </c>
      <c r="H347" s="1">
        <f>Table1[[#This Row],[Price2]]/Table1[[#This Row],[Area]]</f>
        <v>202.05441176470589</v>
      </c>
      <c r="I347">
        <v>1360</v>
      </c>
      <c r="J347">
        <v>1953</v>
      </c>
      <c r="K347">
        <v>36</v>
      </c>
      <c r="L347" t="s">
        <v>52</v>
      </c>
      <c r="M347" t="s">
        <v>320</v>
      </c>
      <c r="N347" s="2" t="s">
        <v>3035</v>
      </c>
      <c r="O347" t="s">
        <v>3036</v>
      </c>
      <c r="P347" t="s">
        <v>21</v>
      </c>
      <c r="Q347">
        <v>202.05441176470589</v>
      </c>
      <c r="R347">
        <f ca="1">YEAR(TODAY())-Table1[[#This Row],[Year Built]]</f>
        <v>73</v>
      </c>
      <c r="S347" t="str">
        <f>IF(Table1[[#This Row],[Days on Market]] &lt; 30,"Fast",IF(Table1[[#This Row],[Days on Market]]&lt;= 90,"Average", "Slow"))</f>
        <v>Average</v>
      </c>
      <c r="T347" t="str">
        <f>IF(Table1[[#This Row],[Price2]]&lt;500000,"Affordable",IF(Table1[[#This Row],[Price2]]&lt;1000000,"Mid range","Luxury"))</f>
        <v>Affordable</v>
      </c>
    </row>
    <row r="348" spans="1:20" x14ac:dyDescent="0.35">
      <c r="A348" s="3">
        <v>274902</v>
      </c>
      <c r="B348" s="2" t="s">
        <v>17</v>
      </c>
      <c r="C348">
        <v>29272</v>
      </c>
      <c r="D348" s="2" t="s">
        <v>13</v>
      </c>
      <c r="E348">
        <v>3</v>
      </c>
      <c r="F348">
        <v>4</v>
      </c>
      <c r="G348" s="4">
        <f>VALUE(SUBSTITUTE(SUBSTITUTE(Table1[[#This Row],[Price]],"$",""),",",""))</f>
        <v>274902</v>
      </c>
      <c r="H348" s="1">
        <f>Table1[[#This Row],[Price2]]/Table1[[#This Row],[Area]]</f>
        <v>129.977304964539</v>
      </c>
      <c r="I348">
        <v>2115</v>
      </c>
      <c r="J348">
        <v>1970</v>
      </c>
      <c r="K348">
        <v>59</v>
      </c>
      <c r="L348" t="s">
        <v>19</v>
      </c>
      <c r="M348" t="s">
        <v>1225</v>
      </c>
      <c r="N348" s="2" t="s">
        <v>3029</v>
      </c>
      <c r="O348" t="s">
        <v>3030</v>
      </c>
      <c r="P348" t="s">
        <v>21</v>
      </c>
      <c r="Q348">
        <v>129.977304964539</v>
      </c>
      <c r="R348">
        <f ca="1">YEAR(TODAY())-Table1[[#This Row],[Year Built]]</f>
        <v>56</v>
      </c>
      <c r="S348" t="str">
        <f>IF(Table1[[#This Row],[Days on Market]] &lt; 30,"Fast",IF(Table1[[#This Row],[Days on Market]]&lt;= 90,"Average", "Slow"))</f>
        <v>Average</v>
      </c>
      <c r="T348" t="str">
        <f>IF(Table1[[#This Row],[Price2]]&lt;500000,"Affordable",IF(Table1[[#This Row],[Price2]]&lt;1000000,"Mid range","Luxury"))</f>
        <v>Affordable</v>
      </c>
    </row>
    <row r="349" spans="1:20" x14ac:dyDescent="0.35">
      <c r="A349" s="3">
        <v>275759</v>
      </c>
      <c r="B349" s="2" t="s">
        <v>17</v>
      </c>
      <c r="C349">
        <v>94352</v>
      </c>
      <c r="D349" s="2" t="s">
        <v>29</v>
      </c>
      <c r="E349">
        <v>1</v>
      </c>
      <c r="F349">
        <v>1</v>
      </c>
      <c r="G349" s="4">
        <f>VALUE(SUBSTITUTE(SUBSTITUTE(Table1[[#This Row],[Price]],"$",""),",",""))</f>
        <v>275759</v>
      </c>
      <c r="H349" s="1">
        <f>Table1[[#This Row],[Price2]]/Table1[[#This Row],[Area]]</f>
        <v>206.09790732436471</v>
      </c>
      <c r="I349">
        <v>1338</v>
      </c>
      <c r="J349">
        <v>2011</v>
      </c>
      <c r="K349">
        <v>5</v>
      </c>
      <c r="L349" t="s">
        <v>19</v>
      </c>
      <c r="M349" t="s">
        <v>644</v>
      </c>
      <c r="N349" s="2" t="s">
        <v>3031</v>
      </c>
      <c r="O349" t="s">
        <v>3032</v>
      </c>
      <c r="P349" t="s">
        <v>16</v>
      </c>
      <c r="Q349">
        <v>206.09790732436471</v>
      </c>
      <c r="R349">
        <f ca="1">YEAR(TODAY())-Table1[[#This Row],[Year Built]]</f>
        <v>15</v>
      </c>
      <c r="S349" t="str">
        <f>IF(Table1[[#This Row],[Days on Market]] &lt; 30,"Fast",IF(Table1[[#This Row],[Days on Market]]&lt;= 90,"Average", "Slow"))</f>
        <v>Fast</v>
      </c>
      <c r="T349" t="str">
        <f>IF(Table1[[#This Row],[Price2]]&lt;500000,"Affordable",IF(Table1[[#This Row],[Price2]]&lt;1000000,"Mid range","Luxury"))</f>
        <v>Affordable</v>
      </c>
    </row>
    <row r="350" spans="1:20" x14ac:dyDescent="0.35">
      <c r="A350" s="3">
        <v>276658</v>
      </c>
      <c r="B350" s="2" t="s">
        <v>22</v>
      </c>
      <c r="C350">
        <v>75619</v>
      </c>
      <c r="D350" s="2" t="s">
        <v>13</v>
      </c>
      <c r="E350">
        <v>4</v>
      </c>
      <c r="F350">
        <v>4</v>
      </c>
      <c r="G350" s="4">
        <f>VALUE(SUBSTITUTE(SUBSTITUTE(Table1[[#This Row],[Price]],"$",""),",",""))</f>
        <v>276658</v>
      </c>
      <c r="H350" s="1">
        <f>Table1[[#This Row],[Price2]]/Table1[[#This Row],[Area]]</f>
        <v>247.67949865711728</v>
      </c>
      <c r="I350">
        <v>1117</v>
      </c>
      <c r="J350">
        <v>1968</v>
      </c>
      <c r="K350">
        <v>112</v>
      </c>
      <c r="L350" t="s">
        <v>30</v>
      </c>
      <c r="M350" t="s">
        <v>2274</v>
      </c>
      <c r="N350" s="2" t="s">
        <v>3033</v>
      </c>
      <c r="O350" t="s">
        <v>3034</v>
      </c>
      <c r="P350" t="s">
        <v>26</v>
      </c>
      <c r="Q350">
        <v>247.67949865711728</v>
      </c>
      <c r="R350">
        <f ca="1">YEAR(TODAY())-Table1[[#This Row],[Year Built]]</f>
        <v>58</v>
      </c>
      <c r="S350" t="str">
        <f>IF(Table1[[#This Row],[Days on Market]] &lt; 30,"Fast",IF(Table1[[#This Row],[Days on Market]]&lt;= 90,"Average", "Slow"))</f>
        <v>Slow</v>
      </c>
      <c r="T350" t="str">
        <f>IF(Table1[[#This Row],[Price2]]&lt;500000,"Affordable",IF(Table1[[#This Row],[Price2]]&lt;1000000,"Mid range","Luxury"))</f>
        <v>Affordable</v>
      </c>
    </row>
    <row r="351" spans="1:20" x14ac:dyDescent="0.35">
      <c r="A351" s="3">
        <v>276902</v>
      </c>
      <c r="B351" s="2" t="s">
        <v>22</v>
      </c>
      <c r="C351">
        <v>95685</v>
      </c>
      <c r="D351" s="2" t="s">
        <v>18</v>
      </c>
      <c r="E351">
        <v>3</v>
      </c>
      <c r="F351">
        <v>2</v>
      </c>
      <c r="G351" s="4">
        <f>VALUE(SUBSTITUTE(SUBSTITUTE(Table1[[#This Row],[Price]],"$",""),",",""))</f>
        <v>276902</v>
      </c>
      <c r="H351" s="1">
        <f>Table1[[#This Row],[Price2]]/Table1[[#This Row],[Area]]</f>
        <v>104.76806659099508</v>
      </c>
      <c r="I351">
        <v>2643</v>
      </c>
      <c r="J351">
        <v>1954</v>
      </c>
      <c r="K351">
        <v>103</v>
      </c>
      <c r="L351" t="s">
        <v>40</v>
      </c>
      <c r="M351" t="s">
        <v>1102</v>
      </c>
      <c r="N351" s="2" t="s">
        <v>3029</v>
      </c>
      <c r="O351" t="s">
        <v>3030</v>
      </c>
      <c r="P351" t="s">
        <v>21</v>
      </c>
      <c r="Q351">
        <v>104.76806659099508</v>
      </c>
      <c r="R351">
        <f ca="1">YEAR(TODAY())-Table1[[#This Row],[Year Built]]</f>
        <v>72</v>
      </c>
      <c r="S351" t="str">
        <f>IF(Table1[[#This Row],[Days on Market]] &lt; 30,"Fast",IF(Table1[[#This Row],[Days on Market]]&lt;= 90,"Average", "Slow"))</f>
        <v>Slow</v>
      </c>
      <c r="T351" t="str">
        <f>IF(Table1[[#This Row],[Price2]]&lt;500000,"Affordable",IF(Table1[[#This Row],[Price2]]&lt;1000000,"Mid range","Luxury"))</f>
        <v>Affordable</v>
      </c>
    </row>
    <row r="352" spans="1:20" x14ac:dyDescent="0.35">
      <c r="A352" s="3">
        <v>277024</v>
      </c>
      <c r="B352" s="2" t="s">
        <v>22</v>
      </c>
      <c r="C352">
        <v>72224</v>
      </c>
      <c r="D352" s="2" t="s">
        <v>13</v>
      </c>
      <c r="E352">
        <v>3</v>
      </c>
      <c r="F352">
        <v>2</v>
      </c>
      <c r="G352" s="4">
        <f>VALUE(SUBSTITUTE(SUBSTITUTE(Table1[[#This Row],[Price]],"$",""),",",""))</f>
        <v>277024</v>
      </c>
      <c r="H352" s="1">
        <f>Table1[[#This Row],[Price2]]/Table1[[#This Row],[Area]]</f>
        <v>160.78003482298317</v>
      </c>
      <c r="I352">
        <v>1723</v>
      </c>
      <c r="J352">
        <v>2012</v>
      </c>
      <c r="K352">
        <v>21</v>
      </c>
      <c r="L352" t="s">
        <v>40</v>
      </c>
      <c r="M352" t="s">
        <v>2203</v>
      </c>
      <c r="N352" s="2" t="s">
        <v>3035</v>
      </c>
      <c r="O352" t="s">
        <v>3036</v>
      </c>
      <c r="P352" t="s">
        <v>16</v>
      </c>
      <c r="Q352">
        <v>160.78003482298317</v>
      </c>
      <c r="R352">
        <f ca="1">YEAR(TODAY())-Table1[[#This Row],[Year Built]]</f>
        <v>14</v>
      </c>
      <c r="S352" t="str">
        <f>IF(Table1[[#This Row],[Days on Market]] &lt; 30,"Fast",IF(Table1[[#This Row],[Days on Market]]&lt;= 90,"Average", "Slow"))</f>
        <v>Fast</v>
      </c>
      <c r="T352" t="str">
        <f>IF(Table1[[#This Row],[Price2]]&lt;500000,"Affordable",IF(Table1[[#This Row],[Price2]]&lt;1000000,"Mid range","Luxury"))</f>
        <v>Affordable</v>
      </c>
    </row>
    <row r="353" spans="1:20" x14ac:dyDescent="0.35">
      <c r="A353" s="3">
        <v>277923</v>
      </c>
      <c r="B353" s="2" t="s">
        <v>12</v>
      </c>
      <c r="C353">
        <v>55567</v>
      </c>
      <c r="D353" s="2" t="s">
        <v>35</v>
      </c>
      <c r="E353">
        <v>5</v>
      </c>
      <c r="F353">
        <v>2</v>
      </c>
      <c r="G353" s="4">
        <f>VALUE(SUBSTITUTE(SUBSTITUTE(Table1[[#This Row],[Price]],"$",""),",",""))</f>
        <v>277923</v>
      </c>
      <c r="H353" s="1">
        <f>Table1[[#This Row],[Price2]]/Table1[[#This Row],[Area]]</f>
        <v>344.3903345724907</v>
      </c>
      <c r="I353">
        <v>807</v>
      </c>
      <c r="J353">
        <v>2021</v>
      </c>
      <c r="K353">
        <v>68</v>
      </c>
      <c r="L353" t="s">
        <v>19</v>
      </c>
      <c r="M353" t="s">
        <v>570</v>
      </c>
      <c r="N353" s="2" t="s">
        <v>3031</v>
      </c>
      <c r="O353" t="s">
        <v>3032</v>
      </c>
      <c r="P353" t="s">
        <v>26</v>
      </c>
      <c r="Q353">
        <v>344.3903345724907</v>
      </c>
      <c r="R353">
        <f ca="1">YEAR(TODAY())-Table1[[#This Row],[Year Built]]</f>
        <v>5</v>
      </c>
      <c r="S353" t="str">
        <f>IF(Table1[[#This Row],[Days on Market]] &lt; 30,"Fast",IF(Table1[[#This Row],[Days on Market]]&lt;= 90,"Average", "Slow"))</f>
        <v>Average</v>
      </c>
      <c r="T353" t="str">
        <f>IF(Table1[[#This Row],[Price2]]&lt;500000,"Affordable",IF(Table1[[#This Row],[Price2]]&lt;1000000,"Mid range","Luxury"))</f>
        <v>Affordable</v>
      </c>
    </row>
    <row r="354" spans="1:20" x14ac:dyDescent="0.35">
      <c r="A354" s="3">
        <v>278862</v>
      </c>
      <c r="B354" s="2" t="s">
        <v>17</v>
      </c>
      <c r="C354">
        <v>27368</v>
      </c>
      <c r="D354" s="2" t="s">
        <v>23</v>
      </c>
      <c r="E354">
        <v>2</v>
      </c>
      <c r="F354">
        <v>4</v>
      </c>
      <c r="G354" s="4">
        <f>VALUE(SUBSTITUTE(SUBSTITUTE(Table1[[#This Row],[Price]],"$",""),",",""))</f>
        <v>278862</v>
      </c>
      <c r="H354" s="1">
        <f>Table1[[#This Row],[Price2]]/Table1[[#This Row],[Area]]</f>
        <v>85.803692307692302</v>
      </c>
      <c r="I354">
        <v>3250</v>
      </c>
      <c r="J354">
        <v>1969</v>
      </c>
      <c r="K354">
        <v>62</v>
      </c>
      <c r="L354" t="s">
        <v>14</v>
      </c>
      <c r="M354" t="s">
        <v>1807</v>
      </c>
      <c r="N354" s="2" t="s">
        <v>3029</v>
      </c>
      <c r="O354" t="s">
        <v>3030</v>
      </c>
      <c r="P354" t="s">
        <v>26</v>
      </c>
      <c r="Q354">
        <v>85.803692307692302</v>
      </c>
      <c r="R354">
        <f ca="1">YEAR(TODAY())-Table1[[#This Row],[Year Built]]</f>
        <v>57</v>
      </c>
      <c r="S354" t="str">
        <f>IF(Table1[[#This Row],[Days on Market]] &lt; 30,"Fast",IF(Table1[[#This Row],[Days on Market]]&lt;= 90,"Average", "Slow"))</f>
        <v>Average</v>
      </c>
      <c r="T354" t="str">
        <f>IF(Table1[[#This Row],[Price2]]&lt;500000,"Affordable",IF(Table1[[#This Row],[Price2]]&lt;1000000,"Mid range","Luxury"))</f>
        <v>Affordable</v>
      </c>
    </row>
    <row r="355" spans="1:20" x14ac:dyDescent="0.35">
      <c r="A355" s="3">
        <v>279426</v>
      </c>
      <c r="B355" s="2" t="s">
        <v>12</v>
      </c>
      <c r="C355">
        <v>99507</v>
      </c>
      <c r="D355" s="2" t="s">
        <v>18</v>
      </c>
      <c r="E355">
        <v>6</v>
      </c>
      <c r="F355">
        <v>1</v>
      </c>
      <c r="G355" s="4">
        <f>VALUE(SUBSTITUTE(SUBSTITUTE(Table1[[#This Row],[Price]],"$",""),",",""))</f>
        <v>279426</v>
      </c>
      <c r="H355" s="1">
        <f>Table1[[#This Row],[Price2]]/Table1[[#This Row],[Area]]</f>
        <v>71.574282786885249</v>
      </c>
      <c r="I355">
        <v>3904</v>
      </c>
      <c r="J355">
        <v>1971</v>
      </c>
      <c r="K355">
        <v>86</v>
      </c>
      <c r="L355" t="s">
        <v>14</v>
      </c>
      <c r="M355" t="s">
        <v>850</v>
      </c>
      <c r="N355" s="2" t="s">
        <v>3029</v>
      </c>
      <c r="O355" t="s">
        <v>3030</v>
      </c>
      <c r="P355" t="s">
        <v>21</v>
      </c>
      <c r="Q355">
        <v>71.574282786885249</v>
      </c>
      <c r="R355">
        <f ca="1">YEAR(TODAY())-Table1[[#This Row],[Year Built]]</f>
        <v>55</v>
      </c>
      <c r="S355" t="str">
        <f>IF(Table1[[#This Row],[Days on Market]] &lt; 30,"Fast",IF(Table1[[#This Row],[Days on Market]]&lt;= 90,"Average", "Slow"))</f>
        <v>Average</v>
      </c>
      <c r="T355" t="str">
        <f>IF(Table1[[#This Row],[Price2]]&lt;500000,"Affordable",IF(Table1[[#This Row],[Price2]]&lt;1000000,"Mid range","Luxury"))</f>
        <v>Affordable</v>
      </c>
    </row>
    <row r="356" spans="1:20" x14ac:dyDescent="0.35">
      <c r="A356" s="3">
        <v>279494</v>
      </c>
      <c r="B356" s="2" t="s">
        <v>12</v>
      </c>
      <c r="C356">
        <v>36616</v>
      </c>
      <c r="D356" s="2" t="s">
        <v>18</v>
      </c>
      <c r="E356">
        <v>2</v>
      </c>
      <c r="F356">
        <v>2</v>
      </c>
      <c r="G356" s="4">
        <f>VALUE(SUBSTITUTE(SUBSTITUTE(Table1[[#This Row],[Price]],"$",""),",",""))</f>
        <v>279494</v>
      </c>
      <c r="H356" s="1">
        <f>Table1[[#This Row],[Price2]]/Table1[[#This Row],[Area]]</f>
        <v>118.58039881204921</v>
      </c>
      <c r="I356">
        <v>2357</v>
      </c>
      <c r="J356">
        <v>1957</v>
      </c>
      <c r="K356">
        <v>25</v>
      </c>
      <c r="L356" t="s">
        <v>19</v>
      </c>
      <c r="M356" t="s">
        <v>1973</v>
      </c>
      <c r="N356" s="2" t="s">
        <v>3029</v>
      </c>
      <c r="O356" t="s">
        <v>3030</v>
      </c>
      <c r="P356" t="s">
        <v>21</v>
      </c>
      <c r="Q356">
        <v>118.58039881204921</v>
      </c>
      <c r="R356">
        <f ca="1">YEAR(TODAY())-Table1[[#This Row],[Year Built]]</f>
        <v>69</v>
      </c>
      <c r="S356" t="str">
        <f>IF(Table1[[#This Row],[Days on Market]] &lt; 30,"Fast",IF(Table1[[#This Row],[Days on Market]]&lt;= 90,"Average", "Slow"))</f>
        <v>Fast</v>
      </c>
      <c r="T356" t="str">
        <f>IF(Table1[[#This Row],[Price2]]&lt;500000,"Affordable",IF(Table1[[#This Row],[Price2]]&lt;1000000,"Mid range","Luxury"))</f>
        <v>Affordable</v>
      </c>
    </row>
    <row r="357" spans="1:20" x14ac:dyDescent="0.35">
      <c r="A357" s="3">
        <v>280337</v>
      </c>
      <c r="B357" s="2" t="s">
        <v>22</v>
      </c>
      <c r="C357">
        <v>52311</v>
      </c>
      <c r="D357" s="2" t="s">
        <v>18</v>
      </c>
      <c r="E357">
        <v>6</v>
      </c>
      <c r="F357">
        <v>3</v>
      </c>
      <c r="G357" s="4">
        <f>VALUE(SUBSTITUTE(SUBSTITUTE(Table1[[#This Row],[Price]],"$",""),",",""))</f>
        <v>280337</v>
      </c>
      <c r="H357" s="1">
        <f>Table1[[#This Row],[Price2]]/Table1[[#This Row],[Area]]</f>
        <v>89.137360890302062</v>
      </c>
      <c r="I357">
        <v>3145</v>
      </c>
      <c r="J357">
        <v>2005</v>
      </c>
      <c r="K357">
        <v>38</v>
      </c>
      <c r="L357" t="s">
        <v>30</v>
      </c>
      <c r="M357" t="s">
        <v>840</v>
      </c>
      <c r="N357" s="2" t="s">
        <v>3027</v>
      </c>
      <c r="O357" t="s">
        <v>3028</v>
      </c>
      <c r="P357" t="s">
        <v>16</v>
      </c>
      <c r="Q357">
        <v>89.137360890302062</v>
      </c>
      <c r="R357">
        <f ca="1">YEAR(TODAY())-Table1[[#This Row],[Year Built]]</f>
        <v>21</v>
      </c>
      <c r="S357" t="str">
        <f>IF(Table1[[#This Row],[Days on Market]] &lt; 30,"Fast",IF(Table1[[#This Row],[Days on Market]]&lt;= 90,"Average", "Slow"))</f>
        <v>Average</v>
      </c>
      <c r="T357" t="str">
        <f>IF(Table1[[#This Row],[Price2]]&lt;500000,"Affordable",IF(Table1[[#This Row],[Price2]]&lt;1000000,"Mid range","Luxury"))</f>
        <v>Affordable</v>
      </c>
    </row>
    <row r="358" spans="1:20" x14ac:dyDescent="0.35">
      <c r="A358" s="3">
        <v>281436</v>
      </c>
      <c r="B358" s="2" t="s">
        <v>22</v>
      </c>
      <c r="C358">
        <v>36593</v>
      </c>
      <c r="D358" s="2" t="s">
        <v>23</v>
      </c>
      <c r="E358">
        <v>1</v>
      </c>
      <c r="F358">
        <v>4</v>
      </c>
      <c r="G358" s="4">
        <f>VALUE(SUBSTITUTE(SUBSTITUTE(Table1[[#This Row],[Price]],"$",""),",",""))</f>
        <v>281436</v>
      </c>
      <c r="H358" s="1">
        <f>Table1[[#This Row],[Price2]]/Table1[[#This Row],[Area]]</f>
        <v>384.47540983606558</v>
      </c>
      <c r="I358">
        <v>732</v>
      </c>
      <c r="J358">
        <v>2023</v>
      </c>
      <c r="K358">
        <v>38</v>
      </c>
      <c r="L358" t="s">
        <v>52</v>
      </c>
      <c r="M358" t="s">
        <v>2953</v>
      </c>
      <c r="N358" s="2" t="s">
        <v>3031</v>
      </c>
      <c r="O358" t="s">
        <v>3032</v>
      </c>
      <c r="P358" t="s">
        <v>16</v>
      </c>
      <c r="Q358">
        <v>384.47540983606558</v>
      </c>
      <c r="R358">
        <f ca="1">YEAR(TODAY())-Table1[[#This Row],[Year Built]]</f>
        <v>3</v>
      </c>
      <c r="S358" t="str">
        <f>IF(Table1[[#This Row],[Days on Market]] &lt; 30,"Fast",IF(Table1[[#This Row],[Days on Market]]&lt;= 90,"Average", "Slow"))</f>
        <v>Average</v>
      </c>
      <c r="T358" t="str">
        <f>IF(Table1[[#This Row],[Price2]]&lt;500000,"Affordable",IF(Table1[[#This Row],[Price2]]&lt;1000000,"Mid range","Luxury"))</f>
        <v>Affordable</v>
      </c>
    </row>
    <row r="359" spans="1:20" x14ac:dyDescent="0.35">
      <c r="A359" s="3">
        <v>282593</v>
      </c>
      <c r="B359" s="2" t="s">
        <v>34</v>
      </c>
      <c r="C359">
        <v>99388</v>
      </c>
      <c r="D359" s="2" t="s">
        <v>23</v>
      </c>
      <c r="E359">
        <v>6</v>
      </c>
      <c r="F359">
        <v>2</v>
      </c>
      <c r="G359" s="4">
        <f>VALUE(SUBSTITUTE(SUBSTITUTE(Table1[[#This Row],[Price]],"$",""),",",""))</f>
        <v>282593</v>
      </c>
      <c r="H359" s="1">
        <f>Table1[[#This Row],[Price2]]/Table1[[#This Row],[Area]]</f>
        <v>131.25545750116117</v>
      </c>
      <c r="I359">
        <v>2153</v>
      </c>
      <c r="J359">
        <v>1977</v>
      </c>
      <c r="K359">
        <v>31</v>
      </c>
      <c r="L359" t="s">
        <v>52</v>
      </c>
      <c r="M359" t="s">
        <v>98</v>
      </c>
      <c r="N359" s="2" t="s">
        <v>3027</v>
      </c>
      <c r="O359" t="s">
        <v>3028</v>
      </c>
      <c r="P359" t="s">
        <v>21</v>
      </c>
      <c r="Q359">
        <v>131.25545750116117</v>
      </c>
      <c r="R359">
        <f ca="1">YEAR(TODAY())-Table1[[#This Row],[Year Built]]</f>
        <v>49</v>
      </c>
      <c r="S359" t="str">
        <f>IF(Table1[[#This Row],[Days on Market]] &lt; 30,"Fast",IF(Table1[[#This Row],[Days on Market]]&lt;= 90,"Average", "Slow"))</f>
        <v>Average</v>
      </c>
      <c r="T359" t="str">
        <f>IF(Table1[[#This Row],[Price2]]&lt;500000,"Affordable",IF(Table1[[#This Row],[Price2]]&lt;1000000,"Mid range","Luxury"))</f>
        <v>Affordable</v>
      </c>
    </row>
    <row r="360" spans="1:20" x14ac:dyDescent="0.35">
      <c r="A360" s="3">
        <v>282695</v>
      </c>
      <c r="B360" s="2" t="s">
        <v>12</v>
      </c>
      <c r="C360">
        <v>97210</v>
      </c>
      <c r="D360" s="2" t="s">
        <v>18</v>
      </c>
      <c r="E360">
        <v>6</v>
      </c>
      <c r="F360">
        <v>4</v>
      </c>
      <c r="G360" s="4">
        <f>VALUE(SUBSTITUTE(SUBSTITUTE(Table1[[#This Row],[Price]],"$",""),",",""))</f>
        <v>282695</v>
      </c>
      <c r="H360" s="1">
        <f>Table1[[#This Row],[Price2]]/Table1[[#This Row],[Area]]</f>
        <v>178.69469026548671</v>
      </c>
      <c r="I360">
        <v>1582</v>
      </c>
      <c r="J360">
        <v>1982</v>
      </c>
      <c r="K360">
        <v>74</v>
      </c>
      <c r="L360" t="s">
        <v>14</v>
      </c>
      <c r="M360" t="s">
        <v>1048</v>
      </c>
      <c r="N360" s="2" t="s">
        <v>3035</v>
      </c>
      <c r="O360" t="s">
        <v>3036</v>
      </c>
      <c r="P360" t="s">
        <v>26</v>
      </c>
      <c r="Q360">
        <v>178.69469026548671</v>
      </c>
      <c r="R360">
        <f ca="1">YEAR(TODAY())-Table1[[#This Row],[Year Built]]</f>
        <v>44</v>
      </c>
      <c r="S360" t="str">
        <f>IF(Table1[[#This Row],[Days on Market]] &lt; 30,"Fast",IF(Table1[[#This Row],[Days on Market]]&lt;= 90,"Average", "Slow"))</f>
        <v>Average</v>
      </c>
      <c r="T360" t="str">
        <f>IF(Table1[[#This Row],[Price2]]&lt;500000,"Affordable",IF(Table1[[#This Row],[Price2]]&lt;1000000,"Mid range","Luxury"))</f>
        <v>Affordable</v>
      </c>
    </row>
    <row r="361" spans="1:20" x14ac:dyDescent="0.35">
      <c r="A361" s="3">
        <v>283646</v>
      </c>
      <c r="B361" s="2" t="s">
        <v>27</v>
      </c>
      <c r="C361">
        <v>67134</v>
      </c>
      <c r="D361" s="2" t="s">
        <v>23</v>
      </c>
      <c r="E361">
        <v>4</v>
      </c>
      <c r="F361">
        <v>4</v>
      </c>
      <c r="G361" s="4">
        <f>VALUE(SUBSTITUTE(SUBSTITUTE(Table1[[#This Row],[Price]],"$",""),",",""))</f>
        <v>283646</v>
      </c>
      <c r="H361" s="1">
        <f>Table1[[#This Row],[Price2]]/Table1[[#This Row],[Area]]</f>
        <v>78.615853658536579</v>
      </c>
      <c r="I361">
        <v>3608</v>
      </c>
      <c r="J361">
        <v>1998</v>
      </c>
      <c r="K361">
        <v>118</v>
      </c>
      <c r="L361" t="s">
        <v>52</v>
      </c>
      <c r="M361" t="s">
        <v>1611</v>
      </c>
      <c r="N361" s="2" t="s">
        <v>3035</v>
      </c>
      <c r="O361" t="s">
        <v>3036</v>
      </c>
      <c r="P361" t="s">
        <v>21</v>
      </c>
      <c r="Q361">
        <v>78.615853658536579</v>
      </c>
      <c r="R361">
        <f ca="1">YEAR(TODAY())-Table1[[#This Row],[Year Built]]</f>
        <v>28</v>
      </c>
      <c r="S361" t="str">
        <f>IF(Table1[[#This Row],[Days on Market]] &lt; 30,"Fast",IF(Table1[[#This Row],[Days on Market]]&lt;= 90,"Average", "Slow"))</f>
        <v>Slow</v>
      </c>
      <c r="T361" t="str">
        <f>IF(Table1[[#This Row],[Price2]]&lt;500000,"Affordable",IF(Table1[[#This Row],[Price2]]&lt;1000000,"Mid range","Luxury"))</f>
        <v>Affordable</v>
      </c>
    </row>
    <row r="362" spans="1:20" x14ac:dyDescent="0.35">
      <c r="A362" s="3">
        <v>284033</v>
      </c>
      <c r="B362" s="2" t="s">
        <v>22</v>
      </c>
      <c r="C362">
        <v>62542</v>
      </c>
      <c r="D362" s="2" t="s">
        <v>29</v>
      </c>
      <c r="E362">
        <v>5</v>
      </c>
      <c r="F362">
        <v>2</v>
      </c>
      <c r="G362" s="4">
        <f>VALUE(SUBSTITUTE(SUBSTITUTE(Table1[[#This Row],[Price]],"$",""),",",""))</f>
        <v>284033</v>
      </c>
      <c r="H362" s="1">
        <f>Table1[[#This Row],[Price2]]/Table1[[#This Row],[Area]]</f>
        <v>141.16948310139165</v>
      </c>
      <c r="I362">
        <v>2012</v>
      </c>
      <c r="J362">
        <v>2000</v>
      </c>
      <c r="K362">
        <v>65</v>
      </c>
      <c r="L362" t="s">
        <v>14</v>
      </c>
      <c r="M362" t="s">
        <v>2555</v>
      </c>
      <c r="N362" s="2" t="s">
        <v>3035</v>
      </c>
      <c r="O362" t="s">
        <v>3036</v>
      </c>
      <c r="P362" t="s">
        <v>26</v>
      </c>
      <c r="Q362">
        <v>141.16948310139165</v>
      </c>
      <c r="R362">
        <f ca="1">YEAR(TODAY())-Table1[[#This Row],[Year Built]]</f>
        <v>26</v>
      </c>
      <c r="S362" t="str">
        <f>IF(Table1[[#This Row],[Days on Market]] &lt; 30,"Fast",IF(Table1[[#This Row],[Days on Market]]&lt;= 90,"Average", "Slow"))</f>
        <v>Average</v>
      </c>
      <c r="T362" t="str">
        <f>IF(Table1[[#This Row],[Price2]]&lt;500000,"Affordable",IF(Table1[[#This Row],[Price2]]&lt;1000000,"Mid range","Luxury"))</f>
        <v>Affordable</v>
      </c>
    </row>
    <row r="363" spans="1:20" x14ac:dyDescent="0.35">
      <c r="A363" s="3">
        <v>284784</v>
      </c>
      <c r="B363" s="2" t="s">
        <v>17</v>
      </c>
      <c r="C363">
        <v>72494</v>
      </c>
      <c r="D363" s="2" t="s">
        <v>23</v>
      </c>
      <c r="E363">
        <v>3</v>
      </c>
      <c r="F363">
        <v>4</v>
      </c>
      <c r="G363" s="4">
        <f>VALUE(SUBSTITUTE(SUBSTITUTE(Table1[[#This Row],[Price]],"$",""),",",""))</f>
        <v>284784</v>
      </c>
      <c r="H363" s="1">
        <f>Table1[[#This Row],[Price2]]/Table1[[#This Row],[Area]]</f>
        <v>179.33501259445845</v>
      </c>
      <c r="I363">
        <v>1588</v>
      </c>
      <c r="J363">
        <v>2008</v>
      </c>
      <c r="K363">
        <v>55</v>
      </c>
      <c r="L363" t="s">
        <v>14</v>
      </c>
      <c r="M363" t="s">
        <v>813</v>
      </c>
      <c r="N363" s="2" t="s">
        <v>3029</v>
      </c>
      <c r="O363" t="s">
        <v>3030</v>
      </c>
      <c r="P363" t="s">
        <v>26</v>
      </c>
      <c r="Q363">
        <v>179.33501259445845</v>
      </c>
      <c r="R363">
        <f ca="1">YEAR(TODAY())-Table1[[#This Row],[Year Built]]</f>
        <v>18</v>
      </c>
      <c r="S363" t="str">
        <f>IF(Table1[[#This Row],[Days on Market]] &lt; 30,"Fast",IF(Table1[[#This Row],[Days on Market]]&lt;= 90,"Average", "Slow"))</f>
        <v>Average</v>
      </c>
      <c r="T363" t="str">
        <f>IF(Table1[[#This Row],[Price2]]&lt;500000,"Affordable",IF(Table1[[#This Row],[Price2]]&lt;1000000,"Mid range","Luxury"))</f>
        <v>Affordable</v>
      </c>
    </row>
    <row r="364" spans="1:20" x14ac:dyDescent="0.35">
      <c r="A364" s="3">
        <v>285698</v>
      </c>
      <c r="B364" s="2" t="s">
        <v>27</v>
      </c>
      <c r="C364">
        <v>45807</v>
      </c>
      <c r="D364" s="2" t="s">
        <v>18</v>
      </c>
      <c r="E364">
        <v>1</v>
      </c>
      <c r="F364">
        <v>1</v>
      </c>
      <c r="G364" s="4">
        <f>VALUE(SUBSTITUTE(SUBSTITUTE(Table1[[#This Row],[Price]],"$",""),",",""))</f>
        <v>285698</v>
      </c>
      <c r="H364" s="1">
        <f>Table1[[#This Row],[Price2]]/Table1[[#This Row],[Area]]</f>
        <v>312.92223439211392</v>
      </c>
      <c r="I364">
        <v>913</v>
      </c>
      <c r="J364">
        <v>1999</v>
      </c>
      <c r="K364">
        <v>68</v>
      </c>
      <c r="L364" t="s">
        <v>30</v>
      </c>
      <c r="M364" t="s">
        <v>1149</v>
      </c>
      <c r="N364" s="2" t="s">
        <v>3029</v>
      </c>
      <c r="O364" t="s">
        <v>3030</v>
      </c>
      <c r="P364" t="s">
        <v>21</v>
      </c>
      <c r="Q364">
        <v>312.92223439211392</v>
      </c>
      <c r="R364">
        <f ca="1">YEAR(TODAY())-Table1[[#This Row],[Year Built]]</f>
        <v>27</v>
      </c>
      <c r="S364" t="str">
        <f>IF(Table1[[#This Row],[Days on Market]] &lt; 30,"Fast",IF(Table1[[#This Row],[Days on Market]]&lt;= 90,"Average", "Slow"))</f>
        <v>Average</v>
      </c>
      <c r="T364" t="str">
        <f>IF(Table1[[#This Row],[Price2]]&lt;500000,"Affordable",IF(Table1[[#This Row],[Price2]]&lt;1000000,"Mid range","Luxury"))</f>
        <v>Affordable</v>
      </c>
    </row>
    <row r="365" spans="1:20" x14ac:dyDescent="0.35">
      <c r="A365" s="3">
        <v>285725</v>
      </c>
      <c r="B365" s="2" t="s">
        <v>17</v>
      </c>
      <c r="C365">
        <v>75571</v>
      </c>
      <c r="D365" s="2" t="s">
        <v>18</v>
      </c>
      <c r="E365">
        <v>4</v>
      </c>
      <c r="F365">
        <v>1</v>
      </c>
      <c r="G365" s="4">
        <f>VALUE(SUBSTITUTE(SUBSTITUTE(Table1[[#This Row],[Price]],"$",""),",",""))</f>
        <v>285725</v>
      </c>
      <c r="H365" s="1">
        <f>Table1[[#This Row],[Price2]]/Table1[[#This Row],[Area]]</f>
        <v>248.88937282229966</v>
      </c>
      <c r="I365">
        <v>1148</v>
      </c>
      <c r="J365">
        <v>2004</v>
      </c>
      <c r="K365">
        <v>2</v>
      </c>
      <c r="L365" t="s">
        <v>30</v>
      </c>
      <c r="M365" t="s">
        <v>1523</v>
      </c>
      <c r="N365" s="2" t="s">
        <v>3033</v>
      </c>
      <c r="O365" t="s">
        <v>3034</v>
      </c>
      <c r="P365" t="s">
        <v>16</v>
      </c>
      <c r="Q365">
        <v>248.88937282229966</v>
      </c>
      <c r="R365">
        <f ca="1">YEAR(TODAY())-Table1[[#This Row],[Year Built]]</f>
        <v>22</v>
      </c>
      <c r="S365" t="str">
        <f>IF(Table1[[#This Row],[Days on Market]] &lt; 30,"Fast",IF(Table1[[#This Row],[Days on Market]]&lt;= 90,"Average", "Slow"))</f>
        <v>Fast</v>
      </c>
      <c r="T365" t="str">
        <f>IF(Table1[[#This Row],[Price2]]&lt;500000,"Affordable",IF(Table1[[#This Row],[Price2]]&lt;1000000,"Mid range","Luxury"))</f>
        <v>Affordable</v>
      </c>
    </row>
    <row r="366" spans="1:20" x14ac:dyDescent="0.35">
      <c r="A366" s="3">
        <v>285969</v>
      </c>
      <c r="B366" s="2" t="s">
        <v>27</v>
      </c>
      <c r="C366">
        <v>39530</v>
      </c>
      <c r="D366" s="2" t="s">
        <v>29</v>
      </c>
      <c r="E366">
        <v>4</v>
      </c>
      <c r="F366">
        <v>3</v>
      </c>
      <c r="G366" s="4">
        <f>VALUE(SUBSTITUTE(SUBSTITUTE(Table1[[#This Row],[Price]],"$",""),",",""))</f>
        <v>285969</v>
      </c>
      <c r="H366" s="1">
        <f>Table1[[#This Row],[Price2]]/Table1[[#This Row],[Area]]</f>
        <v>79.193852118526721</v>
      </c>
      <c r="I366">
        <v>3611</v>
      </c>
      <c r="J366">
        <v>1990</v>
      </c>
      <c r="K366">
        <v>78</v>
      </c>
      <c r="L366" t="s">
        <v>40</v>
      </c>
      <c r="M366" t="s">
        <v>851</v>
      </c>
      <c r="N366" s="2" t="s">
        <v>3033</v>
      </c>
      <c r="O366" t="s">
        <v>3034</v>
      </c>
      <c r="P366" t="s">
        <v>26</v>
      </c>
      <c r="Q366">
        <v>79.193852118526721</v>
      </c>
      <c r="R366">
        <f ca="1">YEAR(TODAY())-Table1[[#This Row],[Year Built]]</f>
        <v>36</v>
      </c>
      <c r="S366" t="str">
        <f>IF(Table1[[#This Row],[Days on Market]] &lt; 30,"Fast",IF(Table1[[#This Row],[Days on Market]]&lt;= 90,"Average", "Slow"))</f>
        <v>Average</v>
      </c>
      <c r="T366" t="str">
        <f>IF(Table1[[#This Row],[Price2]]&lt;500000,"Affordable",IF(Table1[[#This Row],[Price2]]&lt;1000000,"Mid range","Luxury"))</f>
        <v>Affordable</v>
      </c>
    </row>
    <row r="367" spans="1:20" x14ac:dyDescent="0.35">
      <c r="A367" s="3">
        <v>286355</v>
      </c>
      <c r="B367" s="2" t="s">
        <v>12</v>
      </c>
      <c r="C367">
        <v>41914</v>
      </c>
      <c r="D367" s="2" t="s">
        <v>23</v>
      </c>
      <c r="E367">
        <v>5</v>
      </c>
      <c r="F367">
        <v>4</v>
      </c>
      <c r="G367" s="4">
        <f>VALUE(SUBSTITUTE(SUBSTITUTE(Table1[[#This Row],[Price]],"$",""),",",""))</f>
        <v>286355</v>
      </c>
      <c r="H367" s="1">
        <f>Table1[[#This Row],[Price2]]/Table1[[#This Row],[Area]]</f>
        <v>164.00630011454754</v>
      </c>
      <c r="I367">
        <v>1746</v>
      </c>
      <c r="J367">
        <v>2008</v>
      </c>
      <c r="K367">
        <v>87</v>
      </c>
      <c r="L367" t="s">
        <v>52</v>
      </c>
      <c r="M367" t="s">
        <v>1750</v>
      </c>
      <c r="N367" s="2" t="s">
        <v>3027</v>
      </c>
      <c r="O367" t="s">
        <v>3028</v>
      </c>
      <c r="P367" t="s">
        <v>26</v>
      </c>
      <c r="Q367">
        <v>164.00630011454754</v>
      </c>
      <c r="R367">
        <f ca="1">YEAR(TODAY())-Table1[[#This Row],[Year Built]]</f>
        <v>18</v>
      </c>
      <c r="S367" t="str">
        <f>IF(Table1[[#This Row],[Days on Market]] &lt; 30,"Fast",IF(Table1[[#This Row],[Days on Market]]&lt;= 90,"Average", "Slow"))</f>
        <v>Average</v>
      </c>
      <c r="T367" t="str">
        <f>IF(Table1[[#This Row],[Price2]]&lt;500000,"Affordable",IF(Table1[[#This Row],[Price2]]&lt;1000000,"Mid range","Luxury"))</f>
        <v>Affordable</v>
      </c>
    </row>
    <row r="368" spans="1:20" x14ac:dyDescent="0.35">
      <c r="A368" s="3">
        <v>286416</v>
      </c>
      <c r="B368" s="2" t="s">
        <v>27</v>
      </c>
      <c r="C368">
        <v>99183</v>
      </c>
      <c r="D368" s="2" t="s">
        <v>29</v>
      </c>
      <c r="E368">
        <v>4</v>
      </c>
      <c r="F368">
        <v>4</v>
      </c>
      <c r="G368" s="4">
        <f>VALUE(SUBSTITUTE(SUBSTITUTE(Table1[[#This Row],[Price]],"$",""),",",""))</f>
        <v>286416</v>
      </c>
      <c r="H368" s="1">
        <f>Table1[[#This Row],[Price2]]/Table1[[#This Row],[Area]]</f>
        <v>124.85440278988666</v>
      </c>
      <c r="I368">
        <v>2294</v>
      </c>
      <c r="J368">
        <v>2015</v>
      </c>
      <c r="K368">
        <v>116</v>
      </c>
      <c r="L368" t="s">
        <v>40</v>
      </c>
      <c r="M368" t="s">
        <v>510</v>
      </c>
      <c r="N368" s="2" t="s">
        <v>3027</v>
      </c>
      <c r="O368" t="s">
        <v>3028</v>
      </c>
      <c r="P368" t="s">
        <v>21</v>
      </c>
      <c r="Q368">
        <v>124.85440278988666</v>
      </c>
      <c r="R368">
        <f ca="1">YEAR(TODAY())-Table1[[#This Row],[Year Built]]</f>
        <v>11</v>
      </c>
      <c r="S368" t="str">
        <f>IF(Table1[[#This Row],[Days on Market]] &lt; 30,"Fast",IF(Table1[[#This Row],[Days on Market]]&lt;= 90,"Average", "Slow"))</f>
        <v>Slow</v>
      </c>
      <c r="T368" t="str">
        <f>IF(Table1[[#This Row],[Price2]]&lt;500000,"Affordable",IF(Table1[[#This Row],[Price2]]&lt;1000000,"Mid range","Luxury"))</f>
        <v>Affordable</v>
      </c>
    </row>
    <row r="369" spans="1:20" x14ac:dyDescent="0.35">
      <c r="A369" s="3">
        <v>286476</v>
      </c>
      <c r="B369" s="2" t="s">
        <v>27</v>
      </c>
      <c r="C369">
        <v>56870</v>
      </c>
      <c r="D369" s="2" t="s">
        <v>18</v>
      </c>
      <c r="E369">
        <v>2</v>
      </c>
      <c r="F369">
        <v>1</v>
      </c>
      <c r="G369" s="4">
        <f>VALUE(SUBSTITUTE(SUBSTITUTE(Table1[[#This Row],[Price]],"$",""),",",""))</f>
        <v>286476</v>
      </c>
      <c r="H369" s="1">
        <f>Table1[[#This Row],[Price2]]/Table1[[#This Row],[Area]]</f>
        <v>78.208026208026212</v>
      </c>
      <c r="I369">
        <v>3663</v>
      </c>
      <c r="J369">
        <v>2017</v>
      </c>
      <c r="K369">
        <v>47</v>
      </c>
      <c r="L369" t="s">
        <v>40</v>
      </c>
      <c r="M369" t="s">
        <v>363</v>
      </c>
      <c r="N369" s="2" t="s">
        <v>3027</v>
      </c>
      <c r="O369" t="s">
        <v>3028</v>
      </c>
      <c r="P369" t="s">
        <v>26</v>
      </c>
      <c r="Q369">
        <v>78.208026208026212</v>
      </c>
      <c r="R369">
        <f ca="1">YEAR(TODAY())-Table1[[#This Row],[Year Built]]</f>
        <v>9</v>
      </c>
      <c r="S369" t="str">
        <f>IF(Table1[[#This Row],[Days on Market]] &lt; 30,"Fast",IF(Table1[[#This Row],[Days on Market]]&lt;= 90,"Average", "Slow"))</f>
        <v>Average</v>
      </c>
      <c r="T369" t="str">
        <f>IF(Table1[[#This Row],[Price2]]&lt;500000,"Affordable",IF(Table1[[#This Row],[Price2]]&lt;1000000,"Mid range","Luxury"))</f>
        <v>Affordable</v>
      </c>
    </row>
    <row r="370" spans="1:20" x14ac:dyDescent="0.35">
      <c r="A370" s="3">
        <v>286587</v>
      </c>
      <c r="B370" s="2" t="s">
        <v>34</v>
      </c>
      <c r="C370">
        <v>68130</v>
      </c>
      <c r="D370" s="2" t="s">
        <v>29</v>
      </c>
      <c r="E370">
        <v>1</v>
      </c>
      <c r="F370">
        <v>1</v>
      </c>
      <c r="G370" s="4">
        <f>VALUE(SUBSTITUTE(SUBSTITUTE(Table1[[#This Row],[Price]],"$",""),",",""))</f>
        <v>286587</v>
      </c>
      <c r="H370" s="1">
        <f>Table1[[#This Row],[Price2]]/Table1[[#This Row],[Area]]</f>
        <v>414.14306358381504</v>
      </c>
      <c r="I370">
        <v>692</v>
      </c>
      <c r="J370">
        <v>1993</v>
      </c>
      <c r="K370">
        <v>98</v>
      </c>
      <c r="L370" t="s">
        <v>19</v>
      </c>
      <c r="M370" t="s">
        <v>1671</v>
      </c>
      <c r="N370" s="2" t="s">
        <v>3035</v>
      </c>
      <c r="O370" t="s">
        <v>3036</v>
      </c>
      <c r="P370" t="s">
        <v>21</v>
      </c>
      <c r="Q370">
        <v>414.14306358381504</v>
      </c>
      <c r="R370">
        <f ca="1">YEAR(TODAY())-Table1[[#This Row],[Year Built]]</f>
        <v>33</v>
      </c>
      <c r="S370" t="str">
        <f>IF(Table1[[#This Row],[Days on Market]] &lt; 30,"Fast",IF(Table1[[#This Row],[Days on Market]]&lt;= 90,"Average", "Slow"))</f>
        <v>Slow</v>
      </c>
      <c r="T370" t="str">
        <f>IF(Table1[[#This Row],[Price2]]&lt;500000,"Affordable",IF(Table1[[#This Row],[Price2]]&lt;1000000,"Mid range","Luxury"))</f>
        <v>Affordable</v>
      </c>
    </row>
    <row r="371" spans="1:20" x14ac:dyDescent="0.35">
      <c r="A371" s="3">
        <v>287042</v>
      </c>
      <c r="B371" s="2" t="s">
        <v>22</v>
      </c>
      <c r="C371">
        <v>38728</v>
      </c>
      <c r="D371" s="2" t="s">
        <v>13</v>
      </c>
      <c r="E371">
        <v>3</v>
      </c>
      <c r="F371">
        <v>1</v>
      </c>
      <c r="G371" s="4">
        <f>VALUE(SUBSTITUTE(SUBSTITUTE(Table1[[#This Row],[Price]],"$",""),",",""))</f>
        <v>287042</v>
      </c>
      <c r="H371" s="1">
        <f>Table1[[#This Row],[Price2]]/Table1[[#This Row],[Area]]</f>
        <v>136.68666666666667</v>
      </c>
      <c r="I371">
        <v>2100</v>
      </c>
      <c r="J371">
        <v>1995</v>
      </c>
      <c r="K371">
        <v>77</v>
      </c>
      <c r="L371" t="s">
        <v>30</v>
      </c>
      <c r="M371" t="s">
        <v>2353</v>
      </c>
      <c r="N371" s="2" t="s">
        <v>3029</v>
      </c>
      <c r="O371" t="s">
        <v>3030</v>
      </c>
      <c r="P371" t="s">
        <v>21</v>
      </c>
      <c r="Q371">
        <v>136.68666666666667</v>
      </c>
      <c r="R371">
        <f ca="1">YEAR(TODAY())-Table1[[#This Row],[Year Built]]</f>
        <v>31</v>
      </c>
      <c r="S371" t="str">
        <f>IF(Table1[[#This Row],[Days on Market]] &lt; 30,"Fast",IF(Table1[[#This Row],[Days on Market]]&lt;= 90,"Average", "Slow"))</f>
        <v>Average</v>
      </c>
      <c r="T371" t="str">
        <f>IF(Table1[[#This Row],[Price2]]&lt;500000,"Affordable",IF(Table1[[#This Row],[Price2]]&lt;1000000,"Mid range","Luxury"))</f>
        <v>Affordable</v>
      </c>
    </row>
    <row r="372" spans="1:20" x14ac:dyDescent="0.35">
      <c r="A372" s="3">
        <v>287475</v>
      </c>
      <c r="B372" s="2" t="s">
        <v>22</v>
      </c>
      <c r="C372">
        <v>53411</v>
      </c>
      <c r="D372" s="2" t="s">
        <v>13</v>
      </c>
      <c r="E372">
        <v>5</v>
      </c>
      <c r="F372">
        <v>4</v>
      </c>
      <c r="G372" s="4">
        <f>VALUE(SUBSTITUTE(SUBSTITUTE(Table1[[#This Row],[Price]],"$",""),",",""))</f>
        <v>287475</v>
      </c>
      <c r="H372" s="1">
        <f>Table1[[#This Row],[Price2]]/Table1[[#This Row],[Area]]</f>
        <v>338.60424028268551</v>
      </c>
      <c r="I372">
        <v>849</v>
      </c>
      <c r="J372">
        <v>2022</v>
      </c>
      <c r="K372">
        <v>97</v>
      </c>
      <c r="L372" t="s">
        <v>30</v>
      </c>
      <c r="M372" t="s">
        <v>1895</v>
      </c>
      <c r="N372" s="2" t="s">
        <v>3031</v>
      </c>
      <c r="O372" t="s">
        <v>3032</v>
      </c>
      <c r="P372" t="s">
        <v>21</v>
      </c>
      <c r="Q372">
        <v>338.60424028268551</v>
      </c>
      <c r="R372">
        <f ca="1">YEAR(TODAY())-Table1[[#This Row],[Year Built]]</f>
        <v>4</v>
      </c>
      <c r="S372" t="str">
        <f>IF(Table1[[#This Row],[Days on Market]] &lt; 30,"Fast",IF(Table1[[#This Row],[Days on Market]]&lt;= 90,"Average", "Slow"))</f>
        <v>Slow</v>
      </c>
      <c r="T372" t="str">
        <f>IF(Table1[[#This Row],[Price2]]&lt;500000,"Affordable",IF(Table1[[#This Row],[Price2]]&lt;1000000,"Mid range","Luxury"))</f>
        <v>Affordable</v>
      </c>
    </row>
    <row r="373" spans="1:20" x14ac:dyDescent="0.35">
      <c r="A373" s="3">
        <v>287677</v>
      </c>
      <c r="B373" s="2" t="s">
        <v>12</v>
      </c>
      <c r="C373">
        <v>31572</v>
      </c>
      <c r="D373" s="2" t="s">
        <v>18</v>
      </c>
      <c r="E373">
        <v>6</v>
      </c>
      <c r="F373">
        <v>1</v>
      </c>
      <c r="G373" s="4">
        <f>VALUE(SUBSTITUTE(SUBSTITUTE(Table1[[#This Row],[Price]],"$",""),",",""))</f>
        <v>287677</v>
      </c>
      <c r="H373" s="1">
        <f>Table1[[#This Row],[Price2]]/Table1[[#This Row],[Area]]</f>
        <v>85.592680749776846</v>
      </c>
      <c r="I373">
        <v>3361</v>
      </c>
      <c r="J373">
        <v>1992</v>
      </c>
      <c r="K373">
        <v>27</v>
      </c>
      <c r="L373" t="s">
        <v>52</v>
      </c>
      <c r="M373" t="s">
        <v>468</v>
      </c>
      <c r="N373" s="2" t="s">
        <v>3033</v>
      </c>
      <c r="O373" t="s">
        <v>3034</v>
      </c>
      <c r="P373" t="s">
        <v>21</v>
      </c>
      <c r="Q373">
        <v>85.592680749776846</v>
      </c>
      <c r="R373">
        <f ca="1">YEAR(TODAY())-Table1[[#This Row],[Year Built]]</f>
        <v>34</v>
      </c>
      <c r="S373" t="str">
        <f>IF(Table1[[#This Row],[Days on Market]] &lt; 30,"Fast",IF(Table1[[#This Row],[Days on Market]]&lt;= 90,"Average", "Slow"))</f>
        <v>Fast</v>
      </c>
      <c r="T373" t="str">
        <f>IF(Table1[[#This Row],[Price2]]&lt;500000,"Affordable",IF(Table1[[#This Row],[Price2]]&lt;1000000,"Mid range","Luxury"))</f>
        <v>Affordable</v>
      </c>
    </row>
    <row r="374" spans="1:20" x14ac:dyDescent="0.35">
      <c r="A374" s="3">
        <v>288123</v>
      </c>
      <c r="B374" s="2" t="s">
        <v>12</v>
      </c>
      <c r="C374">
        <v>41233</v>
      </c>
      <c r="D374" s="2" t="s">
        <v>35</v>
      </c>
      <c r="E374">
        <v>2</v>
      </c>
      <c r="F374">
        <v>1</v>
      </c>
      <c r="G374" s="4">
        <f>VALUE(SUBSTITUTE(SUBSTITUTE(Table1[[#This Row],[Price]],"$",""),",",""))</f>
        <v>288123</v>
      </c>
      <c r="H374" s="1">
        <f>Table1[[#This Row],[Price2]]/Table1[[#This Row],[Area]]</f>
        <v>161.14261744966444</v>
      </c>
      <c r="I374">
        <v>1788</v>
      </c>
      <c r="J374">
        <v>1963</v>
      </c>
      <c r="K374">
        <v>1</v>
      </c>
      <c r="L374" t="s">
        <v>40</v>
      </c>
      <c r="M374" t="s">
        <v>1709</v>
      </c>
      <c r="N374" s="2" t="s">
        <v>3035</v>
      </c>
      <c r="O374" t="s">
        <v>3036</v>
      </c>
      <c r="P374" t="s">
        <v>21</v>
      </c>
      <c r="Q374">
        <v>161.14261744966444</v>
      </c>
      <c r="R374">
        <f ca="1">YEAR(TODAY())-Table1[[#This Row],[Year Built]]</f>
        <v>63</v>
      </c>
      <c r="S374" t="str">
        <f>IF(Table1[[#This Row],[Days on Market]] &lt; 30,"Fast",IF(Table1[[#This Row],[Days on Market]]&lt;= 90,"Average", "Slow"))</f>
        <v>Fast</v>
      </c>
      <c r="T374" t="str">
        <f>IF(Table1[[#This Row],[Price2]]&lt;500000,"Affordable",IF(Table1[[#This Row],[Price2]]&lt;1000000,"Mid range","Luxury"))</f>
        <v>Affordable</v>
      </c>
    </row>
    <row r="375" spans="1:20" x14ac:dyDescent="0.35">
      <c r="A375" s="3">
        <v>288565</v>
      </c>
      <c r="B375" s="2" t="s">
        <v>17</v>
      </c>
      <c r="C375">
        <v>72813</v>
      </c>
      <c r="D375" s="2" t="s">
        <v>35</v>
      </c>
      <c r="E375">
        <v>2</v>
      </c>
      <c r="F375">
        <v>2</v>
      </c>
      <c r="G375" s="4">
        <f>VALUE(SUBSTITUTE(SUBSTITUTE(Table1[[#This Row],[Price]],"$",""),",",""))</f>
        <v>288565</v>
      </c>
      <c r="H375" s="1">
        <f>Table1[[#This Row],[Price2]]/Table1[[#This Row],[Area]]</f>
        <v>383.73005319148939</v>
      </c>
      <c r="I375">
        <v>752</v>
      </c>
      <c r="J375">
        <v>1963</v>
      </c>
      <c r="K375">
        <v>83</v>
      </c>
      <c r="L375" t="s">
        <v>40</v>
      </c>
      <c r="M375" t="s">
        <v>1328</v>
      </c>
      <c r="N375" s="2" t="s">
        <v>3035</v>
      </c>
      <c r="O375" t="s">
        <v>3036</v>
      </c>
      <c r="P375" t="s">
        <v>16</v>
      </c>
      <c r="Q375">
        <v>383.73005319148939</v>
      </c>
      <c r="R375">
        <f ca="1">YEAR(TODAY())-Table1[[#This Row],[Year Built]]</f>
        <v>63</v>
      </c>
      <c r="S375" t="str">
        <f>IF(Table1[[#This Row],[Days on Market]] &lt; 30,"Fast",IF(Table1[[#This Row],[Days on Market]]&lt;= 90,"Average", "Slow"))</f>
        <v>Average</v>
      </c>
      <c r="T375" t="str">
        <f>IF(Table1[[#This Row],[Price2]]&lt;500000,"Affordable",IF(Table1[[#This Row],[Price2]]&lt;1000000,"Mid range","Luxury"))</f>
        <v>Affordable</v>
      </c>
    </row>
    <row r="376" spans="1:20" x14ac:dyDescent="0.35">
      <c r="A376" s="3">
        <v>288812</v>
      </c>
      <c r="B376" s="2" t="s">
        <v>12</v>
      </c>
      <c r="C376">
        <v>27608</v>
      </c>
      <c r="D376" s="2" t="s">
        <v>13</v>
      </c>
      <c r="E376">
        <v>5</v>
      </c>
      <c r="F376">
        <v>3</v>
      </c>
      <c r="G376" s="4">
        <f>VALUE(SUBSTITUTE(SUBSTITUTE(Table1[[#This Row],[Price]],"$",""),",",""))</f>
        <v>288812</v>
      </c>
      <c r="H376" s="1">
        <f>Table1[[#This Row],[Price2]]/Table1[[#This Row],[Area]]</f>
        <v>91.686349206349206</v>
      </c>
      <c r="I376">
        <v>3150</v>
      </c>
      <c r="J376">
        <v>1996</v>
      </c>
      <c r="K376">
        <v>74</v>
      </c>
      <c r="L376" t="s">
        <v>52</v>
      </c>
      <c r="M376" t="s">
        <v>2548</v>
      </c>
      <c r="N376" s="2" t="s">
        <v>3033</v>
      </c>
      <c r="O376" t="s">
        <v>3034</v>
      </c>
      <c r="P376" t="s">
        <v>21</v>
      </c>
      <c r="Q376">
        <v>91.686349206349206</v>
      </c>
      <c r="R376">
        <f ca="1">YEAR(TODAY())-Table1[[#This Row],[Year Built]]</f>
        <v>30</v>
      </c>
      <c r="S376" t="str">
        <f>IF(Table1[[#This Row],[Days on Market]] &lt; 30,"Fast",IF(Table1[[#This Row],[Days on Market]]&lt;= 90,"Average", "Slow"))</f>
        <v>Average</v>
      </c>
      <c r="T376" t="str">
        <f>IF(Table1[[#This Row],[Price2]]&lt;500000,"Affordable",IF(Table1[[#This Row],[Price2]]&lt;1000000,"Mid range","Luxury"))</f>
        <v>Affordable</v>
      </c>
    </row>
    <row r="377" spans="1:20" x14ac:dyDescent="0.35">
      <c r="A377" s="3">
        <v>289224</v>
      </c>
      <c r="B377" s="2" t="s">
        <v>12</v>
      </c>
      <c r="C377">
        <v>53067</v>
      </c>
      <c r="D377" s="2" t="s">
        <v>18</v>
      </c>
      <c r="E377">
        <v>5</v>
      </c>
      <c r="F377">
        <v>2</v>
      </c>
      <c r="G377" s="4">
        <f>VALUE(SUBSTITUTE(SUBSTITUTE(Table1[[#This Row],[Price]],"$",""),",",""))</f>
        <v>289224</v>
      </c>
      <c r="H377" s="1">
        <f>Table1[[#This Row],[Price2]]/Table1[[#This Row],[Area]]</f>
        <v>82.446978335233752</v>
      </c>
      <c r="I377">
        <v>3508</v>
      </c>
      <c r="J377">
        <v>1974</v>
      </c>
      <c r="K377">
        <v>113</v>
      </c>
      <c r="L377" t="s">
        <v>40</v>
      </c>
      <c r="M377" t="s">
        <v>1748</v>
      </c>
      <c r="N377" s="2" t="s">
        <v>3027</v>
      </c>
      <c r="O377" t="s">
        <v>3028</v>
      </c>
      <c r="P377" t="s">
        <v>21</v>
      </c>
      <c r="Q377">
        <v>82.446978335233752</v>
      </c>
      <c r="R377">
        <f ca="1">YEAR(TODAY())-Table1[[#This Row],[Year Built]]</f>
        <v>52</v>
      </c>
      <c r="S377" t="str">
        <f>IF(Table1[[#This Row],[Days on Market]] &lt; 30,"Fast",IF(Table1[[#This Row],[Days on Market]]&lt;= 90,"Average", "Slow"))</f>
        <v>Slow</v>
      </c>
      <c r="T377" t="str">
        <f>IF(Table1[[#This Row],[Price2]]&lt;500000,"Affordable",IF(Table1[[#This Row],[Price2]]&lt;1000000,"Mid range","Luxury"))</f>
        <v>Affordable</v>
      </c>
    </row>
    <row r="378" spans="1:20" x14ac:dyDescent="0.35">
      <c r="A378" s="3">
        <v>290051</v>
      </c>
      <c r="B378" s="2" t="s">
        <v>12</v>
      </c>
      <c r="C378">
        <v>23484</v>
      </c>
      <c r="D378" s="2" t="s">
        <v>35</v>
      </c>
      <c r="E378">
        <v>2</v>
      </c>
      <c r="F378">
        <v>2</v>
      </c>
      <c r="G378" s="4">
        <f>VALUE(SUBSTITUTE(SUBSTITUTE(Table1[[#This Row],[Price]],"$",""),",",""))</f>
        <v>290051</v>
      </c>
      <c r="H378" s="1">
        <f>Table1[[#This Row],[Price2]]/Table1[[#This Row],[Area]]</f>
        <v>160.96059933407327</v>
      </c>
      <c r="I378">
        <v>1802</v>
      </c>
      <c r="J378">
        <v>1983</v>
      </c>
      <c r="K378">
        <v>33</v>
      </c>
      <c r="L378" t="s">
        <v>19</v>
      </c>
      <c r="M378" t="s">
        <v>1804</v>
      </c>
      <c r="N378" s="2" t="s">
        <v>3031</v>
      </c>
      <c r="O378" t="s">
        <v>3032</v>
      </c>
      <c r="P378" t="s">
        <v>16</v>
      </c>
      <c r="Q378">
        <v>160.96059933407327</v>
      </c>
      <c r="R378">
        <f ca="1">YEAR(TODAY())-Table1[[#This Row],[Year Built]]</f>
        <v>43</v>
      </c>
      <c r="S378" t="str">
        <f>IF(Table1[[#This Row],[Days on Market]] &lt; 30,"Fast",IF(Table1[[#This Row],[Days on Market]]&lt;= 90,"Average", "Slow"))</f>
        <v>Average</v>
      </c>
      <c r="T378" t="str">
        <f>IF(Table1[[#This Row],[Price2]]&lt;500000,"Affordable",IF(Table1[[#This Row],[Price2]]&lt;1000000,"Mid range","Luxury"))</f>
        <v>Affordable</v>
      </c>
    </row>
    <row r="379" spans="1:20" x14ac:dyDescent="0.35">
      <c r="A379" s="3">
        <v>292045</v>
      </c>
      <c r="B379" s="2" t="s">
        <v>17</v>
      </c>
      <c r="C379">
        <v>59637</v>
      </c>
      <c r="D379" s="2" t="s">
        <v>23</v>
      </c>
      <c r="E379">
        <v>2</v>
      </c>
      <c r="F379">
        <v>3</v>
      </c>
      <c r="G379" s="4">
        <f>VALUE(SUBSTITUTE(SUBSTITUTE(Table1[[#This Row],[Price]],"$",""),",",""))</f>
        <v>292045</v>
      </c>
      <c r="H379" s="1">
        <f>Table1[[#This Row],[Price2]]/Table1[[#This Row],[Area]]</f>
        <v>185.19023462270133</v>
      </c>
      <c r="I379">
        <v>1577</v>
      </c>
      <c r="J379">
        <v>1989</v>
      </c>
      <c r="K379">
        <v>103</v>
      </c>
      <c r="L379" t="s">
        <v>52</v>
      </c>
      <c r="M379" t="s">
        <v>1695</v>
      </c>
      <c r="N379" s="2" t="s">
        <v>3027</v>
      </c>
      <c r="O379" t="s">
        <v>3028</v>
      </c>
      <c r="P379" t="s">
        <v>21</v>
      </c>
      <c r="Q379">
        <v>185.19023462270133</v>
      </c>
      <c r="R379">
        <f ca="1">YEAR(TODAY())-Table1[[#This Row],[Year Built]]</f>
        <v>37</v>
      </c>
      <c r="S379" t="str">
        <f>IF(Table1[[#This Row],[Days on Market]] &lt; 30,"Fast",IF(Table1[[#This Row],[Days on Market]]&lt;= 90,"Average", "Slow"))</f>
        <v>Slow</v>
      </c>
      <c r="T379" t="str">
        <f>IF(Table1[[#This Row],[Price2]]&lt;500000,"Affordable",IF(Table1[[#This Row],[Price2]]&lt;1000000,"Mid range","Luxury"))</f>
        <v>Affordable</v>
      </c>
    </row>
    <row r="380" spans="1:20" x14ac:dyDescent="0.35">
      <c r="A380" s="3">
        <v>292055</v>
      </c>
      <c r="B380" s="2" t="s">
        <v>12</v>
      </c>
      <c r="C380">
        <v>43942</v>
      </c>
      <c r="D380" s="2" t="s">
        <v>18</v>
      </c>
      <c r="E380">
        <v>3</v>
      </c>
      <c r="F380">
        <v>1</v>
      </c>
      <c r="G380" s="4">
        <f>VALUE(SUBSTITUTE(SUBSTITUTE(Table1[[#This Row],[Price]],"$",""),",",""))</f>
        <v>292055</v>
      </c>
      <c r="H380" s="1">
        <f>Table1[[#This Row],[Price2]]/Table1[[#This Row],[Area]]</f>
        <v>185.19657577679138</v>
      </c>
      <c r="I380">
        <v>1577</v>
      </c>
      <c r="J380">
        <v>2013</v>
      </c>
      <c r="K380">
        <v>15</v>
      </c>
      <c r="L380" t="s">
        <v>30</v>
      </c>
      <c r="M380" t="s">
        <v>735</v>
      </c>
      <c r="N380" s="2" t="s">
        <v>3029</v>
      </c>
      <c r="O380" t="s">
        <v>3030</v>
      </c>
      <c r="P380" t="s">
        <v>21</v>
      </c>
      <c r="Q380">
        <v>185.19657577679138</v>
      </c>
      <c r="R380">
        <f ca="1">YEAR(TODAY())-Table1[[#This Row],[Year Built]]</f>
        <v>13</v>
      </c>
      <c r="S380" t="str">
        <f>IF(Table1[[#This Row],[Days on Market]] &lt; 30,"Fast",IF(Table1[[#This Row],[Days on Market]]&lt;= 90,"Average", "Slow"))</f>
        <v>Fast</v>
      </c>
      <c r="T380" t="str">
        <f>IF(Table1[[#This Row],[Price2]]&lt;500000,"Affordable",IF(Table1[[#This Row],[Price2]]&lt;1000000,"Mid range","Luxury"))</f>
        <v>Affordable</v>
      </c>
    </row>
    <row r="381" spans="1:20" x14ac:dyDescent="0.35">
      <c r="A381" s="3">
        <v>292070</v>
      </c>
      <c r="B381" s="2" t="s">
        <v>27</v>
      </c>
      <c r="C381">
        <v>41858</v>
      </c>
      <c r="D381" s="2" t="s">
        <v>13</v>
      </c>
      <c r="E381">
        <v>6</v>
      </c>
      <c r="F381">
        <v>2</v>
      </c>
      <c r="G381" s="4">
        <f>VALUE(SUBSTITUTE(SUBSTITUTE(Table1[[#This Row],[Price]],"$",""),",",""))</f>
        <v>292070</v>
      </c>
      <c r="H381" s="1">
        <f>Table1[[#This Row],[Price2]]/Table1[[#This Row],[Area]]</f>
        <v>135.53132250580046</v>
      </c>
      <c r="I381">
        <v>2155</v>
      </c>
      <c r="J381">
        <v>2008</v>
      </c>
      <c r="K381">
        <v>62</v>
      </c>
      <c r="L381" t="s">
        <v>30</v>
      </c>
      <c r="M381" t="s">
        <v>2451</v>
      </c>
      <c r="N381" s="2" t="s">
        <v>3035</v>
      </c>
      <c r="O381" t="s">
        <v>3036</v>
      </c>
      <c r="P381" t="s">
        <v>16</v>
      </c>
      <c r="Q381">
        <v>135.53132250580046</v>
      </c>
      <c r="R381">
        <f ca="1">YEAR(TODAY())-Table1[[#This Row],[Year Built]]</f>
        <v>18</v>
      </c>
      <c r="S381" t="str">
        <f>IF(Table1[[#This Row],[Days on Market]] &lt; 30,"Fast",IF(Table1[[#This Row],[Days on Market]]&lt;= 90,"Average", "Slow"))</f>
        <v>Average</v>
      </c>
      <c r="T381" t="str">
        <f>IF(Table1[[#This Row],[Price2]]&lt;500000,"Affordable",IF(Table1[[#This Row],[Price2]]&lt;1000000,"Mid range","Luxury"))</f>
        <v>Affordable</v>
      </c>
    </row>
    <row r="382" spans="1:20" x14ac:dyDescent="0.35">
      <c r="A382" s="3">
        <v>292506</v>
      </c>
      <c r="B382" s="2" t="s">
        <v>27</v>
      </c>
      <c r="C382">
        <v>88468</v>
      </c>
      <c r="D382" s="2" t="s">
        <v>13</v>
      </c>
      <c r="E382">
        <v>5</v>
      </c>
      <c r="F382">
        <v>2</v>
      </c>
      <c r="G382" s="4">
        <f>VALUE(SUBSTITUTE(SUBSTITUTE(Table1[[#This Row],[Price]],"$",""),",",""))</f>
        <v>292506</v>
      </c>
      <c r="H382" s="1">
        <f>Table1[[#This Row],[Price2]]/Table1[[#This Row],[Area]]</f>
        <v>433.34222222222223</v>
      </c>
      <c r="I382">
        <v>675</v>
      </c>
      <c r="J382">
        <v>2014</v>
      </c>
      <c r="K382">
        <v>53</v>
      </c>
      <c r="L382" t="s">
        <v>14</v>
      </c>
      <c r="M382" t="s">
        <v>1463</v>
      </c>
      <c r="N382" s="2" t="s">
        <v>3029</v>
      </c>
      <c r="O382" t="s">
        <v>3030</v>
      </c>
      <c r="P382" t="s">
        <v>26</v>
      </c>
      <c r="Q382">
        <v>433.34222222222223</v>
      </c>
      <c r="R382">
        <f ca="1">YEAR(TODAY())-Table1[[#This Row],[Year Built]]</f>
        <v>12</v>
      </c>
      <c r="S382" t="str">
        <f>IF(Table1[[#This Row],[Days on Market]] &lt; 30,"Fast",IF(Table1[[#This Row],[Days on Market]]&lt;= 90,"Average", "Slow"))</f>
        <v>Average</v>
      </c>
      <c r="T382" t="str">
        <f>IF(Table1[[#This Row],[Price2]]&lt;500000,"Affordable",IF(Table1[[#This Row],[Price2]]&lt;1000000,"Mid range","Luxury"))</f>
        <v>Affordable</v>
      </c>
    </row>
    <row r="383" spans="1:20" x14ac:dyDescent="0.35">
      <c r="A383" s="3">
        <v>294028</v>
      </c>
      <c r="B383" s="2" t="s">
        <v>12</v>
      </c>
      <c r="C383">
        <v>49351</v>
      </c>
      <c r="D383" s="2" t="s">
        <v>18</v>
      </c>
      <c r="E383">
        <v>2</v>
      </c>
      <c r="F383">
        <v>4</v>
      </c>
      <c r="G383" s="4">
        <f>VALUE(SUBSTITUTE(SUBSTITUTE(Table1[[#This Row],[Price]],"$",""),",",""))</f>
        <v>294028</v>
      </c>
      <c r="H383" s="1">
        <f>Table1[[#This Row],[Price2]]/Table1[[#This Row],[Area]]</f>
        <v>172.45043988269794</v>
      </c>
      <c r="I383">
        <v>1705</v>
      </c>
      <c r="J383">
        <v>1956</v>
      </c>
      <c r="K383">
        <v>98</v>
      </c>
      <c r="L383" t="s">
        <v>52</v>
      </c>
      <c r="M383" t="s">
        <v>2624</v>
      </c>
      <c r="N383" s="2" t="s">
        <v>3031</v>
      </c>
      <c r="O383" t="s">
        <v>3032</v>
      </c>
      <c r="P383" t="s">
        <v>21</v>
      </c>
      <c r="Q383">
        <v>172.45043988269794</v>
      </c>
      <c r="R383">
        <f ca="1">YEAR(TODAY())-Table1[[#This Row],[Year Built]]</f>
        <v>70</v>
      </c>
      <c r="S383" t="str">
        <f>IF(Table1[[#This Row],[Days on Market]] &lt; 30,"Fast",IF(Table1[[#This Row],[Days on Market]]&lt;= 90,"Average", "Slow"))</f>
        <v>Slow</v>
      </c>
      <c r="T383" t="str">
        <f>IF(Table1[[#This Row],[Price2]]&lt;500000,"Affordable",IF(Table1[[#This Row],[Price2]]&lt;1000000,"Mid range","Luxury"))</f>
        <v>Affordable</v>
      </c>
    </row>
    <row r="384" spans="1:20" x14ac:dyDescent="0.35">
      <c r="A384" s="3">
        <v>294270</v>
      </c>
      <c r="B384" s="2" t="s">
        <v>22</v>
      </c>
      <c r="C384">
        <v>18285</v>
      </c>
      <c r="D384" s="2" t="s">
        <v>35</v>
      </c>
      <c r="E384">
        <v>6</v>
      </c>
      <c r="F384">
        <v>1</v>
      </c>
      <c r="G384" s="4">
        <f>VALUE(SUBSTITUTE(SUBSTITUTE(Table1[[#This Row],[Price]],"$",""),",",""))</f>
        <v>294270</v>
      </c>
      <c r="H384" s="1">
        <f>Table1[[#This Row],[Price2]]/Table1[[#This Row],[Area]]</f>
        <v>92.625118035882906</v>
      </c>
      <c r="I384">
        <v>3177</v>
      </c>
      <c r="J384">
        <v>1966</v>
      </c>
      <c r="K384">
        <v>92</v>
      </c>
      <c r="L384" t="s">
        <v>14</v>
      </c>
      <c r="M384" t="s">
        <v>452</v>
      </c>
      <c r="N384" s="2" t="s">
        <v>3031</v>
      </c>
      <c r="O384" t="s">
        <v>3032</v>
      </c>
      <c r="P384" t="s">
        <v>21</v>
      </c>
      <c r="Q384">
        <v>92.625118035882906</v>
      </c>
      <c r="R384">
        <f ca="1">YEAR(TODAY())-Table1[[#This Row],[Year Built]]</f>
        <v>60</v>
      </c>
      <c r="S384" t="str">
        <f>IF(Table1[[#This Row],[Days on Market]] &lt; 30,"Fast",IF(Table1[[#This Row],[Days on Market]]&lt;= 90,"Average", "Slow"))</f>
        <v>Slow</v>
      </c>
      <c r="T384" t="str">
        <f>IF(Table1[[#This Row],[Price2]]&lt;500000,"Affordable",IF(Table1[[#This Row],[Price2]]&lt;1000000,"Mid range","Luxury"))</f>
        <v>Affordable</v>
      </c>
    </row>
    <row r="385" spans="1:20" x14ac:dyDescent="0.35">
      <c r="A385" s="3">
        <v>294826</v>
      </c>
      <c r="B385" s="2" t="s">
        <v>17</v>
      </c>
      <c r="C385">
        <v>87737</v>
      </c>
      <c r="D385" s="2" t="s">
        <v>29</v>
      </c>
      <c r="E385">
        <v>1</v>
      </c>
      <c r="F385">
        <v>4</v>
      </c>
      <c r="G385" s="4">
        <f>VALUE(SUBSTITUTE(SUBSTITUTE(Table1[[#This Row],[Price]],"$",""),",",""))</f>
        <v>294826</v>
      </c>
      <c r="H385" s="1">
        <f>Table1[[#This Row],[Price2]]/Table1[[#This Row],[Area]]</f>
        <v>174.45325443786982</v>
      </c>
      <c r="I385">
        <v>1690</v>
      </c>
      <c r="J385">
        <v>1963</v>
      </c>
      <c r="K385">
        <v>40</v>
      </c>
      <c r="L385" t="s">
        <v>30</v>
      </c>
      <c r="M385" t="s">
        <v>307</v>
      </c>
      <c r="N385" s="2" t="s">
        <v>3033</v>
      </c>
      <c r="O385" t="s">
        <v>3034</v>
      </c>
      <c r="P385" t="s">
        <v>16</v>
      </c>
      <c r="Q385">
        <v>174.45325443786982</v>
      </c>
      <c r="R385">
        <f ca="1">YEAR(TODAY())-Table1[[#This Row],[Year Built]]</f>
        <v>63</v>
      </c>
      <c r="S385" t="str">
        <f>IF(Table1[[#This Row],[Days on Market]] &lt; 30,"Fast",IF(Table1[[#This Row],[Days on Market]]&lt;= 90,"Average", "Slow"))</f>
        <v>Average</v>
      </c>
      <c r="T385" t="str">
        <f>IF(Table1[[#This Row],[Price2]]&lt;500000,"Affordable",IF(Table1[[#This Row],[Price2]]&lt;1000000,"Mid range","Luxury"))</f>
        <v>Affordable</v>
      </c>
    </row>
    <row r="386" spans="1:20" x14ac:dyDescent="0.35">
      <c r="A386" s="3">
        <v>296387</v>
      </c>
      <c r="B386" s="2" t="s">
        <v>17</v>
      </c>
      <c r="C386">
        <v>38380</v>
      </c>
      <c r="D386" s="2" t="s">
        <v>29</v>
      </c>
      <c r="E386">
        <v>5</v>
      </c>
      <c r="F386">
        <v>4</v>
      </c>
      <c r="G386" s="4">
        <f>VALUE(SUBSTITUTE(SUBSTITUTE(Table1[[#This Row],[Price]],"$",""),",",""))</f>
        <v>296387</v>
      </c>
      <c r="H386" s="1">
        <f>Table1[[#This Row],[Price2]]/Table1[[#This Row],[Area]]</f>
        <v>304.61151079136692</v>
      </c>
      <c r="I386">
        <v>973</v>
      </c>
      <c r="J386">
        <v>1958</v>
      </c>
      <c r="K386">
        <v>109</v>
      </c>
      <c r="L386" t="s">
        <v>30</v>
      </c>
      <c r="M386" t="s">
        <v>2769</v>
      </c>
      <c r="N386" s="2" t="s">
        <v>3027</v>
      </c>
      <c r="O386" t="s">
        <v>3028</v>
      </c>
      <c r="P386" t="s">
        <v>26</v>
      </c>
      <c r="Q386">
        <v>304.61151079136692</v>
      </c>
      <c r="R386">
        <f ca="1">YEAR(TODAY())-Table1[[#This Row],[Year Built]]</f>
        <v>68</v>
      </c>
      <c r="S386" t="str">
        <f>IF(Table1[[#This Row],[Days on Market]] &lt; 30,"Fast",IF(Table1[[#This Row],[Days on Market]]&lt;= 90,"Average", "Slow"))</f>
        <v>Slow</v>
      </c>
      <c r="T386" t="str">
        <f>IF(Table1[[#This Row],[Price2]]&lt;500000,"Affordable",IF(Table1[[#This Row],[Price2]]&lt;1000000,"Mid range","Luxury"))</f>
        <v>Affordable</v>
      </c>
    </row>
    <row r="387" spans="1:20" x14ac:dyDescent="0.35">
      <c r="A387" s="3">
        <v>296545</v>
      </c>
      <c r="B387" s="2" t="s">
        <v>12</v>
      </c>
      <c r="C387">
        <v>84340</v>
      </c>
      <c r="D387" s="2" t="s">
        <v>35</v>
      </c>
      <c r="E387">
        <v>4</v>
      </c>
      <c r="F387">
        <v>3</v>
      </c>
      <c r="G387" s="4">
        <f>VALUE(SUBSTITUTE(SUBSTITUTE(Table1[[#This Row],[Price]],"$",""),",",""))</f>
        <v>296545</v>
      </c>
      <c r="H387" s="1">
        <f>Table1[[#This Row],[Price2]]/Table1[[#This Row],[Area]]</f>
        <v>129.2698343504795</v>
      </c>
      <c r="I387">
        <v>2294</v>
      </c>
      <c r="J387">
        <v>1997</v>
      </c>
      <c r="K387">
        <v>63</v>
      </c>
      <c r="L387" t="s">
        <v>14</v>
      </c>
      <c r="M387" t="s">
        <v>2737</v>
      </c>
      <c r="N387" s="2" t="s">
        <v>3035</v>
      </c>
      <c r="O387" t="s">
        <v>3036</v>
      </c>
      <c r="P387" t="s">
        <v>26</v>
      </c>
      <c r="Q387">
        <v>129.2698343504795</v>
      </c>
      <c r="R387">
        <f ca="1">YEAR(TODAY())-Table1[[#This Row],[Year Built]]</f>
        <v>29</v>
      </c>
      <c r="S387" t="str">
        <f>IF(Table1[[#This Row],[Days on Market]] &lt; 30,"Fast",IF(Table1[[#This Row],[Days on Market]]&lt;= 90,"Average", "Slow"))</f>
        <v>Average</v>
      </c>
      <c r="T387" t="str">
        <f>IF(Table1[[#This Row],[Price2]]&lt;500000,"Affordable",IF(Table1[[#This Row],[Price2]]&lt;1000000,"Mid range","Luxury"))</f>
        <v>Affordable</v>
      </c>
    </row>
    <row r="388" spans="1:20" x14ac:dyDescent="0.35">
      <c r="A388" s="3">
        <v>297796</v>
      </c>
      <c r="B388" s="2" t="s">
        <v>34</v>
      </c>
      <c r="C388">
        <v>47018</v>
      </c>
      <c r="D388" s="2" t="s">
        <v>35</v>
      </c>
      <c r="E388">
        <v>5</v>
      </c>
      <c r="F388">
        <v>3</v>
      </c>
      <c r="G388" s="4">
        <f>VALUE(SUBSTITUTE(SUBSTITUTE(Table1[[#This Row],[Price]],"$",""),",",""))</f>
        <v>297796</v>
      </c>
      <c r="H388" s="1">
        <f>Table1[[#This Row],[Price2]]/Table1[[#This Row],[Area]]</f>
        <v>170.36384439359267</v>
      </c>
      <c r="I388">
        <v>1748</v>
      </c>
      <c r="J388">
        <v>1956</v>
      </c>
      <c r="K388">
        <v>10</v>
      </c>
      <c r="L388" t="s">
        <v>19</v>
      </c>
      <c r="M388" t="s">
        <v>518</v>
      </c>
      <c r="N388" s="2" t="s">
        <v>3031</v>
      </c>
      <c r="O388" t="s">
        <v>3032</v>
      </c>
      <c r="P388" t="s">
        <v>26</v>
      </c>
      <c r="Q388">
        <v>170.36384439359267</v>
      </c>
      <c r="R388">
        <f ca="1">YEAR(TODAY())-Table1[[#This Row],[Year Built]]</f>
        <v>70</v>
      </c>
      <c r="S388" t="str">
        <f>IF(Table1[[#This Row],[Days on Market]] &lt; 30,"Fast",IF(Table1[[#This Row],[Days on Market]]&lt;= 90,"Average", "Slow"))</f>
        <v>Fast</v>
      </c>
      <c r="T388" t="str">
        <f>IF(Table1[[#This Row],[Price2]]&lt;500000,"Affordable",IF(Table1[[#This Row],[Price2]]&lt;1000000,"Mid range","Luxury"))</f>
        <v>Affordable</v>
      </c>
    </row>
    <row r="389" spans="1:20" x14ac:dyDescent="0.35">
      <c r="A389" s="3">
        <v>299090</v>
      </c>
      <c r="B389" s="2" t="s">
        <v>27</v>
      </c>
      <c r="C389">
        <v>33353</v>
      </c>
      <c r="D389" s="2" t="s">
        <v>13</v>
      </c>
      <c r="E389">
        <v>4</v>
      </c>
      <c r="F389">
        <v>2</v>
      </c>
      <c r="G389" s="4">
        <f>VALUE(SUBSTITUTE(SUBSTITUTE(Table1[[#This Row],[Price]],"$",""),",",""))</f>
        <v>299090</v>
      </c>
      <c r="H389" s="1">
        <f>Table1[[#This Row],[Price2]]/Table1[[#This Row],[Area]]</f>
        <v>236.24802527646131</v>
      </c>
      <c r="I389">
        <v>1266</v>
      </c>
      <c r="J389">
        <v>2020</v>
      </c>
      <c r="K389">
        <v>115</v>
      </c>
      <c r="L389" t="s">
        <v>30</v>
      </c>
      <c r="M389" t="s">
        <v>2264</v>
      </c>
      <c r="N389" s="2" t="s">
        <v>3033</v>
      </c>
      <c r="O389" t="s">
        <v>3034</v>
      </c>
      <c r="P389" t="s">
        <v>26</v>
      </c>
      <c r="Q389">
        <v>236.24802527646131</v>
      </c>
      <c r="R389">
        <f ca="1">YEAR(TODAY())-Table1[[#This Row],[Year Built]]</f>
        <v>6</v>
      </c>
      <c r="S389" t="str">
        <f>IF(Table1[[#This Row],[Days on Market]] &lt; 30,"Fast",IF(Table1[[#This Row],[Days on Market]]&lt;= 90,"Average", "Slow"))</f>
        <v>Slow</v>
      </c>
      <c r="T389" t="str">
        <f>IF(Table1[[#This Row],[Price2]]&lt;500000,"Affordable",IF(Table1[[#This Row],[Price2]]&lt;1000000,"Mid range","Luxury"))</f>
        <v>Affordable</v>
      </c>
    </row>
    <row r="390" spans="1:20" x14ac:dyDescent="0.35">
      <c r="A390" s="3">
        <v>299347</v>
      </c>
      <c r="B390" s="2" t="s">
        <v>22</v>
      </c>
      <c r="C390">
        <v>64861</v>
      </c>
      <c r="D390" s="2" t="s">
        <v>29</v>
      </c>
      <c r="E390">
        <v>6</v>
      </c>
      <c r="F390">
        <v>3</v>
      </c>
      <c r="G390" s="4">
        <f>VALUE(SUBSTITUTE(SUBSTITUTE(Table1[[#This Row],[Price]],"$",""),",",""))</f>
        <v>299347</v>
      </c>
      <c r="H390" s="1">
        <f>Table1[[#This Row],[Price2]]/Table1[[#This Row],[Area]]</f>
        <v>135.38986883763002</v>
      </c>
      <c r="I390">
        <v>2211</v>
      </c>
      <c r="J390">
        <v>2022</v>
      </c>
      <c r="K390">
        <v>119</v>
      </c>
      <c r="L390" t="s">
        <v>52</v>
      </c>
      <c r="M390" t="s">
        <v>882</v>
      </c>
      <c r="N390" s="2" t="s">
        <v>3031</v>
      </c>
      <c r="O390" t="s">
        <v>3032</v>
      </c>
      <c r="P390" t="s">
        <v>26</v>
      </c>
      <c r="Q390">
        <v>135.38986883763002</v>
      </c>
      <c r="R390">
        <f ca="1">YEAR(TODAY())-Table1[[#This Row],[Year Built]]</f>
        <v>4</v>
      </c>
      <c r="S390" t="str">
        <f>IF(Table1[[#This Row],[Days on Market]] &lt; 30,"Fast",IF(Table1[[#This Row],[Days on Market]]&lt;= 90,"Average", "Slow"))</f>
        <v>Slow</v>
      </c>
      <c r="T390" t="str">
        <f>IF(Table1[[#This Row],[Price2]]&lt;500000,"Affordable",IF(Table1[[#This Row],[Price2]]&lt;1000000,"Mid range","Luxury"))</f>
        <v>Affordable</v>
      </c>
    </row>
    <row r="391" spans="1:20" x14ac:dyDescent="0.35">
      <c r="A391" s="3">
        <v>299777</v>
      </c>
      <c r="B391" s="2" t="s">
        <v>34</v>
      </c>
      <c r="C391">
        <v>36162</v>
      </c>
      <c r="D391" s="2" t="s">
        <v>18</v>
      </c>
      <c r="E391">
        <v>2</v>
      </c>
      <c r="F391">
        <v>3</v>
      </c>
      <c r="G391" s="4">
        <f>VALUE(SUBSTITUTE(SUBSTITUTE(Table1[[#This Row],[Price]],"$",""),",",""))</f>
        <v>299777</v>
      </c>
      <c r="H391" s="1">
        <f>Table1[[#This Row],[Price2]]/Table1[[#This Row],[Area]]</f>
        <v>103.05156411137848</v>
      </c>
      <c r="I391">
        <v>2909</v>
      </c>
      <c r="J391">
        <v>1985</v>
      </c>
      <c r="K391">
        <v>103</v>
      </c>
      <c r="L391" t="s">
        <v>19</v>
      </c>
      <c r="M391" t="s">
        <v>448</v>
      </c>
      <c r="N391" s="2" t="s">
        <v>3035</v>
      </c>
      <c r="O391" t="s">
        <v>3036</v>
      </c>
      <c r="P391" t="s">
        <v>16</v>
      </c>
      <c r="Q391">
        <v>103.05156411137848</v>
      </c>
      <c r="R391">
        <f ca="1">YEAR(TODAY())-Table1[[#This Row],[Year Built]]</f>
        <v>41</v>
      </c>
      <c r="S391" t="str">
        <f>IF(Table1[[#This Row],[Days on Market]] &lt; 30,"Fast",IF(Table1[[#This Row],[Days on Market]]&lt;= 90,"Average", "Slow"))</f>
        <v>Slow</v>
      </c>
      <c r="T391" t="str">
        <f>IF(Table1[[#This Row],[Price2]]&lt;500000,"Affordable",IF(Table1[[#This Row],[Price2]]&lt;1000000,"Mid range","Luxury"))</f>
        <v>Affordable</v>
      </c>
    </row>
    <row r="392" spans="1:20" x14ac:dyDescent="0.35">
      <c r="A392" s="3">
        <v>299990</v>
      </c>
      <c r="B392" s="2" t="s">
        <v>27</v>
      </c>
      <c r="C392">
        <v>19164</v>
      </c>
      <c r="D392" s="2" t="s">
        <v>35</v>
      </c>
      <c r="E392">
        <v>4</v>
      </c>
      <c r="F392">
        <v>3</v>
      </c>
      <c r="G392" s="4">
        <f>VALUE(SUBSTITUTE(SUBSTITUTE(Table1[[#This Row],[Price]],"$",""),",",""))</f>
        <v>299990</v>
      </c>
      <c r="H392" s="1">
        <f>Table1[[#This Row],[Price2]]/Table1[[#This Row],[Area]]</f>
        <v>77.197632527020076</v>
      </c>
      <c r="I392">
        <v>3886</v>
      </c>
      <c r="J392">
        <v>1956</v>
      </c>
      <c r="K392">
        <v>82</v>
      </c>
      <c r="L392" t="s">
        <v>19</v>
      </c>
      <c r="M392" t="s">
        <v>2745</v>
      </c>
      <c r="N392" s="2" t="s">
        <v>3035</v>
      </c>
      <c r="O392" t="s">
        <v>3036</v>
      </c>
      <c r="P392" t="s">
        <v>16</v>
      </c>
      <c r="Q392">
        <v>77.197632527020076</v>
      </c>
      <c r="R392">
        <f ca="1">YEAR(TODAY())-Table1[[#This Row],[Year Built]]</f>
        <v>70</v>
      </c>
      <c r="S392" t="str">
        <f>IF(Table1[[#This Row],[Days on Market]] &lt; 30,"Fast",IF(Table1[[#This Row],[Days on Market]]&lt;= 90,"Average", "Slow"))</f>
        <v>Average</v>
      </c>
      <c r="T392" t="str">
        <f>IF(Table1[[#This Row],[Price2]]&lt;500000,"Affordable",IF(Table1[[#This Row],[Price2]]&lt;1000000,"Mid range","Luxury"))</f>
        <v>Affordable</v>
      </c>
    </row>
    <row r="393" spans="1:20" x14ac:dyDescent="0.35">
      <c r="A393" s="3">
        <v>301157</v>
      </c>
      <c r="B393" s="2" t="s">
        <v>27</v>
      </c>
      <c r="C393">
        <v>25999</v>
      </c>
      <c r="D393" s="2" t="s">
        <v>35</v>
      </c>
      <c r="E393">
        <v>1</v>
      </c>
      <c r="F393">
        <v>4</v>
      </c>
      <c r="G393" s="4">
        <f>VALUE(SUBSTITUTE(SUBSTITUTE(Table1[[#This Row],[Price]],"$",""),",",""))</f>
        <v>301157</v>
      </c>
      <c r="H393" s="1">
        <f>Table1[[#This Row],[Price2]]/Table1[[#This Row],[Area]]</f>
        <v>81.658622559652926</v>
      </c>
      <c r="I393">
        <v>3688</v>
      </c>
      <c r="J393">
        <v>2006</v>
      </c>
      <c r="K393">
        <v>93</v>
      </c>
      <c r="L393" t="s">
        <v>14</v>
      </c>
      <c r="M393" t="s">
        <v>2072</v>
      </c>
      <c r="N393" s="2" t="s">
        <v>3029</v>
      </c>
      <c r="O393" t="s">
        <v>3030</v>
      </c>
      <c r="P393" t="s">
        <v>16</v>
      </c>
      <c r="Q393">
        <v>81.658622559652926</v>
      </c>
      <c r="R393">
        <f ca="1">YEAR(TODAY())-Table1[[#This Row],[Year Built]]</f>
        <v>20</v>
      </c>
      <c r="S393" t="str">
        <f>IF(Table1[[#This Row],[Days on Market]] &lt; 30,"Fast",IF(Table1[[#This Row],[Days on Market]]&lt;= 90,"Average", "Slow"))</f>
        <v>Slow</v>
      </c>
      <c r="T393" t="str">
        <f>IF(Table1[[#This Row],[Price2]]&lt;500000,"Affordable",IF(Table1[[#This Row],[Price2]]&lt;1000000,"Mid range","Luxury"))</f>
        <v>Affordable</v>
      </c>
    </row>
    <row r="394" spans="1:20" x14ac:dyDescent="0.35">
      <c r="A394" s="3">
        <v>301429</v>
      </c>
      <c r="B394" s="2" t="s">
        <v>34</v>
      </c>
      <c r="C394">
        <v>58344</v>
      </c>
      <c r="D394" s="2" t="s">
        <v>35</v>
      </c>
      <c r="E394">
        <v>6</v>
      </c>
      <c r="F394">
        <v>4</v>
      </c>
      <c r="G394" s="4">
        <f>VALUE(SUBSTITUTE(SUBSTITUTE(Table1[[#This Row],[Price]],"$",""),",",""))</f>
        <v>301429</v>
      </c>
      <c r="H394" s="1">
        <f>Table1[[#This Row],[Price2]]/Table1[[#This Row],[Area]]</f>
        <v>180.71282973621103</v>
      </c>
      <c r="I394">
        <v>1668</v>
      </c>
      <c r="J394">
        <v>1968</v>
      </c>
      <c r="K394">
        <v>70</v>
      </c>
      <c r="L394" t="s">
        <v>52</v>
      </c>
      <c r="M394" t="s">
        <v>1155</v>
      </c>
      <c r="N394" s="2" t="s">
        <v>3031</v>
      </c>
      <c r="O394" t="s">
        <v>3032</v>
      </c>
      <c r="P394" t="s">
        <v>26</v>
      </c>
      <c r="Q394">
        <v>180.71282973621103</v>
      </c>
      <c r="R394">
        <f ca="1">YEAR(TODAY())-Table1[[#This Row],[Year Built]]</f>
        <v>58</v>
      </c>
      <c r="S394" t="str">
        <f>IF(Table1[[#This Row],[Days on Market]] &lt; 30,"Fast",IF(Table1[[#This Row],[Days on Market]]&lt;= 90,"Average", "Slow"))</f>
        <v>Average</v>
      </c>
      <c r="T394" t="str">
        <f>IF(Table1[[#This Row],[Price2]]&lt;500000,"Affordable",IF(Table1[[#This Row],[Price2]]&lt;1000000,"Mid range","Luxury"))</f>
        <v>Affordable</v>
      </c>
    </row>
    <row r="395" spans="1:20" x14ac:dyDescent="0.35">
      <c r="A395" s="3">
        <v>301837</v>
      </c>
      <c r="B395" s="2" t="s">
        <v>12</v>
      </c>
      <c r="C395">
        <v>34517</v>
      </c>
      <c r="D395" s="2" t="s">
        <v>29</v>
      </c>
      <c r="E395">
        <v>1</v>
      </c>
      <c r="F395">
        <v>4</v>
      </c>
      <c r="G395" s="4">
        <f>VALUE(SUBSTITUTE(SUBSTITUTE(Table1[[#This Row],[Price]],"$",""),",",""))</f>
        <v>301837</v>
      </c>
      <c r="H395" s="1">
        <f>Table1[[#This Row],[Price2]]/Table1[[#This Row],[Area]]</f>
        <v>115.33702713030188</v>
      </c>
      <c r="I395">
        <v>2617</v>
      </c>
      <c r="J395">
        <v>2015</v>
      </c>
      <c r="K395">
        <v>106</v>
      </c>
      <c r="L395" t="s">
        <v>52</v>
      </c>
      <c r="M395" t="s">
        <v>2045</v>
      </c>
      <c r="N395" s="2" t="s">
        <v>3035</v>
      </c>
      <c r="O395" t="s">
        <v>3036</v>
      </c>
      <c r="P395" t="s">
        <v>26</v>
      </c>
      <c r="Q395">
        <v>115.33702713030188</v>
      </c>
      <c r="R395">
        <f ca="1">YEAR(TODAY())-Table1[[#This Row],[Year Built]]</f>
        <v>11</v>
      </c>
      <c r="S395" t="str">
        <f>IF(Table1[[#This Row],[Days on Market]] &lt; 30,"Fast",IF(Table1[[#This Row],[Days on Market]]&lt;= 90,"Average", "Slow"))</f>
        <v>Slow</v>
      </c>
      <c r="T395" t="str">
        <f>IF(Table1[[#This Row],[Price2]]&lt;500000,"Affordable",IF(Table1[[#This Row],[Price2]]&lt;1000000,"Mid range","Luxury"))</f>
        <v>Affordable</v>
      </c>
    </row>
    <row r="396" spans="1:20" x14ac:dyDescent="0.35">
      <c r="A396" s="3">
        <v>302039</v>
      </c>
      <c r="B396" s="2" t="s">
        <v>22</v>
      </c>
      <c r="C396">
        <v>93008</v>
      </c>
      <c r="D396" s="2" t="s">
        <v>13</v>
      </c>
      <c r="E396">
        <v>2</v>
      </c>
      <c r="F396">
        <v>2</v>
      </c>
      <c r="G396" s="4">
        <f>VALUE(SUBSTITUTE(SUBSTITUTE(Table1[[#This Row],[Price]],"$",""),",",""))</f>
        <v>302039</v>
      </c>
      <c r="H396" s="1">
        <f>Table1[[#This Row],[Price2]]/Table1[[#This Row],[Area]]</f>
        <v>216.98204022988506</v>
      </c>
      <c r="I396">
        <v>1392</v>
      </c>
      <c r="J396">
        <v>1958</v>
      </c>
      <c r="K396">
        <v>59</v>
      </c>
      <c r="L396" t="s">
        <v>19</v>
      </c>
      <c r="M396" t="s">
        <v>2374</v>
      </c>
      <c r="N396" s="2" t="s">
        <v>3027</v>
      </c>
      <c r="O396" t="s">
        <v>3028</v>
      </c>
      <c r="P396" t="s">
        <v>26</v>
      </c>
      <c r="Q396">
        <v>216.98204022988506</v>
      </c>
      <c r="R396">
        <f ca="1">YEAR(TODAY())-Table1[[#This Row],[Year Built]]</f>
        <v>68</v>
      </c>
      <c r="S396" t="str">
        <f>IF(Table1[[#This Row],[Days on Market]] &lt; 30,"Fast",IF(Table1[[#This Row],[Days on Market]]&lt;= 90,"Average", "Slow"))</f>
        <v>Average</v>
      </c>
      <c r="T396" t="str">
        <f>IF(Table1[[#This Row],[Price2]]&lt;500000,"Affordable",IF(Table1[[#This Row],[Price2]]&lt;1000000,"Mid range","Luxury"))</f>
        <v>Affordable</v>
      </c>
    </row>
    <row r="397" spans="1:20" x14ac:dyDescent="0.35">
      <c r="A397" s="3">
        <v>302114</v>
      </c>
      <c r="B397" s="2" t="s">
        <v>27</v>
      </c>
      <c r="C397">
        <v>25628</v>
      </c>
      <c r="D397" s="2" t="s">
        <v>35</v>
      </c>
      <c r="E397">
        <v>5</v>
      </c>
      <c r="F397">
        <v>1</v>
      </c>
      <c r="G397" s="4">
        <f>VALUE(SUBSTITUTE(SUBSTITUTE(Table1[[#This Row],[Price]],"$",""),",",""))</f>
        <v>302114</v>
      </c>
      <c r="H397" s="1">
        <f>Table1[[#This Row],[Price2]]/Table1[[#This Row],[Area]]</f>
        <v>94.795732663947291</v>
      </c>
      <c r="I397">
        <v>3187</v>
      </c>
      <c r="J397">
        <v>1950</v>
      </c>
      <c r="K397">
        <v>20</v>
      </c>
      <c r="L397" t="s">
        <v>40</v>
      </c>
      <c r="M397" t="s">
        <v>942</v>
      </c>
      <c r="N397" s="2" t="s">
        <v>3035</v>
      </c>
      <c r="O397" t="s">
        <v>3036</v>
      </c>
      <c r="P397" t="s">
        <v>21</v>
      </c>
      <c r="Q397">
        <v>94.795732663947291</v>
      </c>
      <c r="R397">
        <f ca="1">YEAR(TODAY())-Table1[[#This Row],[Year Built]]</f>
        <v>76</v>
      </c>
      <c r="S397" t="str">
        <f>IF(Table1[[#This Row],[Days on Market]] &lt; 30,"Fast",IF(Table1[[#This Row],[Days on Market]]&lt;= 90,"Average", "Slow"))</f>
        <v>Fast</v>
      </c>
      <c r="T397" t="str">
        <f>IF(Table1[[#This Row],[Price2]]&lt;500000,"Affordable",IF(Table1[[#This Row],[Price2]]&lt;1000000,"Mid range","Luxury"))</f>
        <v>Affordable</v>
      </c>
    </row>
    <row r="398" spans="1:20" x14ac:dyDescent="0.35">
      <c r="A398" s="3">
        <v>302419</v>
      </c>
      <c r="B398" s="2" t="s">
        <v>17</v>
      </c>
      <c r="C398">
        <v>85098</v>
      </c>
      <c r="D398" s="2" t="s">
        <v>13</v>
      </c>
      <c r="E398">
        <v>4</v>
      </c>
      <c r="F398">
        <v>4</v>
      </c>
      <c r="G398" s="4">
        <f>VALUE(SUBSTITUTE(SUBSTITUTE(Table1[[#This Row],[Price]],"$",""),",",""))</f>
        <v>302419</v>
      </c>
      <c r="H398" s="1">
        <f>Table1[[#This Row],[Price2]]/Table1[[#This Row],[Area]]</f>
        <v>239.06640316205534</v>
      </c>
      <c r="I398">
        <v>1265</v>
      </c>
      <c r="J398">
        <v>1989</v>
      </c>
      <c r="K398">
        <v>25</v>
      </c>
      <c r="L398" t="s">
        <v>52</v>
      </c>
      <c r="M398" t="s">
        <v>311</v>
      </c>
      <c r="N398" s="2" t="s">
        <v>3033</v>
      </c>
      <c r="O398" t="s">
        <v>3034</v>
      </c>
      <c r="P398" t="s">
        <v>26</v>
      </c>
      <c r="Q398">
        <v>239.06640316205534</v>
      </c>
      <c r="R398">
        <f ca="1">YEAR(TODAY())-Table1[[#This Row],[Year Built]]</f>
        <v>37</v>
      </c>
      <c r="S398" t="str">
        <f>IF(Table1[[#This Row],[Days on Market]] &lt; 30,"Fast",IF(Table1[[#This Row],[Days on Market]]&lt;= 90,"Average", "Slow"))</f>
        <v>Fast</v>
      </c>
      <c r="T398" t="str">
        <f>IF(Table1[[#This Row],[Price2]]&lt;500000,"Affordable",IF(Table1[[#This Row],[Price2]]&lt;1000000,"Mid range","Luxury"))</f>
        <v>Affordable</v>
      </c>
    </row>
    <row r="399" spans="1:20" x14ac:dyDescent="0.35">
      <c r="A399" s="3">
        <v>304055</v>
      </c>
      <c r="B399" s="2" t="s">
        <v>17</v>
      </c>
      <c r="C399">
        <v>53066</v>
      </c>
      <c r="D399" s="2" t="s">
        <v>13</v>
      </c>
      <c r="E399">
        <v>4</v>
      </c>
      <c r="F399">
        <v>3</v>
      </c>
      <c r="G399" s="4">
        <f>VALUE(SUBSTITUTE(SUBSTITUTE(Table1[[#This Row],[Price]],"$",""),",",""))</f>
        <v>304055</v>
      </c>
      <c r="H399" s="1">
        <f>Table1[[#This Row],[Price2]]/Table1[[#This Row],[Area]]</f>
        <v>244.41720257234726</v>
      </c>
      <c r="I399">
        <v>1244</v>
      </c>
      <c r="J399">
        <v>2022</v>
      </c>
      <c r="K399">
        <v>72</v>
      </c>
      <c r="L399" t="s">
        <v>19</v>
      </c>
      <c r="M399" t="s">
        <v>1927</v>
      </c>
      <c r="N399" s="2" t="s">
        <v>3033</v>
      </c>
      <c r="O399" t="s">
        <v>3034</v>
      </c>
      <c r="P399" t="s">
        <v>21</v>
      </c>
      <c r="Q399">
        <v>244.41720257234726</v>
      </c>
      <c r="R399">
        <f ca="1">YEAR(TODAY())-Table1[[#This Row],[Year Built]]</f>
        <v>4</v>
      </c>
      <c r="S399" t="str">
        <f>IF(Table1[[#This Row],[Days on Market]] &lt; 30,"Fast",IF(Table1[[#This Row],[Days on Market]]&lt;= 90,"Average", "Slow"))</f>
        <v>Average</v>
      </c>
      <c r="T399" t="str">
        <f>IF(Table1[[#This Row],[Price2]]&lt;500000,"Affordable",IF(Table1[[#This Row],[Price2]]&lt;1000000,"Mid range","Luxury"))</f>
        <v>Affordable</v>
      </c>
    </row>
    <row r="400" spans="1:20" x14ac:dyDescent="0.35">
      <c r="A400" s="3">
        <v>304268</v>
      </c>
      <c r="B400" s="2" t="s">
        <v>27</v>
      </c>
      <c r="C400">
        <v>75233</v>
      </c>
      <c r="D400" s="2" t="s">
        <v>13</v>
      </c>
      <c r="E400">
        <v>3</v>
      </c>
      <c r="F400">
        <v>1</v>
      </c>
      <c r="G400" s="4">
        <f>VALUE(SUBSTITUTE(SUBSTITUTE(Table1[[#This Row],[Price]],"$",""),",",""))</f>
        <v>304268</v>
      </c>
      <c r="H400" s="1">
        <f>Table1[[#This Row],[Price2]]/Table1[[#This Row],[Area]]</f>
        <v>100.88461538461539</v>
      </c>
      <c r="I400">
        <v>3016</v>
      </c>
      <c r="J400">
        <v>1973</v>
      </c>
      <c r="K400">
        <v>41</v>
      </c>
      <c r="L400" t="s">
        <v>40</v>
      </c>
      <c r="M400" t="s">
        <v>1749</v>
      </c>
      <c r="N400" s="2" t="s">
        <v>3035</v>
      </c>
      <c r="O400" t="s">
        <v>3036</v>
      </c>
      <c r="P400" t="s">
        <v>26</v>
      </c>
      <c r="Q400">
        <v>100.88461538461539</v>
      </c>
      <c r="R400">
        <f ca="1">YEAR(TODAY())-Table1[[#This Row],[Year Built]]</f>
        <v>53</v>
      </c>
      <c r="S400" t="str">
        <f>IF(Table1[[#This Row],[Days on Market]] &lt; 30,"Fast",IF(Table1[[#This Row],[Days on Market]]&lt;= 90,"Average", "Slow"))</f>
        <v>Average</v>
      </c>
      <c r="T400" t="str">
        <f>IF(Table1[[#This Row],[Price2]]&lt;500000,"Affordable",IF(Table1[[#This Row],[Price2]]&lt;1000000,"Mid range","Luxury"))</f>
        <v>Affordable</v>
      </c>
    </row>
    <row r="401" spans="1:20" x14ac:dyDescent="0.35">
      <c r="A401" s="3">
        <v>305465</v>
      </c>
      <c r="B401" s="2" t="s">
        <v>12</v>
      </c>
      <c r="C401">
        <v>78275</v>
      </c>
      <c r="D401" s="2" t="s">
        <v>23</v>
      </c>
      <c r="E401">
        <v>6</v>
      </c>
      <c r="F401">
        <v>2</v>
      </c>
      <c r="G401" s="4">
        <f>VALUE(SUBSTITUTE(SUBSTITUTE(Table1[[#This Row],[Price]],"$",""),",",""))</f>
        <v>305465</v>
      </c>
      <c r="H401" s="1">
        <f>Table1[[#This Row],[Price2]]/Table1[[#This Row],[Area]]</f>
        <v>329.51995685005392</v>
      </c>
      <c r="I401">
        <v>927</v>
      </c>
      <c r="J401">
        <v>1990</v>
      </c>
      <c r="K401">
        <v>20</v>
      </c>
      <c r="L401" t="s">
        <v>30</v>
      </c>
      <c r="M401" t="s">
        <v>581</v>
      </c>
      <c r="N401" s="2" t="s">
        <v>3035</v>
      </c>
      <c r="O401" t="s">
        <v>3036</v>
      </c>
      <c r="P401" t="s">
        <v>16</v>
      </c>
      <c r="Q401">
        <v>329.51995685005392</v>
      </c>
      <c r="R401">
        <f ca="1">YEAR(TODAY())-Table1[[#This Row],[Year Built]]</f>
        <v>36</v>
      </c>
      <c r="S401" t="str">
        <f>IF(Table1[[#This Row],[Days on Market]] &lt; 30,"Fast",IF(Table1[[#This Row],[Days on Market]]&lt;= 90,"Average", "Slow"))</f>
        <v>Fast</v>
      </c>
      <c r="T401" t="str">
        <f>IF(Table1[[#This Row],[Price2]]&lt;500000,"Affordable",IF(Table1[[#This Row],[Price2]]&lt;1000000,"Mid range","Luxury"))</f>
        <v>Affordable</v>
      </c>
    </row>
    <row r="402" spans="1:20" x14ac:dyDescent="0.35">
      <c r="A402" s="3">
        <v>305871</v>
      </c>
      <c r="B402" s="2" t="s">
        <v>12</v>
      </c>
      <c r="C402">
        <v>18497</v>
      </c>
      <c r="D402" s="2" t="s">
        <v>29</v>
      </c>
      <c r="E402">
        <v>2</v>
      </c>
      <c r="F402">
        <v>1</v>
      </c>
      <c r="G402" s="4">
        <f>VALUE(SUBSTITUTE(SUBSTITUTE(Table1[[#This Row],[Price]],"$",""),",",""))</f>
        <v>305871</v>
      </c>
      <c r="H402" s="1">
        <f>Table1[[#This Row],[Price2]]/Table1[[#This Row],[Area]]</f>
        <v>282.16881918819189</v>
      </c>
      <c r="I402">
        <v>1084</v>
      </c>
      <c r="J402">
        <v>1982</v>
      </c>
      <c r="K402">
        <v>20</v>
      </c>
      <c r="L402" t="s">
        <v>30</v>
      </c>
      <c r="M402" t="s">
        <v>205</v>
      </c>
      <c r="N402" s="2" t="s">
        <v>3035</v>
      </c>
      <c r="O402" t="s">
        <v>3036</v>
      </c>
      <c r="P402" t="s">
        <v>21</v>
      </c>
      <c r="Q402">
        <v>282.16881918819189</v>
      </c>
      <c r="R402">
        <f ca="1">YEAR(TODAY())-Table1[[#This Row],[Year Built]]</f>
        <v>44</v>
      </c>
      <c r="S402" t="str">
        <f>IF(Table1[[#This Row],[Days on Market]] &lt; 30,"Fast",IF(Table1[[#This Row],[Days on Market]]&lt;= 90,"Average", "Slow"))</f>
        <v>Fast</v>
      </c>
      <c r="T402" t="str">
        <f>IF(Table1[[#This Row],[Price2]]&lt;500000,"Affordable",IF(Table1[[#This Row],[Price2]]&lt;1000000,"Mid range","Luxury"))</f>
        <v>Affordable</v>
      </c>
    </row>
    <row r="403" spans="1:20" x14ac:dyDescent="0.35">
      <c r="A403" s="3">
        <v>306767</v>
      </c>
      <c r="B403" s="2" t="s">
        <v>12</v>
      </c>
      <c r="C403">
        <v>31284</v>
      </c>
      <c r="D403" s="2" t="s">
        <v>18</v>
      </c>
      <c r="E403">
        <v>4</v>
      </c>
      <c r="F403">
        <v>2</v>
      </c>
      <c r="G403" s="4">
        <f>VALUE(SUBSTITUTE(SUBSTITUTE(Table1[[#This Row],[Price]],"$",""),",",""))</f>
        <v>306767</v>
      </c>
      <c r="H403" s="1">
        <f>Table1[[#This Row],[Price2]]/Table1[[#This Row],[Area]]</f>
        <v>362.18063754427391</v>
      </c>
      <c r="I403">
        <v>847</v>
      </c>
      <c r="J403">
        <v>1952</v>
      </c>
      <c r="K403">
        <v>61</v>
      </c>
      <c r="L403" t="s">
        <v>40</v>
      </c>
      <c r="M403" t="s">
        <v>2683</v>
      </c>
      <c r="N403" s="2" t="s">
        <v>3035</v>
      </c>
      <c r="O403" t="s">
        <v>3036</v>
      </c>
      <c r="P403" t="s">
        <v>21</v>
      </c>
      <c r="Q403">
        <v>362.18063754427391</v>
      </c>
      <c r="R403">
        <f ca="1">YEAR(TODAY())-Table1[[#This Row],[Year Built]]</f>
        <v>74</v>
      </c>
      <c r="S403" t="str">
        <f>IF(Table1[[#This Row],[Days on Market]] &lt; 30,"Fast",IF(Table1[[#This Row],[Days on Market]]&lt;= 90,"Average", "Slow"))</f>
        <v>Average</v>
      </c>
      <c r="T403" t="str">
        <f>IF(Table1[[#This Row],[Price2]]&lt;500000,"Affordable",IF(Table1[[#This Row],[Price2]]&lt;1000000,"Mid range","Luxury"))</f>
        <v>Affordable</v>
      </c>
    </row>
    <row r="404" spans="1:20" x14ac:dyDescent="0.35">
      <c r="A404" s="3">
        <v>307504</v>
      </c>
      <c r="B404" s="2" t="s">
        <v>34</v>
      </c>
      <c r="C404">
        <v>27037</v>
      </c>
      <c r="D404" s="2" t="s">
        <v>35</v>
      </c>
      <c r="E404">
        <v>5</v>
      </c>
      <c r="F404">
        <v>2</v>
      </c>
      <c r="G404" s="4">
        <f>VALUE(SUBSTITUTE(SUBSTITUTE(Table1[[#This Row],[Price]],"$",""),",",""))</f>
        <v>307504</v>
      </c>
      <c r="H404" s="1">
        <f>Table1[[#This Row],[Price2]]/Table1[[#This Row],[Area]]</f>
        <v>465.21028744326776</v>
      </c>
      <c r="I404">
        <v>661</v>
      </c>
      <c r="J404">
        <v>2019</v>
      </c>
      <c r="K404">
        <v>84</v>
      </c>
      <c r="L404" t="s">
        <v>19</v>
      </c>
      <c r="M404" t="s">
        <v>1949</v>
      </c>
      <c r="N404" s="2" t="s">
        <v>3027</v>
      </c>
      <c r="O404" t="s">
        <v>3028</v>
      </c>
      <c r="P404" t="s">
        <v>21</v>
      </c>
      <c r="Q404">
        <v>465.21028744326776</v>
      </c>
      <c r="R404">
        <f ca="1">YEAR(TODAY())-Table1[[#This Row],[Year Built]]</f>
        <v>7</v>
      </c>
      <c r="S404" t="str">
        <f>IF(Table1[[#This Row],[Days on Market]] &lt; 30,"Fast",IF(Table1[[#This Row],[Days on Market]]&lt;= 90,"Average", "Slow"))</f>
        <v>Average</v>
      </c>
      <c r="T404" t="str">
        <f>IF(Table1[[#This Row],[Price2]]&lt;500000,"Affordable",IF(Table1[[#This Row],[Price2]]&lt;1000000,"Mid range","Luxury"))</f>
        <v>Affordable</v>
      </c>
    </row>
    <row r="405" spans="1:20" x14ac:dyDescent="0.35">
      <c r="A405" s="3">
        <v>308811</v>
      </c>
      <c r="B405" s="2" t="s">
        <v>27</v>
      </c>
      <c r="C405">
        <v>88307</v>
      </c>
      <c r="D405" s="2" t="s">
        <v>13</v>
      </c>
      <c r="E405">
        <v>3</v>
      </c>
      <c r="F405">
        <v>4</v>
      </c>
      <c r="G405" s="4">
        <f>VALUE(SUBSTITUTE(SUBSTITUTE(Table1[[#This Row],[Price]],"$",""),",",""))</f>
        <v>308811</v>
      </c>
      <c r="H405" s="1">
        <f>Table1[[#This Row],[Price2]]/Table1[[#This Row],[Area]]</f>
        <v>83.711303876389266</v>
      </c>
      <c r="I405">
        <v>3689</v>
      </c>
      <c r="J405">
        <v>2002</v>
      </c>
      <c r="K405">
        <v>33</v>
      </c>
      <c r="L405" t="s">
        <v>30</v>
      </c>
      <c r="M405" t="s">
        <v>758</v>
      </c>
      <c r="N405" s="2" t="s">
        <v>3027</v>
      </c>
      <c r="O405" t="s">
        <v>3028</v>
      </c>
      <c r="P405" t="s">
        <v>21</v>
      </c>
      <c r="Q405">
        <v>83.711303876389266</v>
      </c>
      <c r="R405">
        <f ca="1">YEAR(TODAY())-Table1[[#This Row],[Year Built]]</f>
        <v>24</v>
      </c>
      <c r="S405" t="str">
        <f>IF(Table1[[#This Row],[Days on Market]] &lt; 30,"Fast",IF(Table1[[#This Row],[Days on Market]]&lt;= 90,"Average", "Slow"))</f>
        <v>Average</v>
      </c>
      <c r="T405" t="str">
        <f>IF(Table1[[#This Row],[Price2]]&lt;500000,"Affordable",IF(Table1[[#This Row],[Price2]]&lt;1000000,"Mid range","Luxury"))</f>
        <v>Affordable</v>
      </c>
    </row>
    <row r="406" spans="1:20" x14ac:dyDescent="0.35">
      <c r="A406" s="3">
        <v>309134</v>
      </c>
      <c r="B406" s="2" t="s">
        <v>27</v>
      </c>
      <c r="C406">
        <v>32641</v>
      </c>
      <c r="D406" s="2" t="s">
        <v>35</v>
      </c>
      <c r="E406">
        <v>6</v>
      </c>
      <c r="F406">
        <v>3</v>
      </c>
      <c r="G406" s="4">
        <f>VALUE(SUBSTITUTE(SUBSTITUTE(Table1[[#This Row],[Price]],"$",""),",",""))</f>
        <v>309134</v>
      </c>
      <c r="H406" s="1">
        <f>Table1[[#This Row],[Price2]]/Table1[[#This Row],[Area]]</f>
        <v>99.368048858887818</v>
      </c>
      <c r="I406">
        <v>3111</v>
      </c>
      <c r="J406">
        <v>1952</v>
      </c>
      <c r="K406">
        <v>13</v>
      </c>
      <c r="L406" t="s">
        <v>19</v>
      </c>
      <c r="M406" t="s">
        <v>635</v>
      </c>
      <c r="N406" s="2" t="s">
        <v>3035</v>
      </c>
      <c r="O406" t="s">
        <v>3036</v>
      </c>
      <c r="P406" t="s">
        <v>26</v>
      </c>
      <c r="Q406">
        <v>99.368048858887818</v>
      </c>
      <c r="R406">
        <f ca="1">YEAR(TODAY())-Table1[[#This Row],[Year Built]]</f>
        <v>74</v>
      </c>
      <c r="S406" t="str">
        <f>IF(Table1[[#This Row],[Days on Market]] &lt; 30,"Fast",IF(Table1[[#This Row],[Days on Market]]&lt;= 90,"Average", "Slow"))</f>
        <v>Fast</v>
      </c>
      <c r="T406" t="str">
        <f>IF(Table1[[#This Row],[Price2]]&lt;500000,"Affordable",IF(Table1[[#This Row],[Price2]]&lt;1000000,"Mid range","Luxury"))</f>
        <v>Affordable</v>
      </c>
    </row>
    <row r="407" spans="1:20" x14ac:dyDescent="0.35">
      <c r="A407" s="3">
        <v>309482</v>
      </c>
      <c r="B407" s="2" t="s">
        <v>22</v>
      </c>
      <c r="C407">
        <v>14794</v>
      </c>
      <c r="D407" s="2" t="s">
        <v>23</v>
      </c>
      <c r="E407">
        <v>4</v>
      </c>
      <c r="F407">
        <v>1</v>
      </c>
      <c r="G407" s="4">
        <f>VALUE(SUBSTITUTE(SUBSTITUTE(Table1[[#This Row],[Price]],"$",""),",",""))</f>
        <v>309482</v>
      </c>
      <c r="H407" s="1">
        <f>Table1[[#This Row],[Price2]]/Table1[[#This Row],[Area]]</f>
        <v>130.03445378151261</v>
      </c>
      <c r="I407">
        <v>2380</v>
      </c>
      <c r="J407">
        <v>1987</v>
      </c>
      <c r="K407">
        <v>67</v>
      </c>
      <c r="L407" t="s">
        <v>40</v>
      </c>
      <c r="M407" t="s">
        <v>2527</v>
      </c>
      <c r="N407" s="2" t="s">
        <v>3031</v>
      </c>
      <c r="O407" t="s">
        <v>3032</v>
      </c>
      <c r="P407" t="s">
        <v>16</v>
      </c>
      <c r="Q407">
        <v>130.03445378151261</v>
      </c>
      <c r="R407">
        <f ca="1">YEAR(TODAY())-Table1[[#This Row],[Year Built]]</f>
        <v>39</v>
      </c>
      <c r="S407" t="str">
        <f>IF(Table1[[#This Row],[Days on Market]] &lt; 30,"Fast",IF(Table1[[#This Row],[Days on Market]]&lt;= 90,"Average", "Slow"))</f>
        <v>Average</v>
      </c>
      <c r="T407" t="str">
        <f>IF(Table1[[#This Row],[Price2]]&lt;500000,"Affordable",IF(Table1[[#This Row],[Price2]]&lt;1000000,"Mid range","Luxury"))</f>
        <v>Affordable</v>
      </c>
    </row>
    <row r="408" spans="1:20" x14ac:dyDescent="0.35">
      <c r="A408" s="3">
        <v>310781</v>
      </c>
      <c r="B408" s="2" t="s">
        <v>22</v>
      </c>
      <c r="C408">
        <v>99327</v>
      </c>
      <c r="D408" s="2" t="s">
        <v>13</v>
      </c>
      <c r="E408">
        <v>2</v>
      </c>
      <c r="F408">
        <v>1</v>
      </c>
      <c r="G408" s="4">
        <f>VALUE(SUBSTITUTE(SUBSTITUTE(Table1[[#This Row],[Price]],"$",""),",",""))</f>
        <v>310781</v>
      </c>
      <c r="H408" s="1">
        <f>Table1[[#This Row],[Price2]]/Table1[[#This Row],[Area]]</f>
        <v>80.513212435233157</v>
      </c>
      <c r="I408">
        <v>3860</v>
      </c>
      <c r="J408">
        <v>1984</v>
      </c>
      <c r="K408">
        <v>27</v>
      </c>
      <c r="L408" t="s">
        <v>52</v>
      </c>
      <c r="M408" t="s">
        <v>1352</v>
      </c>
      <c r="N408" s="2" t="s">
        <v>3031</v>
      </c>
      <c r="O408" t="s">
        <v>3032</v>
      </c>
      <c r="P408" t="s">
        <v>21</v>
      </c>
      <c r="Q408">
        <v>80.513212435233157</v>
      </c>
      <c r="R408">
        <f ca="1">YEAR(TODAY())-Table1[[#This Row],[Year Built]]</f>
        <v>42</v>
      </c>
      <c r="S408" t="str">
        <f>IF(Table1[[#This Row],[Days on Market]] &lt; 30,"Fast",IF(Table1[[#This Row],[Days on Market]]&lt;= 90,"Average", "Slow"))</f>
        <v>Fast</v>
      </c>
      <c r="T408" t="str">
        <f>IF(Table1[[#This Row],[Price2]]&lt;500000,"Affordable",IF(Table1[[#This Row],[Price2]]&lt;1000000,"Mid range","Luxury"))</f>
        <v>Affordable</v>
      </c>
    </row>
    <row r="409" spans="1:20" x14ac:dyDescent="0.35">
      <c r="A409" s="3">
        <v>310809</v>
      </c>
      <c r="B409" s="2" t="s">
        <v>34</v>
      </c>
      <c r="C409">
        <v>22633</v>
      </c>
      <c r="D409" s="2" t="s">
        <v>18</v>
      </c>
      <c r="E409">
        <v>6</v>
      </c>
      <c r="F409">
        <v>3</v>
      </c>
      <c r="G409" s="4">
        <f>VALUE(SUBSTITUTE(SUBSTITUTE(Table1[[#This Row],[Price]],"$",""),",",""))</f>
        <v>310809</v>
      </c>
      <c r="H409" s="1">
        <f>Table1[[#This Row],[Price2]]/Table1[[#This Row],[Area]]</f>
        <v>234.75</v>
      </c>
      <c r="I409">
        <v>1324</v>
      </c>
      <c r="J409">
        <v>1971</v>
      </c>
      <c r="K409">
        <v>37</v>
      </c>
      <c r="L409" t="s">
        <v>40</v>
      </c>
      <c r="M409" t="s">
        <v>2788</v>
      </c>
      <c r="N409" s="2" t="s">
        <v>3031</v>
      </c>
      <c r="O409" t="s">
        <v>3032</v>
      </c>
      <c r="P409" t="s">
        <v>16</v>
      </c>
      <c r="Q409">
        <v>234.75</v>
      </c>
      <c r="R409">
        <f ca="1">YEAR(TODAY())-Table1[[#This Row],[Year Built]]</f>
        <v>55</v>
      </c>
      <c r="S409" t="str">
        <f>IF(Table1[[#This Row],[Days on Market]] &lt; 30,"Fast",IF(Table1[[#This Row],[Days on Market]]&lt;= 90,"Average", "Slow"))</f>
        <v>Average</v>
      </c>
      <c r="T409" t="str">
        <f>IF(Table1[[#This Row],[Price2]]&lt;500000,"Affordable",IF(Table1[[#This Row],[Price2]]&lt;1000000,"Mid range","Luxury"))</f>
        <v>Affordable</v>
      </c>
    </row>
    <row r="410" spans="1:20" x14ac:dyDescent="0.35">
      <c r="A410" s="3">
        <v>310835</v>
      </c>
      <c r="B410" s="2" t="s">
        <v>22</v>
      </c>
      <c r="C410">
        <v>47857</v>
      </c>
      <c r="D410" s="2" t="s">
        <v>23</v>
      </c>
      <c r="E410">
        <v>2</v>
      </c>
      <c r="F410">
        <v>4</v>
      </c>
      <c r="G410" s="4">
        <f>VALUE(SUBSTITUTE(SUBSTITUTE(Table1[[#This Row],[Price]],"$",""),",",""))</f>
        <v>310835</v>
      </c>
      <c r="H410" s="1">
        <f>Table1[[#This Row],[Price2]]/Table1[[#This Row],[Area]]</f>
        <v>96.773038605230383</v>
      </c>
      <c r="I410">
        <v>3212</v>
      </c>
      <c r="J410">
        <v>2005</v>
      </c>
      <c r="K410">
        <v>58</v>
      </c>
      <c r="L410" t="s">
        <v>40</v>
      </c>
      <c r="M410" t="s">
        <v>1509</v>
      </c>
      <c r="N410" s="2" t="s">
        <v>3033</v>
      </c>
      <c r="O410" t="s">
        <v>3034</v>
      </c>
      <c r="P410" t="s">
        <v>26</v>
      </c>
      <c r="Q410">
        <v>96.773038605230383</v>
      </c>
      <c r="R410">
        <f ca="1">YEAR(TODAY())-Table1[[#This Row],[Year Built]]</f>
        <v>21</v>
      </c>
      <c r="S410" t="str">
        <f>IF(Table1[[#This Row],[Days on Market]] &lt; 30,"Fast",IF(Table1[[#This Row],[Days on Market]]&lt;= 90,"Average", "Slow"))</f>
        <v>Average</v>
      </c>
      <c r="T410" t="str">
        <f>IF(Table1[[#This Row],[Price2]]&lt;500000,"Affordable",IF(Table1[[#This Row],[Price2]]&lt;1000000,"Mid range","Luxury"))</f>
        <v>Affordable</v>
      </c>
    </row>
    <row r="411" spans="1:20" x14ac:dyDescent="0.35">
      <c r="A411" s="3">
        <v>311291</v>
      </c>
      <c r="B411" s="2" t="s">
        <v>22</v>
      </c>
      <c r="C411">
        <v>93328</v>
      </c>
      <c r="D411" s="2" t="s">
        <v>29</v>
      </c>
      <c r="E411">
        <v>2</v>
      </c>
      <c r="F411">
        <v>1</v>
      </c>
      <c r="G411" s="4">
        <f>VALUE(SUBSTITUTE(SUBSTITUTE(Table1[[#This Row],[Price]],"$",""),",",""))</f>
        <v>311291</v>
      </c>
      <c r="H411" s="1">
        <f>Table1[[#This Row],[Price2]]/Table1[[#This Row],[Area]]</f>
        <v>109.60950704225353</v>
      </c>
      <c r="I411">
        <v>2840</v>
      </c>
      <c r="J411">
        <v>1994</v>
      </c>
      <c r="K411">
        <v>109</v>
      </c>
      <c r="L411" t="s">
        <v>30</v>
      </c>
      <c r="M411" t="s">
        <v>1955</v>
      </c>
      <c r="N411" s="2" t="s">
        <v>3029</v>
      </c>
      <c r="O411" t="s">
        <v>3030</v>
      </c>
      <c r="P411" t="s">
        <v>16</v>
      </c>
      <c r="Q411">
        <v>109.60950704225353</v>
      </c>
      <c r="R411">
        <f ca="1">YEAR(TODAY())-Table1[[#This Row],[Year Built]]</f>
        <v>32</v>
      </c>
      <c r="S411" t="str">
        <f>IF(Table1[[#This Row],[Days on Market]] &lt; 30,"Fast",IF(Table1[[#This Row],[Days on Market]]&lt;= 90,"Average", "Slow"))</f>
        <v>Slow</v>
      </c>
      <c r="T411" t="str">
        <f>IF(Table1[[#This Row],[Price2]]&lt;500000,"Affordable",IF(Table1[[#This Row],[Price2]]&lt;1000000,"Mid range","Luxury"))</f>
        <v>Affordable</v>
      </c>
    </row>
    <row r="412" spans="1:20" x14ac:dyDescent="0.35">
      <c r="A412" s="3">
        <v>311336</v>
      </c>
      <c r="B412" s="2" t="s">
        <v>27</v>
      </c>
      <c r="C412">
        <v>85231</v>
      </c>
      <c r="D412" s="2" t="s">
        <v>18</v>
      </c>
      <c r="E412">
        <v>4</v>
      </c>
      <c r="F412">
        <v>3</v>
      </c>
      <c r="G412" s="4">
        <f>VALUE(SUBSTITUTE(SUBSTITUTE(Table1[[#This Row],[Price]],"$",""),",",""))</f>
        <v>311336</v>
      </c>
      <c r="H412" s="1">
        <f>Table1[[#This Row],[Price2]]/Table1[[#This Row],[Area]]</f>
        <v>138.55629728526924</v>
      </c>
      <c r="I412">
        <v>2247</v>
      </c>
      <c r="J412">
        <v>2005</v>
      </c>
      <c r="K412">
        <v>118</v>
      </c>
      <c r="L412" t="s">
        <v>52</v>
      </c>
      <c r="M412" t="s">
        <v>2940</v>
      </c>
      <c r="N412" s="2" t="s">
        <v>3035</v>
      </c>
      <c r="O412" t="s">
        <v>3036</v>
      </c>
      <c r="P412" t="s">
        <v>26</v>
      </c>
      <c r="Q412">
        <v>138.55629728526924</v>
      </c>
      <c r="R412">
        <f ca="1">YEAR(TODAY())-Table1[[#This Row],[Year Built]]</f>
        <v>21</v>
      </c>
      <c r="S412" t="str">
        <f>IF(Table1[[#This Row],[Days on Market]] &lt; 30,"Fast",IF(Table1[[#This Row],[Days on Market]]&lt;= 90,"Average", "Slow"))</f>
        <v>Slow</v>
      </c>
      <c r="T412" t="str">
        <f>IF(Table1[[#This Row],[Price2]]&lt;500000,"Affordable",IF(Table1[[#This Row],[Price2]]&lt;1000000,"Mid range","Luxury"))</f>
        <v>Affordable</v>
      </c>
    </row>
    <row r="413" spans="1:20" x14ac:dyDescent="0.35">
      <c r="A413" s="3">
        <v>311629</v>
      </c>
      <c r="B413" s="2" t="s">
        <v>22</v>
      </c>
      <c r="C413">
        <v>73855</v>
      </c>
      <c r="D413" s="2" t="s">
        <v>23</v>
      </c>
      <c r="E413">
        <v>3</v>
      </c>
      <c r="F413">
        <v>1</v>
      </c>
      <c r="G413" s="4">
        <f>VALUE(SUBSTITUTE(SUBSTITUTE(Table1[[#This Row],[Price]],"$",""),",",""))</f>
        <v>311629</v>
      </c>
      <c r="H413" s="1">
        <f>Table1[[#This Row],[Price2]]/Table1[[#This Row],[Area]]</f>
        <v>161.96933471933471</v>
      </c>
      <c r="I413">
        <v>1924</v>
      </c>
      <c r="J413">
        <v>2021</v>
      </c>
      <c r="K413">
        <v>55</v>
      </c>
      <c r="L413" t="s">
        <v>19</v>
      </c>
      <c r="M413" t="s">
        <v>1866</v>
      </c>
      <c r="N413" s="2" t="s">
        <v>3033</v>
      </c>
      <c r="O413" t="s">
        <v>3034</v>
      </c>
      <c r="P413" t="s">
        <v>26</v>
      </c>
      <c r="Q413">
        <v>161.96933471933471</v>
      </c>
      <c r="R413">
        <f ca="1">YEAR(TODAY())-Table1[[#This Row],[Year Built]]</f>
        <v>5</v>
      </c>
      <c r="S413" t="str">
        <f>IF(Table1[[#This Row],[Days on Market]] &lt; 30,"Fast",IF(Table1[[#This Row],[Days on Market]]&lt;= 90,"Average", "Slow"))</f>
        <v>Average</v>
      </c>
      <c r="T413" t="str">
        <f>IF(Table1[[#This Row],[Price2]]&lt;500000,"Affordable",IF(Table1[[#This Row],[Price2]]&lt;1000000,"Mid range","Luxury"))</f>
        <v>Affordable</v>
      </c>
    </row>
    <row r="414" spans="1:20" x14ac:dyDescent="0.35">
      <c r="A414" s="3">
        <v>314414</v>
      </c>
      <c r="B414" s="2" t="s">
        <v>27</v>
      </c>
      <c r="C414">
        <v>66368</v>
      </c>
      <c r="D414" s="2" t="s">
        <v>35</v>
      </c>
      <c r="E414">
        <v>5</v>
      </c>
      <c r="F414">
        <v>2</v>
      </c>
      <c r="G414" s="4">
        <f>VALUE(SUBSTITUTE(SUBSTITUTE(Table1[[#This Row],[Price]],"$",""),",",""))</f>
        <v>314414</v>
      </c>
      <c r="H414" s="1">
        <f>Table1[[#This Row],[Price2]]/Table1[[#This Row],[Area]]</f>
        <v>147.75093984962405</v>
      </c>
      <c r="I414">
        <v>2128</v>
      </c>
      <c r="J414">
        <v>1994</v>
      </c>
      <c r="K414">
        <v>79</v>
      </c>
      <c r="L414" t="s">
        <v>14</v>
      </c>
      <c r="M414" t="s">
        <v>424</v>
      </c>
      <c r="N414" s="2" t="s">
        <v>3029</v>
      </c>
      <c r="O414" t="s">
        <v>3030</v>
      </c>
      <c r="P414" t="s">
        <v>26</v>
      </c>
      <c r="Q414">
        <v>147.75093984962405</v>
      </c>
      <c r="R414">
        <f ca="1">YEAR(TODAY())-Table1[[#This Row],[Year Built]]</f>
        <v>32</v>
      </c>
      <c r="S414" t="str">
        <f>IF(Table1[[#This Row],[Days on Market]] &lt; 30,"Fast",IF(Table1[[#This Row],[Days on Market]]&lt;= 90,"Average", "Slow"))</f>
        <v>Average</v>
      </c>
      <c r="T414" t="str">
        <f>IF(Table1[[#This Row],[Price2]]&lt;500000,"Affordable",IF(Table1[[#This Row],[Price2]]&lt;1000000,"Mid range","Luxury"))</f>
        <v>Affordable</v>
      </c>
    </row>
    <row r="415" spans="1:20" x14ac:dyDescent="0.35">
      <c r="A415" s="3">
        <v>314574</v>
      </c>
      <c r="B415" s="2" t="s">
        <v>27</v>
      </c>
      <c r="C415">
        <v>85533</v>
      </c>
      <c r="D415" s="2" t="s">
        <v>29</v>
      </c>
      <c r="E415">
        <v>6</v>
      </c>
      <c r="F415">
        <v>3</v>
      </c>
      <c r="G415" s="4">
        <f>VALUE(SUBSTITUTE(SUBSTITUTE(Table1[[#This Row],[Price]],"$",""),",",""))</f>
        <v>314574</v>
      </c>
      <c r="H415" s="1">
        <f>Table1[[#This Row],[Price2]]/Table1[[#This Row],[Area]]</f>
        <v>214.57980900409277</v>
      </c>
      <c r="I415">
        <v>1466</v>
      </c>
      <c r="J415">
        <v>1967</v>
      </c>
      <c r="K415">
        <v>44</v>
      </c>
      <c r="L415" t="s">
        <v>52</v>
      </c>
      <c r="M415" t="s">
        <v>1361</v>
      </c>
      <c r="N415" s="2" t="s">
        <v>3033</v>
      </c>
      <c r="O415" t="s">
        <v>3034</v>
      </c>
      <c r="P415" t="s">
        <v>21</v>
      </c>
      <c r="Q415">
        <v>214.57980900409277</v>
      </c>
      <c r="R415">
        <f ca="1">YEAR(TODAY())-Table1[[#This Row],[Year Built]]</f>
        <v>59</v>
      </c>
      <c r="S415" t="str">
        <f>IF(Table1[[#This Row],[Days on Market]] &lt; 30,"Fast",IF(Table1[[#This Row],[Days on Market]]&lt;= 90,"Average", "Slow"))</f>
        <v>Average</v>
      </c>
      <c r="T415" t="str">
        <f>IF(Table1[[#This Row],[Price2]]&lt;500000,"Affordable",IF(Table1[[#This Row],[Price2]]&lt;1000000,"Mid range","Luxury"))</f>
        <v>Affordable</v>
      </c>
    </row>
    <row r="416" spans="1:20" x14ac:dyDescent="0.35">
      <c r="A416" s="3">
        <v>315073</v>
      </c>
      <c r="B416" s="2" t="s">
        <v>17</v>
      </c>
      <c r="C416">
        <v>13171</v>
      </c>
      <c r="D416" s="2" t="s">
        <v>13</v>
      </c>
      <c r="E416">
        <v>3</v>
      </c>
      <c r="F416">
        <v>1</v>
      </c>
      <c r="G416" s="4">
        <f>VALUE(SUBSTITUTE(SUBSTITUTE(Table1[[#This Row],[Price]],"$",""),",",""))</f>
        <v>315073</v>
      </c>
      <c r="H416" s="1">
        <f>Table1[[#This Row],[Price2]]/Table1[[#This Row],[Area]]</f>
        <v>120.440749235474</v>
      </c>
      <c r="I416">
        <v>2616</v>
      </c>
      <c r="J416">
        <v>1951</v>
      </c>
      <c r="K416">
        <v>60</v>
      </c>
      <c r="L416" t="s">
        <v>52</v>
      </c>
      <c r="M416" t="s">
        <v>1296</v>
      </c>
      <c r="N416" s="2" t="s">
        <v>3029</v>
      </c>
      <c r="O416" t="s">
        <v>3030</v>
      </c>
      <c r="P416" t="s">
        <v>21</v>
      </c>
      <c r="Q416">
        <v>120.440749235474</v>
      </c>
      <c r="R416">
        <f ca="1">YEAR(TODAY())-Table1[[#This Row],[Year Built]]</f>
        <v>75</v>
      </c>
      <c r="S416" t="str">
        <f>IF(Table1[[#This Row],[Days on Market]] &lt; 30,"Fast",IF(Table1[[#This Row],[Days on Market]]&lt;= 90,"Average", "Slow"))</f>
        <v>Average</v>
      </c>
      <c r="T416" t="str">
        <f>IF(Table1[[#This Row],[Price2]]&lt;500000,"Affordable",IF(Table1[[#This Row],[Price2]]&lt;1000000,"Mid range","Luxury"))</f>
        <v>Affordable</v>
      </c>
    </row>
    <row r="417" spans="1:20" x14ac:dyDescent="0.35">
      <c r="A417" s="3">
        <v>315634</v>
      </c>
      <c r="B417" s="2" t="s">
        <v>27</v>
      </c>
      <c r="C417">
        <v>64628</v>
      </c>
      <c r="D417" s="2" t="s">
        <v>18</v>
      </c>
      <c r="E417">
        <v>2</v>
      </c>
      <c r="F417">
        <v>4</v>
      </c>
      <c r="G417" s="4">
        <f>VALUE(SUBSTITUTE(SUBSTITUTE(Table1[[#This Row],[Price]],"$",""),",",""))</f>
        <v>315634</v>
      </c>
      <c r="H417" s="1">
        <f>Table1[[#This Row],[Price2]]/Table1[[#This Row],[Area]]</f>
        <v>122.33875968992248</v>
      </c>
      <c r="I417">
        <v>2580</v>
      </c>
      <c r="J417">
        <v>1976</v>
      </c>
      <c r="K417">
        <v>101</v>
      </c>
      <c r="L417" t="s">
        <v>52</v>
      </c>
      <c r="M417" t="s">
        <v>1290</v>
      </c>
      <c r="N417" s="2" t="s">
        <v>3027</v>
      </c>
      <c r="O417" t="s">
        <v>3028</v>
      </c>
      <c r="P417" t="s">
        <v>21</v>
      </c>
      <c r="Q417">
        <v>122.33875968992248</v>
      </c>
      <c r="R417">
        <f ca="1">YEAR(TODAY())-Table1[[#This Row],[Year Built]]</f>
        <v>50</v>
      </c>
      <c r="S417" t="str">
        <f>IF(Table1[[#This Row],[Days on Market]] &lt; 30,"Fast",IF(Table1[[#This Row],[Days on Market]]&lt;= 90,"Average", "Slow"))</f>
        <v>Slow</v>
      </c>
      <c r="T417" t="str">
        <f>IF(Table1[[#This Row],[Price2]]&lt;500000,"Affordable",IF(Table1[[#This Row],[Price2]]&lt;1000000,"Mid range","Luxury"))</f>
        <v>Affordable</v>
      </c>
    </row>
    <row r="418" spans="1:20" x14ac:dyDescent="0.35">
      <c r="A418" s="3">
        <v>316268</v>
      </c>
      <c r="B418" s="2" t="s">
        <v>34</v>
      </c>
      <c r="C418">
        <v>37047</v>
      </c>
      <c r="D418" s="2" t="s">
        <v>29</v>
      </c>
      <c r="E418">
        <v>1</v>
      </c>
      <c r="F418">
        <v>2</v>
      </c>
      <c r="G418" s="4">
        <f>VALUE(SUBSTITUTE(SUBSTITUTE(Table1[[#This Row],[Price]],"$",""),",",""))</f>
        <v>316268</v>
      </c>
      <c r="H418" s="1">
        <f>Table1[[#This Row],[Price2]]/Table1[[#This Row],[Area]]</f>
        <v>97.976456009913264</v>
      </c>
      <c r="I418">
        <v>3228</v>
      </c>
      <c r="J418">
        <v>1987</v>
      </c>
      <c r="K418">
        <v>4</v>
      </c>
      <c r="L418" t="s">
        <v>19</v>
      </c>
      <c r="M418" t="s">
        <v>2413</v>
      </c>
      <c r="N418" s="2" t="s">
        <v>3035</v>
      </c>
      <c r="O418" t="s">
        <v>3036</v>
      </c>
      <c r="P418" t="s">
        <v>21</v>
      </c>
      <c r="Q418">
        <v>97.976456009913264</v>
      </c>
      <c r="R418">
        <f ca="1">YEAR(TODAY())-Table1[[#This Row],[Year Built]]</f>
        <v>39</v>
      </c>
      <c r="S418" t="str">
        <f>IF(Table1[[#This Row],[Days on Market]] &lt; 30,"Fast",IF(Table1[[#This Row],[Days on Market]]&lt;= 90,"Average", "Slow"))</f>
        <v>Fast</v>
      </c>
      <c r="T418" t="str">
        <f>IF(Table1[[#This Row],[Price2]]&lt;500000,"Affordable",IF(Table1[[#This Row],[Price2]]&lt;1000000,"Mid range","Luxury"))</f>
        <v>Affordable</v>
      </c>
    </row>
    <row r="419" spans="1:20" x14ac:dyDescent="0.35">
      <c r="A419" s="3">
        <v>318897</v>
      </c>
      <c r="B419" s="2" t="s">
        <v>22</v>
      </c>
      <c r="C419">
        <v>20887</v>
      </c>
      <c r="D419" s="2" t="s">
        <v>23</v>
      </c>
      <c r="E419">
        <v>2</v>
      </c>
      <c r="F419">
        <v>2</v>
      </c>
      <c r="G419" s="4">
        <f>VALUE(SUBSTITUTE(SUBSTITUTE(Table1[[#This Row],[Price]],"$",""),",",""))</f>
        <v>318897</v>
      </c>
      <c r="H419" s="1">
        <f>Table1[[#This Row],[Price2]]/Table1[[#This Row],[Area]]</f>
        <v>106.47646076794658</v>
      </c>
      <c r="I419">
        <v>2995</v>
      </c>
      <c r="J419">
        <v>2008</v>
      </c>
      <c r="K419">
        <v>102</v>
      </c>
      <c r="L419" t="s">
        <v>19</v>
      </c>
      <c r="M419" t="s">
        <v>1005</v>
      </c>
      <c r="N419" s="2" t="s">
        <v>3031</v>
      </c>
      <c r="O419" t="s">
        <v>3032</v>
      </c>
      <c r="P419" t="s">
        <v>16</v>
      </c>
      <c r="Q419">
        <v>106.47646076794658</v>
      </c>
      <c r="R419">
        <f ca="1">YEAR(TODAY())-Table1[[#This Row],[Year Built]]</f>
        <v>18</v>
      </c>
      <c r="S419" t="str">
        <f>IF(Table1[[#This Row],[Days on Market]] &lt; 30,"Fast",IF(Table1[[#This Row],[Days on Market]]&lt;= 90,"Average", "Slow"))</f>
        <v>Slow</v>
      </c>
      <c r="T419" t="str">
        <f>IF(Table1[[#This Row],[Price2]]&lt;500000,"Affordable",IF(Table1[[#This Row],[Price2]]&lt;1000000,"Mid range","Luxury"))</f>
        <v>Affordable</v>
      </c>
    </row>
    <row r="420" spans="1:20" x14ac:dyDescent="0.35">
      <c r="A420" s="3">
        <v>319210</v>
      </c>
      <c r="B420" s="2" t="s">
        <v>12</v>
      </c>
      <c r="C420">
        <v>10015</v>
      </c>
      <c r="D420" s="2" t="s">
        <v>29</v>
      </c>
      <c r="E420">
        <v>4</v>
      </c>
      <c r="F420">
        <v>3</v>
      </c>
      <c r="G420" s="4">
        <f>VALUE(SUBSTITUTE(SUBSTITUTE(Table1[[#This Row],[Price]],"$",""),",",""))</f>
        <v>319210</v>
      </c>
      <c r="H420" s="1">
        <f>Table1[[#This Row],[Price2]]/Table1[[#This Row],[Area]]</f>
        <v>486.60060975609758</v>
      </c>
      <c r="I420">
        <v>656</v>
      </c>
      <c r="J420">
        <v>1993</v>
      </c>
      <c r="K420">
        <v>86</v>
      </c>
      <c r="L420" t="s">
        <v>30</v>
      </c>
      <c r="M420" t="s">
        <v>2478</v>
      </c>
      <c r="N420" s="2" t="s">
        <v>3027</v>
      </c>
      <c r="O420" t="s">
        <v>3028</v>
      </c>
      <c r="P420" t="s">
        <v>16</v>
      </c>
      <c r="Q420">
        <v>486.60060975609758</v>
      </c>
      <c r="R420">
        <f ca="1">YEAR(TODAY())-Table1[[#This Row],[Year Built]]</f>
        <v>33</v>
      </c>
      <c r="S420" t="str">
        <f>IF(Table1[[#This Row],[Days on Market]] &lt; 30,"Fast",IF(Table1[[#This Row],[Days on Market]]&lt;= 90,"Average", "Slow"))</f>
        <v>Average</v>
      </c>
      <c r="T420" t="str">
        <f>IF(Table1[[#This Row],[Price2]]&lt;500000,"Affordable",IF(Table1[[#This Row],[Price2]]&lt;1000000,"Mid range","Luxury"))</f>
        <v>Affordable</v>
      </c>
    </row>
    <row r="421" spans="1:20" x14ac:dyDescent="0.35">
      <c r="A421" s="3">
        <v>319961</v>
      </c>
      <c r="B421" s="2" t="s">
        <v>22</v>
      </c>
      <c r="C421">
        <v>67883</v>
      </c>
      <c r="D421" s="2" t="s">
        <v>23</v>
      </c>
      <c r="E421">
        <v>2</v>
      </c>
      <c r="F421">
        <v>3</v>
      </c>
      <c r="G421" s="4">
        <f>VALUE(SUBSTITUTE(SUBSTITUTE(Table1[[#This Row],[Price]],"$",""),",",""))</f>
        <v>319961</v>
      </c>
      <c r="H421" s="1">
        <f>Table1[[#This Row],[Price2]]/Table1[[#This Row],[Area]]</f>
        <v>357.89821029082776</v>
      </c>
      <c r="I421">
        <v>894</v>
      </c>
      <c r="J421">
        <v>1968</v>
      </c>
      <c r="K421">
        <v>11</v>
      </c>
      <c r="L421" t="s">
        <v>19</v>
      </c>
      <c r="M421" t="s">
        <v>521</v>
      </c>
      <c r="N421" s="2" t="s">
        <v>3033</v>
      </c>
      <c r="O421" t="s">
        <v>3034</v>
      </c>
      <c r="P421" t="s">
        <v>21</v>
      </c>
      <c r="Q421">
        <v>357.89821029082776</v>
      </c>
      <c r="R421">
        <f ca="1">YEAR(TODAY())-Table1[[#This Row],[Year Built]]</f>
        <v>58</v>
      </c>
      <c r="S421" t="str">
        <f>IF(Table1[[#This Row],[Days on Market]] &lt; 30,"Fast",IF(Table1[[#This Row],[Days on Market]]&lt;= 90,"Average", "Slow"))</f>
        <v>Fast</v>
      </c>
      <c r="T421" t="str">
        <f>IF(Table1[[#This Row],[Price2]]&lt;500000,"Affordable",IF(Table1[[#This Row],[Price2]]&lt;1000000,"Mid range","Luxury"))</f>
        <v>Affordable</v>
      </c>
    </row>
    <row r="422" spans="1:20" x14ac:dyDescent="0.35">
      <c r="A422" s="3">
        <v>320312</v>
      </c>
      <c r="B422" s="2" t="s">
        <v>22</v>
      </c>
      <c r="C422">
        <v>49761</v>
      </c>
      <c r="D422" s="2" t="s">
        <v>35</v>
      </c>
      <c r="E422">
        <v>4</v>
      </c>
      <c r="F422">
        <v>1</v>
      </c>
      <c r="G422" s="4">
        <f>VALUE(SUBSTITUTE(SUBSTITUTE(Table1[[#This Row],[Price]],"$",""),",",""))</f>
        <v>320312</v>
      </c>
      <c r="H422" s="1">
        <f>Table1[[#This Row],[Price2]]/Table1[[#This Row],[Area]]</f>
        <v>84.403689064558634</v>
      </c>
      <c r="I422">
        <v>3795</v>
      </c>
      <c r="J422">
        <v>1984</v>
      </c>
      <c r="K422">
        <v>106</v>
      </c>
      <c r="L422" t="s">
        <v>30</v>
      </c>
      <c r="M422" t="s">
        <v>1030</v>
      </c>
      <c r="N422" s="2" t="s">
        <v>3027</v>
      </c>
      <c r="O422" t="s">
        <v>3028</v>
      </c>
      <c r="P422" t="s">
        <v>26</v>
      </c>
      <c r="Q422">
        <v>84.403689064558634</v>
      </c>
      <c r="R422">
        <f ca="1">YEAR(TODAY())-Table1[[#This Row],[Year Built]]</f>
        <v>42</v>
      </c>
      <c r="S422" t="str">
        <f>IF(Table1[[#This Row],[Days on Market]] &lt; 30,"Fast",IF(Table1[[#This Row],[Days on Market]]&lt;= 90,"Average", "Slow"))</f>
        <v>Slow</v>
      </c>
      <c r="T422" t="str">
        <f>IF(Table1[[#This Row],[Price2]]&lt;500000,"Affordable",IF(Table1[[#This Row],[Price2]]&lt;1000000,"Mid range","Luxury"))</f>
        <v>Affordable</v>
      </c>
    </row>
    <row r="423" spans="1:20" x14ac:dyDescent="0.35">
      <c r="A423" s="3">
        <v>320388</v>
      </c>
      <c r="B423" s="2" t="s">
        <v>22</v>
      </c>
      <c r="C423">
        <v>51883</v>
      </c>
      <c r="D423" s="2" t="s">
        <v>29</v>
      </c>
      <c r="E423">
        <v>1</v>
      </c>
      <c r="F423">
        <v>3</v>
      </c>
      <c r="G423" s="4">
        <f>VALUE(SUBSTITUTE(SUBSTITUTE(Table1[[#This Row],[Price]],"$",""),",",""))</f>
        <v>320388</v>
      </c>
      <c r="H423" s="1">
        <f>Table1[[#This Row],[Price2]]/Table1[[#This Row],[Area]]</f>
        <v>213.30758988015978</v>
      </c>
      <c r="I423">
        <v>1502</v>
      </c>
      <c r="J423">
        <v>1963</v>
      </c>
      <c r="K423">
        <v>63</v>
      </c>
      <c r="L423" t="s">
        <v>52</v>
      </c>
      <c r="M423" t="s">
        <v>1111</v>
      </c>
      <c r="N423" s="2" t="s">
        <v>3033</v>
      </c>
      <c r="O423" t="s">
        <v>3034</v>
      </c>
      <c r="P423" t="s">
        <v>21</v>
      </c>
      <c r="Q423">
        <v>213.30758988015978</v>
      </c>
      <c r="R423">
        <f ca="1">YEAR(TODAY())-Table1[[#This Row],[Year Built]]</f>
        <v>63</v>
      </c>
      <c r="S423" t="str">
        <f>IF(Table1[[#This Row],[Days on Market]] &lt; 30,"Fast",IF(Table1[[#This Row],[Days on Market]]&lt;= 90,"Average", "Slow"))</f>
        <v>Average</v>
      </c>
      <c r="T423" t="str">
        <f>IF(Table1[[#This Row],[Price2]]&lt;500000,"Affordable",IF(Table1[[#This Row],[Price2]]&lt;1000000,"Mid range","Luxury"))</f>
        <v>Affordable</v>
      </c>
    </row>
    <row r="424" spans="1:20" x14ac:dyDescent="0.35">
      <c r="A424" s="3">
        <v>320520</v>
      </c>
      <c r="B424" s="2" t="s">
        <v>12</v>
      </c>
      <c r="C424">
        <v>40066</v>
      </c>
      <c r="D424" s="2" t="s">
        <v>23</v>
      </c>
      <c r="E424">
        <v>3</v>
      </c>
      <c r="F424">
        <v>2</v>
      </c>
      <c r="G424" s="4">
        <f>VALUE(SUBSTITUTE(SUBSTITUTE(Table1[[#This Row],[Price]],"$",""),",",""))</f>
        <v>320520</v>
      </c>
      <c r="H424" s="1">
        <f>Table1[[#This Row],[Price2]]/Table1[[#This Row],[Area]]</f>
        <v>97.422492401215806</v>
      </c>
      <c r="I424">
        <v>3290</v>
      </c>
      <c r="J424">
        <v>2007</v>
      </c>
      <c r="K424">
        <v>81</v>
      </c>
      <c r="L424" t="s">
        <v>30</v>
      </c>
      <c r="M424" t="s">
        <v>520</v>
      </c>
      <c r="N424" s="2" t="s">
        <v>3027</v>
      </c>
      <c r="O424" t="s">
        <v>3028</v>
      </c>
      <c r="P424" t="s">
        <v>26</v>
      </c>
      <c r="Q424">
        <v>97.422492401215806</v>
      </c>
      <c r="R424">
        <f ca="1">YEAR(TODAY())-Table1[[#This Row],[Year Built]]</f>
        <v>19</v>
      </c>
      <c r="S424" t="str">
        <f>IF(Table1[[#This Row],[Days on Market]] &lt; 30,"Fast",IF(Table1[[#This Row],[Days on Market]]&lt;= 90,"Average", "Slow"))</f>
        <v>Average</v>
      </c>
      <c r="T424" t="str">
        <f>IF(Table1[[#This Row],[Price2]]&lt;500000,"Affordable",IF(Table1[[#This Row],[Price2]]&lt;1000000,"Mid range","Luxury"))</f>
        <v>Affordable</v>
      </c>
    </row>
    <row r="425" spans="1:20" x14ac:dyDescent="0.35">
      <c r="A425" s="3">
        <v>321307</v>
      </c>
      <c r="B425" s="2" t="s">
        <v>17</v>
      </c>
      <c r="C425">
        <v>88151</v>
      </c>
      <c r="D425" s="2" t="s">
        <v>18</v>
      </c>
      <c r="E425">
        <v>4</v>
      </c>
      <c r="F425">
        <v>2</v>
      </c>
      <c r="G425" s="4">
        <f>VALUE(SUBSTITUTE(SUBSTITUTE(Table1[[#This Row],[Price]],"$",""),",",""))</f>
        <v>321307</v>
      </c>
      <c r="H425" s="1">
        <f>Table1[[#This Row],[Price2]]/Table1[[#This Row],[Area]]</f>
        <v>467.01598837209303</v>
      </c>
      <c r="I425">
        <v>688</v>
      </c>
      <c r="J425">
        <v>2018</v>
      </c>
      <c r="K425">
        <v>48</v>
      </c>
      <c r="L425" t="s">
        <v>30</v>
      </c>
      <c r="M425" t="s">
        <v>782</v>
      </c>
      <c r="N425" s="2" t="s">
        <v>3035</v>
      </c>
      <c r="O425" t="s">
        <v>3036</v>
      </c>
      <c r="P425" t="s">
        <v>16</v>
      </c>
      <c r="Q425">
        <v>467.01598837209303</v>
      </c>
      <c r="R425">
        <f ca="1">YEAR(TODAY())-Table1[[#This Row],[Year Built]]</f>
        <v>8</v>
      </c>
      <c r="S425" t="str">
        <f>IF(Table1[[#This Row],[Days on Market]] &lt; 30,"Fast",IF(Table1[[#This Row],[Days on Market]]&lt;= 90,"Average", "Slow"))</f>
        <v>Average</v>
      </c>
      <c r="T425" t="str">
        <f>IF(Table1[[#This Row],[Price2]]&lt;500000,"Affordable",IF(Table1[[#This Row],[Price2]]&lt;1000000,"Mid range","Luxury"))</f>
        <v>Affordable</v>
      </c>
    </row>
    <row r="426" spans="1:20" x14ac:dyDescent="0.35">
      <c r="A426" s="3">
        <v>321323</v>
      </c>
      <c r="B426" s="2" t="s">
        <v>34</v>
      </c>
      <c r="C426">
        <v>15409</v>
      </c>
      <c r="D426" s="2" t="s">
        <v>18</v>
      </c>
      <c r="E426">
        <v>6</v>
      </c>
      <c r="F426">
        <v>1</v>
      </c>
      <c r="G426" s="4">
        <f>VALUE(SUBSTITUTE(SUBSTITUTE(Table1[[#This Row],[Price]],"$",""),",",""))</f>
        <v>321323</v>
      </c>
      <c r="H426" s="1">
        <f>Table1[[#This Row],[Price2]]/Table1[[#This Row],[Area]]</f>
        <v>305.15004748338083</v>
      </c>
      <c r="I426">
        <v>1053</v>
      </c>
      <c r="J426">
        <v>2012</v>
      </c>
      <c r="K426">
        <v>30</v>
      </c>
      <c r="L426" t="s">
        <v>40</v>
      </c>
      <c r="M426" t="s">
        <v>198</v>
      </c>
      <c r="N426" s="2" t="s">
        <v>3031</v>
      </c>
      <c r="O426" t="s">
        <v>3032</v>
      </c>
      <c r="P426" t="s">
        <v>21</v>
      </c>
      <c r="Q426">
        <v>305.15004748338083</v>
      </c>
      <c r="R426">
        <f ca="1">YEAR(TODAY())-Table1[[#This Row],[Year Built]]</f>
        <v>14</v>
      </c>
      <c r="S426" t="str">
        <f>IF(Table1[[#This Row],[Days on Market]] &lt; 30,"Fast",IF(Table1[[#This Row],[Days on Market]]&lt;= 90,"Average", "Slow"))</f>
        <v>Average</v>
      </c>
      <c r="T426" t="str">
        <f>IF(Table1[[#This Row],[Price2]]&lt;500000,"Affordable",IF(Table1[[#This Row],[Price2]]&lt;1000000,"Mid range","Luxury"))</f>
        <v>Affordable</v>
      </c>
    </row>
    <row r="427" spans="1:20" x14ac:dyDescent="0.35">
      <c r="A427" s="3">
        <v>321378</v>
      </c>
      <c r="B427" s="2" t="s">
        <v>17</v>
      </c>
      <c r="C427">
        <v>42332</v>
      </c>
      <c r="D427" s="2" t="s">
        <v>13</v>
      </c>
      <c r="E427">
        <v>4</v>
      </c>
      <c r="F427">
        <v>1</v>
      </c>
      <c r="G427" s="4">
        <f>VALUE(SUBSTITUTE(SUBSTITUTE(Table1[[#This Row],[Price]],"$",""),",",""))</f>
        <v>321378</v>
      </c>
      <c r="H427" s="1">
        <f>Table1[[#This Row],[Price2]]/Table1[[#This Row],[Area]]</f>
        <v>219.82079343365254</v>
      </c>
      <c r="I427">
        <v>1462</v>
      </c>
      <c r="J427">
        <v>1951</v>
      </c>
      <c r="K427">
        <v>78</v>
      </c>
      <c r="L427" t="s">
        <v>40</v>
      </c>
      <c r="M427" t="s">
        <v>2367</v>
      </c>
      <c r="N427" s="2" t="s">
        <v>3027</v>
      </c>
      <c r="O427" t="s">
        <v>3028</v>
      </c>
      <c r="P427" t="s">
        <v>21</v>
      </c>
      <c r="Q427">
        <v>219.82079343365254</v>
      </c>
      <c r="R427">
        <f ca="1">YEAR(TODAY())-Table1[[#This Row],[Year Built]]</f>
        <v>75</v>
      </c>
      <c r="S427" t="str">
        <f>IF(Table1[[#This Row],[Days on Market]] &lt; 30,"Fast",IF(Table1[[#This Row],[Days on Market]]&lt;= 90,"Average", "Slow"))</f>
        <v>Average</v>
      </c>
      <c r="T427" t="str">
        <f>IF(Table1[[#This Row],[Price2]]&lt;500000,"Affordable",IF(Table1[[#This Row],[Price2]]&lt;1000000,"Mid range","Luxury"))</f>
        <v>Affordable</v>
      </c>
    </row>
    <row r="428" spans="1:20" x14ac:dyDescent="0.35">
      <c r="A428" s="3">
        <v>321468</v>
      </c>
      <c r="B428" s="2" t="s">
        <v>12</v>
      </c>
      <c r="C428">
        <v>70204</v>
      </c>
      <c r="D428" s="2" t="s">
        <v>18</v>
      </c>
      <c r="E428">
        <v>5</v>
      </c>
      <c r="F428">
        <v>3</v>
      </c>
      <c r="G428" s="4">
        <f>VALUE(SUBSTITUTE(SUBSTITUTE(Table1[[#This Row],[Price]],"$",""),",",""))</f>
        <v>321468</v>
      </c>
      <c r="H428" s="1">
        <f>Table1[[#This Row],[Price2]]/Table1[[#This Row],[Area]]</f>
        <v>185.71230502599653</v>
      </c>
      <c r="I428">
        <v>1731</v>
      </c>
      <c r="J428">
        <v>1996</v>
      </c>
      <c r="K428">
        <v>24</v>
      </c>
      <c r="L428" t="s">
        <v>52</v>
      </c>
      <c r="M428" t="s">
        <v>2898</v>
      </c>
      <c r="N428" s="2" t="s">
        <v>3027</v>
      </c>
      <c r="O428" t="s">
        <v>3028</v>
      </c>
      <c r="P428" t="s">
        <v>26</v>
      </c>
      <c r="Q428">
        <v>185.71230502599653</v>
      </c>
      <c r="R428">
        <f ca="1">YEAR(TODAY())-Table1[[#This Row],[Year Built]]</f>
        <v>30</v>
      </c>
      <c r="S428" t="str">
        <f>IF(Table1[[#This Row],[Days on Market]] &lt; 30,"Fast",IF(Table1[[#This Row],[Days on Market]]&lt;= 90,"Average", "Slow"))</f>
        <v>Fast</v>
      </c>
      <c r="T428" t="str">
        <f>IF(Table1[[#This Row],[Price2]]&lt;500000,"Affordable",IF(Table1[[#This Row],[Price2]]&lt;1000000,"Mid range","Luxury"))</f>
        <v>Affordable</v>
      </c>
    </row>
    <row r="429" spans="1:20" x14ac:dyDescent="0.35">
      <c r="A429" s="3">
        <v>322412</v>
      </c>
      <c r="B429" s="2" t="s">
        <v>22</v>
      </c>
      <c r="C429">
        <v>17843</v>
      </c>
      <c r="D429" s="2" t="s">
        <v>18</v>
      </c>
      <c r="E429">
        <v>5</v>
      </c>
      <c r="F429">
        <v>4</v>
      </c>
      <c r="G429" s="4">
        <f>VALUE(SUBSTITUTE(SUBSTITUTE(Table1[[#This Row],[Price]],"$",""),",",""))</f>
        <v>322412</v>
      </c>
      <c r="H429" s="1">
        <f>Table1[[#This Row],[Price2]]/Table1[[#This Row],[Area]]</f>
        <v>85.907807087663201</v>
      </c>
      <c r="I429">
        <v>3753</v>
      </c>
      <c r="J429">
        <v>2004</v>
      </c>
      <c r="K429">
        <v>3</v>
      </c>
      <c r="L429" t="s">
        <v>14</v>
      </c>
      <c r="M429" t="s">
        <v>2440</v>
      </c>
      <c r="N429" s="2" t="s">
        <v>3027</v>
      </c>
      <c r="O429" t="s">
        <v>3028</v>
      </c>
      <c r="P429" t="s">
        <v>26</v>
      </c>
      <c r="Q429">
        <v>85.907807087663201</v>
      </c>
      <c r="R429">
        <f ca="1">YEAR(TODAY())-Table1[[#This Row],[Year Built]]</f>
        <v>22</v>
      </c>
      <c r="S429" t="str">
        <f>IF(Table1[[#This Row],[Days on Market]] &lt; 30,"Fast",IF(Table1[[#This Row],[Days on Market]]&lt;= 90,"Average", "Slow"))</f>
        <v>Fast</v>
      </c>
      <c r="T429" t="str">
        <f>IF(Table1[[#This Row],[Price2]]&lt;500000,"Affordable",IF(Table1[[#This Row],[Price2]]&lt;1000000,"Mid range","Luxury"))</f>
        <v>Affordable</v>
      </c>
    </row>
    <row r="430" spans="1:20" x14ac:dyDescent="0.35">
      <c r="A430" s="3">
        <v>322944</v>
      </c>
      <c r="B430" s="2" t="s">
        <v>17</v>
      </c>
      <c r="C430">
        <v>63709</v>
      </c>
      <c r="D430" s="2" t="s">
        <v>23</v>
      </c>
      <c r="E430">
        <v>3</v>
      </c>
      <c r="F430">
        <v>3</v>
      </c>
      <c r="G430" s="4">
        <f>VALUE(SUBSTITUTE(SUBSTITUTE(Table1[[#This Row],[Price]],"$",""),",",""))</f>
        <v>322944</v>
      </c>
      <c r="H430" s="1">
        <f>Table1[[#This Row],[Price2]]/Table1[[#This Row],[Area]]</f>
        <v>111.47531929582327</v>
      </c>
      <c r="I430">
        <v>2897</v>
      </c>
      <c r="J430">
        <v>1953</v>
      </c>
      <c r="K430">
        <v>7</v>
      </c>
      <c r="L430" t="s">
        <v>30</v>
      </c>
      <c r="M430" t="s">
        <v>2895</v>
      </c>
      <c r="N430" s="2" t="s">
        <v>3031</v>
      </c>
      <c r="O430" t="s">
        <v>3032</v>
      </c>
      <c r="P430" t="s">
        <v>26</v>
      </c>
      <c r="Q430">
        <v>111.47531929582327</v>
      </c>
      <c r="R430">
        <f ca="1">YEAR(TODAY())-Table1[[#This Row],[Year Built]]</f>
        <v>73</v>
      </c>
      <c r="S430" t="str">
        <f>IF(Table1[[#This Row],[Days on Market]] &lt; 30,"Fast",IF(Table1[[#This Row],[Days on Market]]&lt;= 90,"Average", "Slow"))</f>
        <v>Fast</v>
      </c>
      <c r="T430" t="str">
        <f>IF(Table1[[#This Row],[Price2]]&lt;500000,"Affordable",IF(Table1[[#This Row],[Price2]]&lt;1000000,"Mid range","Luxury"))</f>
        <v>Affordable</v>
      </c>
    </row>
    <row r="431" spans="1:20" x14ac:dyDescent="0.35">
      <c r="A431" s="3">
        <v>323148</v>
      </c>
      <c r="B431" s="2" t="s">
        <v>12</v>
      </c>
      <c r="C431">
        <v>11161</v>
      </c>
      <c r="D431" s="2" t="s">
        <v>23</v>
      </c>
      <c r="E431">
        <v>4</v>
      </c>
      <c r="F431">
        <v>4</v>
      </c>
      <c r="G431" s="4">
        <f>VALUE(SUBSTITUTE(SUBSTITUTE(Table1[[#This Row],[Price]],"$",""),",",""))</f>
        <v>323148</v>
      </c>
      <c r="H431" s="1">
        <f>Table1[[#This Row],[Price2]]/Table1[[#This Row],[Area]]</f>
        <v>146.4859474161378</v>
      </c>
      <c r="I431">
        <v>2206</v>
      </c>
      <c r="J431">
        <v>1981</v>
      </c>
      <c r="K431">
        <v>46</v>
      </c>
      <c r="L431" t="s">
        <v>30</v>
      </c>
      <c r="M431" t="s">
        <v>1801</v>
      </c>
      <c r="N431" s="2" t="s">
        <v>3029</v>
      </c>
      <c r="O431" t="s">
        <v>3030</v>
      </c>
      <c r="P431" t="s">
        <v>21</v>
      </c>
      <c r="Q431">
        <v>146.4859474161378</v>
      </c>
      <c r="R431">
        <f ca="1">YEAR(TODAY())-Table1[[#This Row],[Year Built]]</f>
        <v>45</v>
      </c>
      <c r="S431" t="str">
        <f>IF(Table1[[#This Row],[Days on Market]] &lt; 30,"Fast",IF(Table1[[#This Row],[Days on Market]]&lt;= 90,"Average", "Slow"))</f>
        <v>Average</v>
      </c>
      <c r="T431" t="str">
        <f>IF(Table1[[#This Row],[Price2]]&lt;500000,"Affordable",IF(Table1[[#This Row],[Price2]]&lt;1000000,"Mid range","Luxury"))</f>
        <v>Affordable</v>
      </c>
    </row>
    <row r="432" spans="1:20" x14ac:dyDescent="0.35">
      <c r="A432" s="3">
        <v>323309</v>
      </c>
      <c r="B432" s="2" t="s">
        <v>22</v>
      </c>
      <c r="C432">
        <v>77872</v>
      </c>
      <c r="D432" s="2" t="s">
        <v>13</v>
      </c>
      <c r="E432">
        <v>1</v>
      </c>
      <c r="F432">
        <v>1</v>
      </c>
      <c r="G432" s="4">
        <f>VALUE(SUBSTITUTE(SUBSTITUTE(Table1[[#This Row],[Price]],"$",""),",",""))</f>
        <v>323309</v>
      </c>
      <c r="H432" s="1">
        <f>Table1[[#This Row],[Price2]]/Table1[[#This Row],[Area]]</f>
        <v>90.083310114237946</v>
      </c>
      <c r="I432">
        <v>3589</v>
      </c>
      <c r="J432">
        <v>1968</v>
      </c>
      <c r="K432">
        <v>120</v>
      </c>
      <c r="L432" t="s">
        <v>19</v>
      </c>
      <c r="M432" t="s">
        <v>1258</v>
      </c>
      <c r="N432" s="2" t="s">
        <v>3031</v>
      </c>
      <c r="O432" t="s">
        <v>3032</v>
      </c>
      <c r="P432" t="s">
        <v>21</v>
      </c>
      <c r="Q432">
        <v>90.083310114237946</v>
      </c>
      <c r="R432">
        <f ca="1">YEAR(TODAY())-Table1[[#This Row],[Year Built]]</f>
        <v>58</v>
      </c>
      <c r="S432" t="str">
        <f>IF(Table1[[#This Row],[Days on Market]] &lt; 30,"Fast",IF(Table1[[#This Row],[Days on Market]]&lt;= 90,"Average", "Slow"))</f>
        <v>Slow</v>
      </c>
      <c r="T432" t="str">
        <f>IF(Table1[[#This Row],[Price2]]&lt;500000,"Affordable",IF(Table1[[#This Row],[Price2]]&lt;1000000,"Mid range","Luxury"))</f>
        <v>Affordable</v>
      </c>
    </row>
    <row r="433" spans="1:20" x14ac:dyDescent="0.35">
      <c r="A433" s="3">
        <v>323406</v>
      </c>
      <c r="B433" s="2" t="s">
        <v>27</v>
      </c>
      <c r="C433">
        <v>61427</v>
      </c>
      <c r="D433" s="2" t="s">
        <v>13</v>
      </c>
      <c r="E433">
        <v>6</v>
      </c>
      <c r="F433">
        <v>3</v>
      </c>
      <c r="G433" s="4">
        <f>VALUE(SUBSTITUTE(SUBSTITUTE(Table1[[#This Row],[Price]],"$",""),",",""))</f>
        <v>323406</v>
      </c>
      <c r="H433" s="1">
        <f>Table1[[#This Row],[Price2]]/Table1[[#This Row],[Area]]</f>
        <v>503.74766355140184</v>
      </c>
      <c r="I433">
        <v>642</v>
      </c>
      <c r="J433">
        <v>1974</v>
      </c>
      <c r="K433">
        <v>109</v>
      </c>
      <c r="L433" t="s">
        <v>52</v>
      </c>
      <c r="M433" t="s">
        <v>2219</v>
      </c>
      <c r="N433" s="2" t="s">
        <v>3029</v>
      </c>
      <c r="O433" t="s">
        <v>3030</v>
      </c>
      <c r="P433" t="s">
        <v>21</v>
      </c>
      <c r="Q433">
        <v>503.74766355140184</v>
      </c>
      <c r="R433">
        <f ca="1">YEAR(TODAY())-Table1[[#This Row],[Year Built]]</f>
        <v>52</v>
      </c>
      <c r="S433" t="str">
        <f>IF(Table1[[#This Row],[Days on Market]] &lt; 30,"Fast",IF(Table1[[#This Row],[Days on Market]]&lt;= 90,"Average", "Slow"))</f>
        <v>Slow</v>
      </c>
      <c r="T433" t="str">
        <f>IF(Table1[[#This Row],[Price2]]&lt;500000,"Affordable",IF(Table1[[#This Row],[Price2]]&lt;1000000,"Mid range","Luxury"))</f>
        <v>Affordable</v>
      </c>
    </row>
    <row r="434" spans="1:20" x14ac:dyDescent="0.35">
      <c r="A434" s="3">
        <v>323674</v>
      </c>
      <c r="B434" s="2" t="s">
        <v>12</v>
      </c>
      <c r="C434">
        <v>97622</v>
      </c>
      <c r="D434" s="2" t="s">
        <v>29</v>
      </c>
      <c r="E434">
        <v>3</v>
      </c>
      <c r="F434">
        <v>3</v>
      </c>
      <c r="G434" s="4">
        <f>VALUE(SUBSTITUTE(SUBSTITUTE(Table1[[#This Row],[Price]],"$",""),",",""))</f>
        <v>323674</v>
      </c>
      <c r="H434" s="1">
        <f>Table1[[#This Row],[Price2]]/Table1[[#This Row],[Area]]</f>
        <v>84.598536330371147</v>
      </c>
      <c r="I434">
        <v>3826</v>
      </c>
      <c r="J434">
        <v>2016</v>
      </c>
      <c r="K434">
        <v>50</v>
      </c>
      <c r="L434" t="s">
        <v>40</v>
      </c>
      <c r="M434" t="s">
        <v>367</v>
      </c>
      <c r="N434" s="2" t="s">
        <v>3029</v>
      </c>
      <c r="O434" t="s">
        <v>3030</v>
      </c>
      <c r="P434" t="s">
        <v>16</v>
      </c>
      <c r="Q434">
        <v>84.598536330371147</v>
      </c>
      <c r="R434">
        <f ca="1">YEAR(TODAY())-Table1[[#This Row],[Year Built]]</f>
        <v>10</v>
      </c>
      <c r="S434" t="str">
        <f>IF(Table1[[#This Row],[Days on Market]] &lt; 30,"Fast",IF(Table1[[#This Row],[Days on Market]]&lt;= 90,"Average", "Slow"))</f>
        <v>Average</v>
      </c>
      <c r="T434" t="str">
        <f>IF(Table1[[#This Row],[Price2]]&lt;500000,"Affordable",IF(Table1[[#This Row],[Price2]]&lt;1000000,"Mid range","Luxury"))</f>
        <v>Affordable</v>
      </c>
    </row>
    <row r="435" spans="1:20" x14ac:dyDescent="0.35">
      <c r="A435" s="3">
        <v>324306</v>
      </c>
      <c r="B435" s="2" t="s">
        <v>22</v>
      </c>
      <c r="C435">
        <v>67024</v>
      </c>
      <c r="D435" s="2" t="s">
        <v>18</v>
      </c>
      <c r="E435">
        <v>2</v>
      </c>
      <c r="F435">
        <v>3</v>
      </c>
      <c r="G435" s="4">
        <f>VALUE(SUBSTITUTE(SUBSTITUTE(Table1[[#This Row],[Price]],"$",""),",",""))</f>
        <v>324306</v>
      </c>
      <c r="H435" s="1">
        <f>Table1[[#This Row],[Price2]]/Table1[[#This Row],[Area]]</f>
        <v>86.89871382636656</v>
      </c>
      <c r="I435">
        <v>3732</v>
      </c>
      <c r="J435">
        <v>1995</v>
      </c>
      <c r="K435">
        <v>50</v>
      </c>
      <c r="L435" t="s">
        <v>40</v>
      </c>
      <c r="M435" t="s">
        <v>2742</v>
      </c>
      <c r="N435" s="2" t="s">
        <v>3031</v>
      </c>
      <c r="O435" t="s">
        <v>3032</v>
      </c>
      <c r="P435" t="s">
        <v>21</v>
      </c>
      <c r="Q435">
        <v>86.89871382636656</v>
      </c>
      <c r="R435">
        <f ca="1">YEAR(TODAY())-Table1[[#This Row],[Year Built]]</f>
        <v>31</v>
      </c>
      <c r="S435" t="str">
        <f>IF(Table1[[#This Row],[Days on Market]] &lt; 30,"Fast",IF(Table1[[#This Row],[Days on Market]]&lt;= 90,"Average", "Slow"))</f>
        <v>Average</v>
      </c>
      <c r="T435" t="str">
        <f>IF(Table1[[#This Row],[Price2]]&lt;500000,"Affordable",IF(Table1[[#This Row],[Price2]]&lt;1000000,"Mid range","Luxury"))</f>
        <v>Affordable</v>
      </c>
    </row>
    <row r="436" spans="1:20" x14ac:dyDescent="0.35">
      <c r="A436" s="3">
        <v>324492</v>
      </c>
      <c r="B436" s="2" t="s">
        <v>17</v>
      </c>
      <c r="C436">
        <v>78532</v>
      </c>
      <c r="D436" s="2" t="s">
        <v>35</v>
      </c>
      <c r="E436">
        <v>2</v>
      </c>
      <c r="F436">
        <v>1</v>
      </c>
      <c r="G436" s="4">
        <f>VALUE(SUBSTITUTE(SUBSTITUTE(Table1[[#This Row],[Price]],"$",""),",",""))</f>
        <v>324492</v>
      </c>
      <c r="H436" s="1">
        <f>Table1[[#This Row],[Price2]]/Table1[[#This Row],[Area]]</f>
        <v>89.688225538971807</v>
      </c>
      <c r="I436">
        <v>3618</v>
      </c>
      <c r="J436">
        <v>1998</v>
      </c>
      <c r="K436">
        <v>116</v>
      </c>
      <c r="L436" t="s">
        <v>19</v>
      </c>
      <c r="M436" t="s">
        <v>101</v>
      </c>
      <c r="N436" s="2" t="s">
        <v>3027</v>
      </c>
      <c r="O436" t="s">
        <v>3028</v>
      </c>
      <c r="P436" t="s">
        <v>21</v>
      </c>
      <c r="Q436">
        <v>89.688225538971807</v>
      </c>
      <c r="R436">
        <f ca="1">YEAR(TODAY())-Table1[[#This Row],[Year Built]]</f>
        <v>28</v>
      </c>
      <c r="S436" t="str">
        <f>IF(Table1[[#This Row],[Days on Market]] &lt; 30,"Fast",IF(Table1[[#This Row],[Days on Market]]&lt;= 90,"Average", "Slow"))</f>
        <v>Slow</v>
      </c>
      <c r="T436" t="str">
        <f>IF(Table1[[#This Row],[Price2]]&lt;500000,"Affordable",IF(Table1[[#This Row],[Price2]]&lt;1000000,"Mid range","Luxury"))</f>
        <v>Affordable</v>
      </c>
    </row>
    <row r="437" spans="1:20" x14ac:dyDescent="0.35">
      <c r="A437" s="3">
        <v>324554</v>
      </c>
      <c r="B437" s="2" t="s">
        <v>27</v>
      </c>
      <c r="C437">
        <v>83930</v>
      </c>
      <c r="D437" s="2" t="s">
        <v>35</v>
      </c>
      <c r="E437">
        <v>2</v>
      </c>
      <c r="F437">
        <v>4</v>
      </c>
      <c r="G437" s="4">
        <f>VALUE(SUBSTITUTE(SUBSTITUTE(Table1[[#This Row],[Price]],"$",""),",",""))</f>
        <v>324554</v>
      </c>
      <c r="H437" s="1">
        <f>Table1[[#This Row],[Price2]]/Table1[[#This Row],[Area]]</f>
        <v>92.412870159453306</v>
      </c>
      <c r="I437">
        <v>3512</v>
      </c>
      <c r="J437">
        <v>1965</v>
      </c>
      <c r="K437">
        <v>92</v>
      </c>
      <c r="L437" t="s">
        <v>40</v>
      </c>
      <c r="M437" t="s">
        <v>2370</v>
      </c>
      <c r="N437" s="2" t="s">
        <v>3027</v>
      </c>
      <c r="O437" t="s">
        <v>3028</v>
      </c>
      <c r="P437" t="s">
        <v>26</v>
      </c>
      <c r="Q437">
        <v>92.412870159453306</v>
      </c>
      <c r="R437">
        <f ca="1">YEAR(TODAY())-Table1[[#This Row],[Year Built]]</f>
        <v>61</v>
      </c>
      <c r="S437" t="str">
        <f>IF(Table1[[#This Row],[Days on Market]] &lt; 30,"Fast",IF(Table1[[#This Row],[Days on Market]]&lt;= 90,"Average", "Slow"))</f>
        <v>Slow</v>
      </c>
      <c r="T437" t="str">
        <f>IF(Table1[[#This Row],[Price2]]&lt;500000,"Affordable",IF(Table1[[#This Row],[Price2]]&lt;1000000,"Mid range","Luxury"))</f>
        <v>Affordable</v>
      </c>
    </row>
    <row r="438" spans="1:20" x14ac:dyDescent="0.35">
      <c r="A438" s="3">
        <v>324975</v>
      </c>
      <c r="B438" s="2" t="s">
        <v>22</v>
      </c>
      <c r="C438">
        <v>91219</v>
      </c>
      <c r="D438" s="2" t="s">
        <v>29</v>
      </c>
      <c r="E438">
        <v>5</v>
      </c>
      <c r="F438">
        <v>3</v>
      </c>
      <c r="G438" s="4">
        <f>VALUE(SUBSTITUTE(SUBSTITUTE(Table1[[#This Row],[Price]],"$",""),",",""))</f>
        <v>324975</v>
      </c>
      <c r="H438" s="1">
        <f>Table1[[#This Row],[Price2]]/Table1[[#This Row],[Area]]</f>
        <v>121.39521852820322</v>
      </c>
      <c r="I438">
        <v>2677</v>
      </c>
      <c r="J438">
        <v>1964</v>
      </c>
      <c r="K438">
        <v>19</v>
      </c>
      <c r="L438" t="s">
        <v>52</v>
      </c>
      <c r="M438" t="s">
        <v>2979</v>
      </c>
      <c r="N438" s="2" t="s">
        <v>3031</v>
      </c>
      <c r="O438" t="s">
        <v>3032</v>
      </c>
      <c r="P438" t="s">
        <v>26</v>
      </c>
      <c r="Q438">
        <v>121.39521852820322</v>
      </c>
      <c r="R438">
        <f ca="1">YEAR(TODAY())-Table1[[#This Row],[Year Built]]</f>
        <v>62</v>
      </c>
      <c r="S438" t="str">
        <f>IF(Table1[[#This Row],[Days on Market]] &lt; 30,"Fast",IF(Table1[[#This Row],[Days on Market]]&lt;= 90,"Average", "Slow"))</f>
        <v>Fast</v>
      </c>
      <c r="T438" t="str">
        <f>IF(Table1[[#This Row],[Price2]]&lt;500000,"Affordable",IF(Table1[[#This Row],[Price2]]&lt;1000000,"Mid range","Luxury"))</f>
        <v>Affordable</v>
      </c>
    </row>
    <row r="439" spans="1:20" x14ac:dyDescent="0.35">
      <c r="A439" s="3">
        <v>325009</v>
      </c>
      <c r="B439" s="2" t="s">
        <v>34</v>
      </c>
      <c r="C439">
        <v>94122</v>
      </c>
      <c r="D439" s="2" t="s">
        <v>18</v>
      </c>
      <c r="E439">
        <v>4</v>
      </c>
      <c r="F439">
        <v>4</v>
      </c>
      <c r="G439" s="4">
        <f>VALUE(SUBSTITUTE(SUBSTITUTE(Table1[[#This Row],[Price]],"$",""),",",""))</f>
        <v>325009</v>
      </c>
      <c r="H439" s="1">
        <f>Table1[[#This Row],[Price2]]/Table1[[#This Row],[Area]]</f>
        <v>85.259443861490027</v>
      </c>
      <c r="I439">
        <v>3812</v>
      </c>
      <c r="J439">
        <v>2021</v>
      </c>
      <c r="K439">
        <v>84</v>
      </c>
      <c r="L439" t="s">
        <v>52</v>
      </c>
      <c r="M439" t="s">
        <v>2574</v>
      </c>
      <c r="N439" s="2" t="s">
        <v>3035</v>
      </c>
      <c r="O439" t="s">
        <v>3036</v>
      </c>
      <c r="P439" t="s">
        <v>16</v>
      </c>
      <c r="Q439">
        <v>85.259443861490027</v>
      </c>
      <c r="R439">
        <f ca="1">YEAR(TODAY())-Table1[[#This Row],[Year Built]]</f>
        <v>5</v>
      </c>
      <c r="S439" t="str">
        <f>IF(Table1[[#This Row],[Days on Market]] &lt; 30,"Fast",IF(Table1[[#This Row],[Days on Market]]&lt;= 90,"Average", "Slow"))</f>
        <v>Average</v>
      </c>
      <c r="T439" t="str">
        <f>IF(Table1[[#This Row],[Price2]]&lt;500000,"Affordable",IF(Table1[[#This Row],[Price2]]&lt;1000000,"Mid range","Luxury"))</f>
        <v>Affordable</v>
      </c>
    </row>
    <row r="440" spans="1:20" x14ac:dyDescent="0.35">
      <c r="A440" s="3">
        <v>325165</v>
      </c>
      <c r="B440" s="2" t="s">
        <v>34</v>
      </c>
      <c r="C440">
        <v>74800</v>
      </c>
      <c r="D440" s="2" t="s">
        <v>18</v>
      </c>
      <c r="E440">
        <v>3</v>
      </c>
      <c r="F440">
        <v>3</v>
      </c>
      <c r="G440" s="4">
        <f>VALUE(SUBSTITUTE(SUBSTITUTE(Table1[[#This Row],[Price]],"$",""),",",""))</f>
        <v>325165</v>
      </c>
      <c r="H440" s="1">
        <f>Table1[[#This Row],[Price2]]/Table1[[#This Row],[Area]]</f>
        <v>345.5526036131775</v>
      </c>
      <c r="I440">
        <v>941</v>
      </c>
      <c r="J440">
        <v>1954</v>
      </c>
      <c r="K440">
        <v>120</v>
      </c>
      <c r="L440" t="s">
        <v>40</v>
      </c>
      <c r="M440" t="s">
        <v>1183</v>
      </c>
      <c r="N440" s="2" t="s">
        <v>3027</v>
      </c>
      <c r="O440" t="s">
        <v>3028</v>
      </c>
      <c r="P440" t="s">
        <v>21</v>
      </c>
      <c r="Q440">
        <v>345.5526036131775</v>
      </c>
      <c r="R440">
        <f ca="1">YEAR(TODAY())-Table1[[#This Row],[Year Built]]</f>
        <v>72</v>
      </c>
      <c r="S440" t="str">
        <f>IF(Table1[[#This Row],[Days on Market]] &lt; 30,"Fast",IF(Table1[[#This Row],[Days on Market]]&lt;= 90,"Average", "Slow"))</f>
        <v>Slow</v>
      </c>
      <c r="T440" t="str">
        <f>IF(Table1[[#This Row],[Price2]]&lt;500000,"Affordable",IF(Table1[[#This Row],[Price2]]&lt;1000000,"Mid range","Luxury"))</f>
        <v>Affordable</v>
      </c>
    </row>
    <row r="441" spans="1:20" x14ac:dyDescent="0.35">
      <c r="A441" s="3">
        <v>325763</v>
      </c>
      <c r="B441" s="2" t="s">
        <v>22</v>
      </c>
      <c r="C441">
        <v>52732</v>
      </c>
      <c r="D441" s="2" t="s">
        <v>18</v>
      </c>
      <c r="E441">
        <v>3</v>
      </c>
      <c r="F441">
        <v>4</v>
      </c>
      <c r="G441" s="4">
        <f>VALUE(SUBSTITUTE(SUBSTITUTE(Table1[[#This Row],[Price]],"$",""),",",""))</f>
        <v>325763</v>
      </c>
      <c r="H441" s="1">
        <f>Table1[[#This Row],[Price2]]/Table1[[#This Row],[Area]]</f>
        <v>297.77239488117004</v>
      </c>
      <c r="I441">
        <v>1094</v>
      </c>
      <c r="J441">
        <v>1968</v>
      </c>
      <c r="K441">
        <v>87</v>
      </c>
      <c r="L441" t="s">
        <v>40</v>
      </c>
      <c r="M441" t="s">
        <v>1222</v>
      </c>
      <c r="N441" s="2" t="s">
        <v>3035</v>
      </c>
      <c r="O441" t="s">
        <v>3036</v>
      </c>
      <c r="P441" t="s">
        <v>21</v>
      </c>
      <c r="Q441">
        <v>297.77239488117004</v>
      </c>
      <c r="R441">
        <f ca="1">YEAR(TODAY())-Table1[[#This Row],[Year Built]]</f>
        <v>58</v>
      </c>
      <c r="S441" t="str">
        <f>IF(Table1[[#This Row],[Days on Market]] &lt; 30,"Fast",IF(Table1[[#This Row],[Days on Market]]&lt;= 90,"Average", "Slow"))</f>
        <v>Average</v>
      </c>
      <c r="T441" t="str">
        <f>IF(Table1[[#This Row],[Price2]]&lt;500000,"Affordable",IF(Table1[[#This Row],[Price2]]&lt;1000000,"Mid range","Luxury"))</f>
        <v>Affordable</v>
      </c>
    </row>
    <row r="442" spans="1:20" x14ac:dyDescent="0.35">
      <c r="A442" s="3">
        <v>326070</v>
      </c>
      <c r="B442" s="2" t="s">
        <v>12</v>
      </c>
      <c r="C442">
        <v>69699</v>
      </c>
      <c r="D442" s="2" t="s">
        <v>13</v>
      </c>
      <c r="E442">
        <v>4</v>
      </c>
      <c r="F442">
        <v>1</v>
      </c>
      <c r="G442" s="4">
        <f>VALUE(SUBSTITUTE(SUBSTITUTE(Table1[[#This Row],[Price]],"$",""),",",""))</f>
        <v>326070</v>
      </c>
      <c r="H442" s="1">
        <f>Table1[[#This Row],[Price2]]/Table1[[#This Row],[Area]]</f>
        <v>92.006207674943568</v>
      </c>
      <c r="I442">
        <v>3544</v>
      </c>
      <c r="J442">
        <v>1967</v>
      </c>
      <c r="K442">
        <v>113</v>
      </c>
      <c r="L442" t="s">
        <v>40</v>
      </c>
      <c r="M442" t="s">
        <v>1192</v>
      </c>
      <c r="N442" s="2" t="s">
        <v>3035</v>
      </c>
      <c r="O442" t="s">
        <v>3036</v>
      </c>
      <c r="P442" t="s">
        <v>21</v>
      </c>
      <c r="Q442">
        <v>92.006207674943568</v>
      </c>
      <c r="R442">
        <f ca="1">YEAR(TODAY())-Table1[[#This Row],[Year Built]]</f>
        <v>59</v>
      </c>
      <c r="S442" t="str">
        <f>IF(Table1[[#This Row],[Days on Market]] &lt; 30,"Fast",IF(Table1[[#This Row],[Days on Market]]&lt;= 90,"Average", "Slow"))</f>
        <v>Slow</v>
      </c>
      <c r="T442" t="str">
        <f>IF(Table1[[#This Row],[Price2]]&lt;500000,"Affordable",IF(Table1[[#This Row],[Price2]]&lt;1000000,"Mid range","Luxury"))</f>
        <v>Affordable</v>
      </c>
    </row>
    <row r="443" spans="1:20" x14ac:dyDescent="0.35">
      <c r="A443" s="3">
        <v>326219</v>
      </c>
      <c r="B443" s="2" t="s">
        <v>12</v>
      </c>
      <c r="C443">
        <v>59726</v>
      </c>
      <c r="D443" s="2" t="s">
        <v>29</v>
      </c>
      <c r="E443">
        <v>5</v>
      </c>
      <c r="F443">
        <v>4</v>
      </c>
      <c r="G443" s="4">
        <f>VALUE(SUBSTITUTE(SUBSTITUTE(Table1[[#This Row],[Price]],"$",""),",",""))</f>
        <v>326219</v>
      </c>
      <c r="H443" s="1">
        <f>Table1[[#This Row],[Price2]]/Table1[[#This Row],[Area]]</f>
        <v>131.75242326332796</v>
      </c>
      <c r="I443">
        <v>2476</v>
      </c>
      <c r="J443">
        <v>1975</v>
      </c>
      <c r="K443">
        <v>117</v>
      </c>
      <c r="L443" t="s">
        <v>14</v>
      </c>
      <c r="M443" t="s">
        <v>2785</v>
      </c>
      <c r="N443" s="2" t="s">
        <v>3027</v>
      </c>
      <c r="O443" t="s">
        <v>3028</v>
      </c>
      <c r="P443" t="s">
        <v>26</v>
      </c>
      <c r="Q443">
        <v>131.75242326332796</v>
      </c>
      <c r="R443">
        <f ca="1">YEAR(TODAY())-Table1[[#This Row],[Year Built]]</f>
        <v>51</v>
      </c>
      <c r="S443" t="str">
        <f>IF(Table1[[#This Row],[Days on Market]] &lt; 30,"Fast",IF(Table1[[#This Row],[Days on Market]]&lt;= 90,"Average", "Slow"))</f>
        <v>Slow</v>
      </c>
      <c r="T443" t="str">
        <f>IF(Table1[[#This Row],[Price2]]&lt;500000,"Affordable",IF(Table1[[#This Row],[Price2]]&lt;1000000,"Mid range","Luxury"))</f>
        <v>Affordable</v>
      </c>
    </row>
    <row r="444" spans="1:20" x14ac:dyDescent="0.35">
      <c r="A444" s="3">
        <v>326480</v>
      </c>
      <c r="B444" s="2" t="s">
        <v>17</v>
      </c>
      <c r="C444">
        <v>85872</v>
      </c>
      <c r="D444" s="2" t="s">
        <v>23</v>
      </c>
      <c r="E444">
        <v>1</v>
      </c>
      <c r="F444">
        <v>3</v>
      </c>
      <c r="G444" s="4">
        <f>VALUE(SUBSTITUTE(SUBSTITUTE(Table1[[#This Row],[Price]],"$",""),",",""))</f>
        <v>326480</v>
      </c>
      <c r="H444" s="1">
        <f>Table1[[#This Row],[Price2]]/Table1[[#This Row],[Area]]</f>
        <v>173.19893899204243</v>
      </c>
      <c r="I444">
        <v>1885</v>
      </c>
      <c r="J444">
        <v>2021</v>
      </c>
      <c r="K444">
        <v>19</v>
      </c>
      <c r="L444" t="s">
        <v>19</v>
      </c>
      <c r="M444" t="s">
        <v>2592</v>
      </c>
      <c r="N444" s="2" t="s">
        <v>3035</v>
      </c>
      <c r="O444" t="s">
        <v>3036</v>
      </c>
      <c r="P444" t="s">
        <v>16</v>
      </c>
      <c r="Q444">
        <v>173.19893899204243</v>
      </c>
      <c r="R444">
        <f ca="1">YEAR(TODAY())-Table1[[#This Row],[Year Built]]</f>
        <v>5</v>
      </c>
      <c r="S444" t="str">
        <f>IF(Table1[[#This Row],[Days on Market]] &lt; 30,"Fast",IF(Table1[[#This Row],[Days on Market]]&lt;= 90,"Average", "Slow"))</f>
        <v>Fast</v>
      </c>
      <c r="T444" t="str">
        <f>IF(Table1[[#This Row],[Price2]]&lt;500000,"Affordable",IF(Table1[[#This Row],[Price2]]&lt;1000000,"Mid range","Luxury"))</f>
        <v>Affordable</v>
      </c>
    </row>
    <row r="445" spans="1:20" x14ac:dyDescent="0.35">
      <c r="A445" s="3">
        <v>326717</v>
      </c>
      <c r="B445" s="2" t="s">
        <v>12</v>
      </c>
      <c r="C445">
        <v>97516</v>
      </c>
      <c r="D445" s="2" t="s">
        <v>29</v>
      </c>
      <c r="E445">
        <v>2</v>
      </c>
      <c r="F445">
        <v>1</v>
      </c>
      <c r="G445" s="4">
        <f>VALUE(SUBSTITUTE(SUBSTITUTE(Table1[[#This Row],[Price]],"$",""),",",""))</f>
        <v>326717</v>
      </c>
      <c r="H445" s="1">
        <f>Table1[[#This Row],[Price2]]/Table1[[#This Row],[Area]]</f>
        <v>111.46946434663937</v>
      </c>
      <c r="I445">
        <v>2931</v>
      </c>
      <c r="J445">
        <v>1987</v>
      </c>
      <c r="K445">
        <v>104</v>
      </c>
      <c r="L445" t="s">
        <v>40</v>
      </c>
      <c r="M445" t="s">
        <v>2880</v>
      </c>
      <c r="N445" s="2" t="s">
        <v>3033</v>
      </c>
      <c r="O445" t="s">
        <v>3034</v>
      </c>
      <c r="P445" t="s">
        <v>21</v>
      </c>
      <c r="Q445">
        <v>111.46946434663937</v>
      </c>
      <c r="R445">
        <f ca="1">YEAR(TODAY())-Table1[[#This Row],[Year Built]]</f>
        <v>39</v>
      </c>
      <c r="S445" t="str">
        <f>IF(Table1[[#This Row],[Days on Market]] &lt; 30,"Fast",IF(Table1[[#This Row],[Days on Market]]&lt;= 90,"Average", "Slow"))</f>
        <v>Slow</v>
      </c>
      <c r="T445" t="str">
        <f>IF(Table1[[#This Row],[Price2]]&lt;500000,"Affordable",IF(Table1[[#This Row],[Price2]]&lt;1000000,"Mid range","Luxury"))</f>
        <v>Affordable</v>
      </c>
    </row>
    <row r="446" spans="1:20" x14ac:dyDescent="0.35">
      <c r="A446" s="3">
        <v>327247</v>
      </c>
      <c r="B446" s="2" t="s">
        <v>34</v>
      </c>
      <c r="C446">
        <v>71862</v>
      </c>
      <c r="D446" s="2" t="s">
        <v>35</v>
      </c>
      <c r="E446">
        <v>6</v>
      </c>
      <c r="F446">
        <v>4</v>
      </c>
      <c r="G446" s="4">
        <f>VALUE(SUBSTITUTE(SUBSTITUTE(Table1[[#This Row],[Price]],"$",""),",",""))</f>
        <v>327247</v>
      </c>
      <c r="H446" s="1">
        <f>Table1[[#This Row],[Price2]]/Table1[[#This Row],[Area]]</f>
        <v>472.90028901734104</v>
      </c>
      <c r="I446">
        <v>692</v>
      </c>
      <c r="J446">
        <v>1996</v>
      </c>
      <c r="K446">
        <v>90</v>
      </c>
      <c r="L446" t="s">
        <v>40</v>
      </c>
      <c r="M446" t="s">
        <v>75</v>
      </c>
      <c r="N446" s="2" t="s">
        <v>3027</v>
      </c>
      <c r="O446" t="s">
        <v>3028</v>
      </c>
      <c r="P446" t="s">
        <v>26</v>
      </c>
      <c r="Q446">
        <v>472.90028901734104</v>
      </c>
      <c r="R446">
        <f ca="1">YEAR(TODAY())-Table1[[#This Row],[Year Built]]</f>
        <v>30</v>
      </c>
      <c r="S446" t="str">
        <f>IF(Table1[[#This Row],[Days on Market]] &lt; 30,"Fast",IF(Table1[[#This Row],[Days on Market]]&lt;= 90,"Average", "Slow"))</f>
        <v>Average</v>
      </c>
      <c r="T446" t="str">
        <f>IF(Table1[[#This Row],[Price2]]&lt;500000,"Affordable",IF(Table1[[#This Row],[Price2]]&lt;1000000,"Mid range","Luxury"))</f>
        <v>Affordable</v>
      </c>
    </row>
    <row r="447" spans="1:20" x14ac:dyDescent="0.35">
      <c r="A447" s="3">
        <v>327249</v>
      </c>
      <c r="B447" s="2" t="s">
        <v>12</v>
      </c>
      <c r="C447">
        <v>62075</v>
      </c>
      <c r="D447" s="2" t="s">
        <v>13</v>
      </c>
      <c r="E447">
        <v>6</v>
      </c>
      <c r="F447">
        <v>2</v>
      </c>
      <c r="G447" s="4">
        <f>VALUE(SUBSTITUTE(SUBSTITUTE(Table1[[#This Row],[Price]],"$",""),",",""))</f>
        <v>327249</v>
      </c>
      <c r="H447" s="1">
        <f>Table1[[#This Row],[Price2]]/Table1[[#This Row],[Area]]</f>
        <v>124.24031890660592</v>
      </c>
      <c r="I447">
        <v>2634</v>
      </c>
      <c r="J447">
        <v>2003</v>
      </c>
      <c r="K447">
        <v>119</v>
      </c>
      <c r="L447" t="s">
        <v>52</v>
      </c>
      <c r="M447" t="s">
        <v>1137</v>
      </c>
      <c r="N447" s="2" t="s">
        <v>3035</v>
      </c>
      <c r="O447" t="s">
        <v>3036</v>
      </c>
      <c r="P447" t="s">
        <v>26</v>
      </c>
      <c r="Q447">
        <v>124.24031890660592</v>
      </c>
      <c r="R447">
        <f ca="1">YEAR(TODAY())-Table1[[#This Row],[Year Built]]</f>
        <v>23</v>
      </c>
      <c r="S447" t="str">
        <f>IF(Table1[[#This Row],[Days on Market]] &lt; 30,"Fast",IF(Table1[[#This Row],[Days on Market]]&lt;= 90,"Average", "Slow"))</f>
        <v>Slow</v>
      </c>
      <c r="T447" t="str">
        <f>IF(Table1[[#This Row],[Price2]]&lt;500000,"Affordable",IF(Table1[[#This Row],[Price2]]&lt;1000000,"Mid range","Luxury"))</f>
        <v>Affordable</v>
      </c>
    </row>
    <row r="448" spans="1:20" x14ac:dyDescent="0.35">
      <c r="A448" s="3">
        <v>327979</v>
      </c>
      <c r="B448" s="2" t="s">
        <v>34</v>
      </c>
      <c r="C448">
        <v>93091</v>
      </c>
      <c r="D448" s="2" t="s">
        <v>23</v>
      </c>
      <c r="E448">
        <v>4</v>
      </c>
      <c r="F448">
        <v>2</v>
      </c>
      <c r="G448" s="4">
        <f>VALUE(SUBSTITUTE(SUBSTITUTE(Table1[[#This Row],[Price]],"$",""),",",""))</f>
        <v>327979</v>
      </c>
      <c r="H448" s="1">
        <f>Table1[[#This Row],[Price2]]/Table1[[#This Row],[Area]]</f>
        <v>152.26508820798514</v>
      </c>
      <c r="I448">
        <v>2154</v>
      </c>
      <c r="J448">
        <v>1971</v>
      </c>
      <c r="K448">
        <v>71</v>
      </c>
      <c r="L448" t="s">
        <v>52</v>
      </c>
      <c r="M448" t="s">
        <v>148</v>
      </c>
      <c r="N448" s="2" t="s">
        <v>3029</v>
      </c>
      <c r="O448" t="s">
        <v>3030</v>
      </c>
      <c r="P448" t="s">
        <v>26</v>
      </c>
      <c r="Q448">
        <v>152.26508820798514</v>
      </c>
      <c r="R448">
        <f ca="1">YEAR(TODAY())-Table1[[#This Row],[Year Built]]</f>
        <v>55</v>
      </c>
      <c r="S448" t="str">
        <f>IF(Table1[[#This Row],[Days on Market]] &lt; 30,"Fast",IF(Table1[[#This Row],[Days on Market]]&lt;= 90,"Average", "Slow"))</f>
        <v>Average</v>
      </c>
      <c r="T448" t="str">
        <f>IF(Table1[[#This Row],[Price2]]&lt;500000,"Affordable",IF(Table1[[#This Row],[Price2]]&lt;1000000,"Mid range","Luxury"))</f>
        <v>Affordable</v>
      </c>
    </row>
    <row r="449" spans="1:20" x14ac:dyDescent="0.35">
      <c r="A449" s="3">
        <v>328074</v>
      </c>
      <c r="B449" s="2" t="s">
        <v>17</v>
      </c>
      <c r="C449">
        <v>94175</v>
      </c>
      <c r="D449" s="2" t="s">
        <v>13</v>
      </c>
      <c r="E449">
        <v>6</v>
      </c>
      <c r="F449">
        <v>2</v>
      </c>
      <c r="G449" s="4">
        <f>VALUE(SUBSTITUTE(SUBSTITUTE(Table1[[#This Row],[Price]],"$",""),",",""))</f>
        <v>328074</v>
      </c>
      <c r="H449" s="1">
        <f>Table1[[#This Row],[Price2]]/Table1[[#This Row],[Area]]</f>
        <v>224.40082079343367</v>
      </c>
      <c r="I449">
        <v>1462</v>
      </c>
      <c r="J449">
        <v>2009</v>
      </c>
      <c r="K449">
        <v>110</v>
      </c>
      <c r="L449" t="s">
        <v>40</v>
      </c>
      <c r="M449" t="s">
        <v>841</v>
      </c>
      <c r="N449" s="2" t="s">
        <v>3027</v>
      </c>
      <c r="O449" t="s">
        <v>3028</v>
      </c>
      <c r="P449" t="s">
        <v>21</v>
      </c>
      <c r="Q449">
        <v>224.40082079343367</v>
      </c>
      <c r="R449">
        <f ca="1">YEAR(TODAY())-Table1[[#This Row],[Year Built]]</f>
        <v>17</v>
      </c>
      <c r="S449" t="str">
        <f>IF(Table1[[#This Row],[Days on Market]] &lt; 30,"Fast",IF(Table1[[#This Row],[Days on Market]]&lt;= 90,"Average", "Slow"))</f>
        <v>Slow</v>
      </c>
      <c r="T449" t="str">
        <f>IF(Table1[[#This Row],[Price2]]&lt;500000,"Affordable",IF(Table1[[#This Row],[Price2]]&lt;1000000,"Mid range","Luxury"))</f>
        <v>Affordable</v>
      </c>
    </row>
    <row r="450" spans="1:20" x14ac:dyDescent="0.35">
      <c r="A450" s="3">
        <v>328206</v>
      </c>
      <c r="B450" s="2" t="s">
        <v>34</v>
      </c>
      <c r="C450">
        <v>68317</v>
      </c>
      <c r="D450" s="2" t="s">
        <v>13</v>
      </c>
      <c r="E450">
        <v>4</v>
      </c>
      <c r="F450">
        <v>1</v>
      </c>
      <c r="G450" s="4">
        <f>VALUE(SUBSTITUTE(SUBSTITUTE(Table1[[#This Row],[Price]],"$",""),",",""))</f>
        <v>328206</v>
      </c>
      <c r="H450" s="1">
        <f>Table1[[#This Row],[Price2]]/Table1[[#This Row],[Area]]</f>
        <v>147.5746402877698</v>
      </c>
      <c r="I450">
        <v>2224</v>
      </c>
      <c r="J450">
        <v>1974</v>
      </c>
      <c r="K450">
        <v>105</v>
      </c>
      <c r="L450" t="s">
        <v>40</v>
      </c>
      <c r="M450" t="s">
        <v>2064</v>
      </c>
      <c r="N450" s="2" t="s">
        <v>3033</v>
      </c>
      <c r="O450" t="s">
        <v>3034</v>
      </c>
      <c r="P450" t="s">
        <v>26</v>
      </c>
      <c r="Q450">
        <v>147.5746402877698</v>
      </c>
      <c r="R450">
        <f ca="1">YEAR(TODAY())-Table1[[#This Row],[Year Built]]</f>
        <v>52</v>
      </c>
      <c r="S450" t="str">
        <f>IF(Table1[[#This Row],[Days on Market]] &lt; 30,"Fast",IF(Table1[[#This Row],[Days on Market]]&lt;= 90,"Average", "Slow"))</f>
        <v>Slow</v>
      </c>
      <c r="T450" t="str">
        <f>IF(Table1[[#This Row],[Price2]]&lt;500000,"Affordable",IF(Table1[[#This Row],[Price2]]&lt;1000000,"Mid range","Luxury"))</f>
        <v>Affordable</v>
      </c>
    </row>
    <row r="451" spans="1:20" x14ac:dyDescent="0.35">
      <c r="A451" s="3">
        <v>328266</v>
      </c>
      <c r="B451" s="2" t="s">
        <v>17</v>
      </c>
      <c r="C451">
        <v>39489</v>
      </c>
      <c r="D451" s="2" t="s">
        <v>35</v>
      </c>
      <c r="E451">
        <v>3</v>
      </c>
      <c r="F451">
        <v>1</v>
      </c>
      <c r="G451" s="4">
        <f>VALUE(SUBSTITUTE(SUBSTITUTE(Table1[[#This Row],[Price]],"$",""),",",""))</f>
        <v>328266</v>
      </c>
      <c r="H451" s="1">
        <f>Table1[[#This Row],[Price2]]/Table1[[#This Row],[Area]]</f>
        <v>386.65017667844523</v>
      </c>
      <c r="I451">
        <v>849</v>
      </c>
      <c r="J451">
        <v>1963</v>
      </c>
      <c r="K451">
        <v>50</v>
      </c>
      <c r="L451" t="s">
        <v>19</v>
      </c>
      <c r="M451" t="s">
        <v>1772</v>
      </c>
      <c r="N451" s="2" t="s">
        <v>3031</v>
      </c>
      <c r="O451" t="s">
        <v>3032</v>
      </c>
      <c r="P451" t="s">
        <v>26</v>
      </c>
      <c r="Q451">
        <v>386.65017667844523</v>
      </c>
      <c r="R451">
        <f ca="1">YEAR(TODAY())-Table1[[#This Row],[Year Built]]</f>
        <v>63</v>
      </c>
      <c r="S451" t="str">
        <f>IF(Table1[[#This Row],[Days on Market]] &lt; 30,"Fast",IF(Table1[[#This Row],[Days on Market]]&lt;= 90,"Average", "Slow"))</f>
        <v>Average</v>
      </c>
      <c r="T451" t="str">
        <f>IF(Table1[[#This Row],[Price2]]&lt;500000,"Affordable",IF(Table1[[#This Row],[Price2]]&lt;1000000,"Mid range","Luxury"))</f>
        <v>Affordable</v>
      </c>
    </row>
    <row r="452" spans="1:20" x14ac:dyDescent="0.35">
      <c r="A452" s="3">
        <v>328592</v>
      </c>
      <c r="B452" s="2" t="s">
        <v>27</v>
      </c>
      <c r="C452">
        <v>15311</v>
      </c>
      <c r="D452" s="2" t="s">
        <v>23</v>
      </c>
      <c r="E452">
        <v>5</v>
      </c>
      <c r="F452">
        <v>2</v>
      </c>
      <c r="G452" s="4">
        <f>VALUE(SUBSTITUTE(SUBSTITUTE(Table1[[#This Row],[Price]],"$",""),",",""))</f>
        <v>328592</v>
      </c>
      <c r="H452" s="1">
        <f>Table1[[#This Row],[Price2]]/Table1[[#This Row],[Area]]</f>
        <v>420.19437340153451</v>
      </c>
      <c r="I452">
        <v>782</v>
      </c>
      <c r="J452">
        <v>1981</v>
      </c>
      <c r="K452">
        <v>60</v>
      </c>
      <c r="L452" t="s">
        <v>40</v>
      </c>
      <c r="M452" t="s">
        <v>214</v>
      </c>
      <c r="N452" s="2" t="s">
        <v>3027</v>
      </c>
      <c r="O452" t="s">
        <v>3028</v>
      </c>
      <c r="P452" t="s">
        <v>16</v>
      </c>
      <c r="Q452">
        <v>420.19437340153451</v>
      </c>
      <c r="R452">
        <f ca="1">YEAR(TODAY())-Table1[[#This Row],[Year Built]]</f>
        <v>45</v>
      </c>
      <c r="S452" t="str">
        <f>IF(Table1[[#This Row],[Days on Market]] &lt; 30,"Fast",IF(Table1[[#This Row],[Days on Market]]&lt;= 90,"Average", "Slow"))</f>
        <v>Average</v>
      </c>
      <c r="T452" t="str">
        <f>IF(Table1[[#This Row],[Price2]]&lt;500000,"Affordable",IF(Table1[[#This Row],[Price2]]&lt;1000000,"Mid range","Luxury"))</f>
        <v>Affordable</v>
      </c>
    </row>
    <row r="453" spans="1:20" x14ac:dyDescent="0.35">
      <c r="A453" s="3">
        <v>329125</v>
      </c>
      <c r="B453" s="2" t="s">
        <v>12</v>
      </c>
      <c r="C453">
        <v>81664</v>
      </c>
      <c r="D453" s="2" t="s">
        <v>13</v>
      </c>
      <c r="E453">
        <v>1</v>
      </c>
      <c r="F453">
        <v>4</v>
      </c>
      <c r="G453" s="4">
        <f>VALUE(SUBSTITUTE(SUBSTITUTE(Table1[[#This Row],[Price]],"$",""),",",""))</f>
        <v>329125</v>
      </c>
      <c r="H453" s="1">
        <f>Table1[[#This Row],[Price2]]/Table1[[#This Row],[Area]]</f>
        <v>92.166059927191256</v>
      </c>
      <c r="I453">
        <v>3571</v>
      </c>
      <c r="J453">
        <v>1958</v>
      </c>
      <c r="K453">
        <v>26</v>
      </c>
      <c r="L453" t="s">
        <v>14</v>
      </c>
      <c r="M453" t="s">
        <v>1632</v>
      </c>
      <c r="N453" s="2" t="s">
        <v>3035</v>
      </c>
      <c r="O453" t="s">
        <v>3036</v>
      </c>
      <c r="P453" t="s">
        <v>16</v>
      </c>
      <c r="Q453">
        <v>92.166059927191256</v>
      </c>
      <c r="R453">
        <f ca="1">YEAR(TODAY())-Table1[[#This Row],[Year Built]]</f>
        <v>68</v>
      </c>
      <c r="S453" t="str">
        <f>IF(Table1[[#This Row],[Days on Market]] &lt; 30,"Fast",IF(Table1[[#This Row],[Days on Market]]&lt;= 90,"Average", "Slow"))</f>
        <v>Fast</v>
      </c>
      <c r="T453" t="str">
        <f>IF(Table1[[#This Row],[Price2]]&lt;500000,"Affordable",IF(Table1[[#This Row],[Price2]]&lt;1000000,"Mid range","Luxury"))</f>
        <v>Affordable</v>
      </c>
    </row>
    <row r="454" spans="1:20" x14ac:dyDescent="0.35">
      <c r="A454" s="3">
        <v>329187</v>
      </c>
      <c r="B454" s="2" t="s">
        <v>17</v>
      </c>
      <c r="C454">
        <v>39961</v>
      </c>
      <c r="D454" s="2" t="s">
        <v>29</v>
      </c>
      <c r="E454">
        <v>4</v>
      </c>
      <c r="F454">
        <v>1</v>
      </c>
      <c r="G454" s="4">
        <f>VALUE(SUBSTITUTE(SUBSTITUTE(Table1[[#This Row],[Price]],"$",""),",",""))</f>
        <v>329187</v>
      </c>
      <c r="H454" s="1">
        <f>Table1[[#This Row],[Price2]]/Table1[[#This Row],[Area]]</f>
        <v>87.132609846479625</v>
      </c>
      <c r="I454">
        <v>3778</v>
      </c>
      <c r="J454">
        <v>2000</v>
      </c>
      <c r="K454">
        <v>13</v>
      </c>
      <c r="L454" t="s">
        <v>14</v>
      </c>
      <c r="M454" t="s">
        <v>744</v>
      </c>
      <c r="N454" s="2" t="s">
        <v>3027</v>
      </c>
      <c r="O454" t="s">
        <v>3028</v>
      </c>
      <c r="P454" t="s">
        <v>16</v>
      </c>
      <c r="Q454">
        <v>87.132609846479625</v>
      </c>
      <c r="R454">
        <f ca="1">YEAR(TODAY())-Table1[[#This Row],[Year Built]]</f>
        <v>26</v>
      </c>
      <c r="S454" t="str">
        <f>IF(Table1[[#This Row],[Days on Market]] &lt; 30,"Fast",IF(Table1[[#This Row],[Days on Market]]&lt;= 90,"Average", "Slow"))</f>
        <v>Fast</v>
      </c>
      <c r="T454" t="str">
        <f>IF(Table1[[#This Row],[Price2]]&lt;500000,"Affordable",IF(Table1[[#This Row],[Price2]]&lt;1000000,"Mid range","Luxury"))</f>
        <v>Affordable</v>
      </c>
    </row>
    <row r="455" spans="1:20" x14ac:dyDescent="0.35">
      <c r="A455" s="3">
        <v>329837</v>
      </c>
      <c r="B455" s="2" t="s">
        <v>17</v>
      </c>
      <c r="C455">
        <v>48994</v>
      </c>
      <c r="D455" s="2" t="s">
        <v>13</v>
      </c>
      <c r="E455">
        <v>1</v>
      </c>
      <c r="F455">
        <v>1</v>
      </c>
      <c r="G455" s="4">
        <f>VALUE(SUBSTITUTE(SUBSTITUTE(Table1[[#This Row],[Price]],"$",""),",",""))</f>
        <v>329837</v>
      </c>
      <c r="H455" s="1">
        <f>Table1[[#This Row],[Price2]]/Table1[[#This Row],[Area]]</f>
        <v>112.22762844504933</v>
      </c>
      <c r="I455">
        <v>2939</v>
      </c>
      <c r="J455">
        <v>2013</v>
      </c>
      <c r="K455">
        <v>101</v>
      </c>
      <c r="L455" t="s">
        <v>19</v>
      </c>
      <c r="M455" t="s">
        <v>604</v>
      </c>
      <c r="N455" s="2" t="s">
        <v>3031</v>
      </c>
      <c r="O455" t="s">
        <v>3032</v>
      </c>
      <c r="P455" t="s">
        <v>21</v>
      </c>
      <c r="Q455">
        <v>112.22762844504933</v>
      </c>
      <c r="R455">
        <f ca="1">YEAR(TODAY())-Table1[[#This Row],[Year Built]]</f>
        <v>13</v>
      </c>
      <c r="S455" t="str">
        <f>IF(Table1[[#This Row],[Days on Market]] &lt; 30,"Fast",IF(Table1[[#This Row],[Days on Market]]&lt;= 90,"Average", "Slow"))</f>
        <v>Slow</v>
      </c>
      <c r="T455" t="str">
        <f>IF(Table1[[#This Row],[Price2]]&lt;500000,"Affordable",IF(Table1[[#This Row],[Price2]]&lt;1000000,"Mid range","Luxury"))</f>
        <v>Affordable</v>
      </c>
    </row>
    <row r="456" spans="1:20" x14ac:dyDescent="0.35">
      <c r="A456" s="3">
        <v>330016</v>
      </c>
      <c r="B456" s="2" t="s">
        <v>22</v>
      </c>
      <c r="C456">
        <v>96526</v>
      </c>
      <c r="D456" s="2" t="s">
        <v>35</v>
      </c>
      <c r="E456">
        <v>3</v>
      </c>
      <c r="F456">
        <v>4</v>
      </c>
      <c r="G456" s="4">
        <f>VALUE(SUBSTITUTE(SUBSTITUTE(Table1[[#This Row],[Price]],"$",""),",",""))</f>
        <v>330016</v>
      </c>
      <c r="H456" s="1">
        <f>Table1[[#This Row],[Price2]]/Table1[[#This Row],[Area]]</f>
        <v>124.06616541353384</v>
      </c>
      <c r="I456">
        <v>2660</v>
      </c>
      <c r="J456">
        <v>1990</v>
      </c>
      <c r="K456">
        <v>68</v>
      </c>
      <c r="L456" t="s">
        <v>19</v>
      </c>
      <c r="M456" t="s">
        <v>1863</v>
      </c>
      <c r="N456" s="2" t="s">
        <v>3029</v>
      </c>
      <c r="O456" t="s">
        <v>3030</v>
      </c>
      <c r="P456" t="s">
        <v>16</v>
      </c>
      <c r="Q456">
        <v>124.06616541353384</v>
      </c>
      <c r="R456">
        <f ca="1">YEAR(TODAY())-Table1[[#This Row],[Year Built]]</f>
        <v>36</v>
      </c>
      <c r="S456" t="str">
        <f>IF(Table1[[#This Row],[Days on Market]] &lt; 30,"Fast",IF(Table1[[#This Row],[Days on Market]]&lt;= 90,"Average", "Slow"))</f>
        <v>Average</v>
      </c>
      <c r="T456" t="str">
        <f>IF(Table1[[#This Row],[Price2]]&lt;500000,"Affordable",IF(Table1[[#This Row],[Price2]]&lt;1000000,"Mid range","Luxury"))</f>
        <v>Affordable</v>
      </c>
    </row>
    <row r="457" spans="1:20" x14ac:dyDescent="0.35">
      <c r="A457" s="3">
        <v>330245</v>
      </c>
      <c r="B457" s="2" t="s">
        <v>17</v>
      </c>
      <c r="C457">
        <v>79211</v>
      </c>
      <c r="D457" s="2" t="s">
        <v>13</v>
      </c>
      <c r="E457">
        <v>5</v>
      </c>
      <c r="F457">
        <v>3</v>
      </c>
      <c r="G457" s="4">
        <f>VALUE(SUBSTITUTE(SUBSTITUTE(Table1[[#This Row],[Price]],"$",""),",",""))</f>
        <v>330245</v>
      </c>
      <c r="H457" s="1">
        <f>Table1[[#This Row],[Price2]]/Table1[[#This Row],[Area]]</f>
        <v>344.00520833333331</v>
      </c>
      <c r="I457">
        <v>960</v>
      </c>
      <c r="J457">
        <v>1993</v>
      </c>
      <c r="K457">
        <v>113</v>
      </c>
      <c r="L457" t="s">
        <v>40</v>
      </c>
      <c r="M457" t="s">
        <v>527</v>
      </c>
      <c r="N457" s="2" t="s">
        <v>3027</v>
      </c>
      <c r="O457" t="s">
        <v>3028</v>
      </c>
      <c r="P457" t="s">
        <v>16</v>
      </c>
      <c r="Q457">
        <v>344.00520833333331</v>
      </c>
      <c r="R457">
        <f ca="1">YEAR(TODAY())-Table1[[#This Row],[Year Built]]</f>
        <v>33</v>
      </c>
      <c r="S457" t="str">
        <f>IF(Table1[[#This Row],[Days on Market]] &lt; 30,"Fast",IF(Table1[[#This Row],[Days on Market]]&lt;= 90,"Average", "Slow"))</f>
        <v>Slow</v>
      </c>
      <c r="T457" t="str">
        <f>IF(Table1[[#This Row],[Price2]]&lt;500000,"Affordable",IF(Table1[[#This Row],[Price2]]&lt;1000000,"Mid range","Luxury"))</f>
        <v>Affordable</v>
      </c>
    </row>
    <row r="458" spans="1:20" x14ac:dyDescent="0.35">
      <c r="A458" s="3">
        <v>330377</v>
      </c>
      <c r="B458" s="2" t="s">
        <v>17</v>
      </c>
      <c r="C458">
        <v>19079</v>
      </c>
      <c r="D458" s="2" t="s">
        <v>18</v>
      </c>
      <c r="E458">
        <v>3</v>
      </c>
      <c r="F458">
        <v>2</v>
      </c>
      <c r="G458" s="4">
        <f>VALUE(SUBSTITUTE(SUBSTITUTE(Table1[[#This Row],[Price]],"$",""),",",""))</f>
        <v>330377</v>
      </c>
      <c r="H458" s="1">
        <f>Table1[[#This Row],[Price2]]/Table1[[#This Row],[Area]]</f>
        <v>134.73776508972267</v>
      </c>
      <c r="I458">
        <v>2452</v>
      </c>
      <c r="J458">
        <v>1972</v>
      </c>
      <c r="K458">
        <v>103</v>
      </c>
      <c r="L458" t="s">
        <v>40</v>
      </c>
      <c r="M458" t="s">
        <v>2918</v>
      </c>
      <c r="N458" s="2" t="s">
        <v>3031</v>
      </c>
      <c r="O458" t="s">
        <v>3032</v>
      </c>
      <c r="P458" t="s">
        <v>16</v>
      </c>
      <c r="Q458">
        <v>134.73776508972267</v>
      </c>
      <c r="R458">
        <f ca="1">YEAR(TODAY())-Table1[[#This Row],[Year Built]]</f>
        <v>54</v>
      </c>
      <c r="S458" t="str">
        <f>IF(Table1[[#This Row],[Days on Market]] &lt; 30,"Fast",IF(Table1[[#This Row],[Days on Market]]&lt;= 90,"Average", "Slow"))</f>
        <v>Slow</v>
      </c>
      <c r="T458" t="str">
        <f>IF(Table1[[#This Row],[Price2]]&lt;500000,"Affordable",IF(Table1[[#This Row],[Price2]]&lt;1000000,"Mid range","Luxury"))</f>
        <v>Affordable</v>
      </c>
    </row>
    <row r="459" spans="1:20" x14ac:dyDescent="0.35">
      <c r="A459" s="3">
        <v>330544</v>
      </c>
      <c r="B459" s="2" t="s">
        <v>12</v>
      </c>
      <c r="C459">
        <v>73076</v>
      </c>
      <c r="D459" s="2" t="s">
        <v>35</v>
      </c>
      <c r="E459">
        <v>3</v>
      </c>
      <c r="F459">
        <v>4</v>
      </c>
      <c r="G459" s="4">
        <f>VALUE(SUBSTITUTE(SUBSTITUTE(Table1[[#This Row],[Price]],"$",""),",",""))</f>
        <v>330544</v>
      </c>
      <c r="H459" s="1">
        <f>Table1[[#This Row],[Price2]]/Table1[[#This Row],[Area]]</f>
        <v>91.919911012235815</v>
      </c>
      <c r="I459">
        <v>3596</v>
      </c>
      <c r="J459">
        <v>1977</v>
      </c>
      <c r="K459">
        <v>20</v>
      </c>
      <c r="L459" t="s">
        <v>19</v>
      </c>
      <c r="M459" t="s">
        <v>1417</v>
      </c>
      <c r="N459" s="2" t="s">
        <v>3033</v>
      </c>
      <c r="O459" t="s">
        <v>3034</v>
      </c>
      <c r="P459" t="s">
        <v>16</v>
      </c>
      <c r="Q459">
        <v>91.919911012235815</v>
      </c>
      <c r="R459">
        <f ca="1">YEAR(TODAY())-Table1[[#This Row],[Year Built]]</f>
        <v>49</v>
      </c>
      <c r="S459" t="str">
        <f>IF(Table1[[#This Row],[Days on Market]] &lt; 30,"Fast",IF(Table1[[#This Row],[Days on Market]]&lt;= 90,"Average", "Slow"))</f>
        <v>Fast</v>
      </c>
      <c r="T459" t="str">
        <f>IF(Table1[[#This Row],[Price2]]&lt;500000,"Affordable",IF(Table1[[#This Row],[Price2]]&lt;1000000,"Mid range","Luxury"))</f>
        <v>Affordable</v>
      </c>
    </row>
    <row r="460" spans="1:20" x14ac:dyDescent="0.35">
      <c r="A460" s="3">
        <v>330624</v>
      </c>
      <c r="B460" s="2" t="s">
        <v>27</v>
      </c>
      <c r="C460">
        <v>49084</v>
      </c>
      <c r="D460" s="2" t="s">
        <v>18</v>
      </c>
      <c r="E460">
        <v>2</v>
      </c>
      <c r="F460">
        <v>3</v>
      </c>
      <c r="G460" s="4">
        <f>VALUE(SUBSTITUTE(SUBSTITUTE(Table1[[#This Row],[Price]],"$",""),",",""))</f>
        <v>330624</v>
      </c>
      <c r="H460" s="1">
        <f>Table1[[#This Row],[Price2]]/Table1[[#This Row],[Area]]</f>
        <v>90.606741573033702</v>
      </c>
      <c r="I460">
        <v>3649</v>
      </c>
      <c r="J460">
        <v>1996</v>
      </c>
      <c r="K460">
        <v>20</v>
      </c>
      <c r="L460" t="s">
        <v>52</v>
      </c>
      <c r="M460" t="s">
        <v>1415</v>
      </c>
      <c r="N460" s="2" t="s">
        <v>3035</v>
      </c>
      <c r="O460" t="s">
        <v>3036</v>
      </c>
      <c r="P460" t="s">
        <v>26</v>
      </c>
      <c r="Q460">
        <v>90.606741573033702</v>
      </c>
      <c r="R460">
        <f ca="1">YEAR(TODAY())-Table1[[#This Row],[Year Built]]</f>
        <v>30</v>
      </c>
      <c r="S460" t="str">
        <f>IF(Table1[[#This Row],[Days on Market]] &lt; 30,"Fast",IF(Table1[[#This Row],[Days on Market]]&lt;= 90,"Average", "Slow"))</f>
        <v>Fast</v>
      </c>
      <c r="T460" t="str">
        <f>IF(Table1[[#This Row],[Price2]]&lt;500000,"Affordable",IF(Table1[[#This Row],[Price2]]&lt;1000000,"Mid range","Luxury"))</f>
        <v>Affordable</v>
      </c>
    </row>
    <row r="461" spans="1:20" x14ac:dyDescent="0.35">
      <c r="A461" s="3">
        <v>330783</v>
      </c>
      <c r="B461" s="2" t="s">
        <v>12</v>
      </c>
      <c r="C461">
        <v>68572</v>
      </c>
      <c r="D461" s="2" t="s">
        <v>18</v>
      </c>
      <c r="E461">
        <v>4</v>
      </c>
      <c r="F461">
        <v>2</v>
      </c>
      <c r="G461" s="4">
        <f>VALUE(SUBSTITUTE(SUBSTITUTE(Table1[[#This Row],[Price]],"$",""),",",""))</f>
        <v>330783</v>
      </c>
      <c r="H461" s="1">
        <f>Table1[[#This Row],[Price2]]/Table1[[#This Row],[Area]]</f>
        <v>232.78184377199156</v>
      </c>
      <c r="I461">
        <v>1421</v>
      </c>
      <c r="J461">
        <v>1989</v>
      </c>
      <c r="K461">
        <v>114</v>
      </c>
      <c r="L461" t="s">
        <v>14</v>
      </c>
      <c r="M461" t="s">
        <v>2597</v>
      </c>
      <c r="N461" s="2" t="s">
        <v>3033</v>
      </c>
      <c r="O461" t="s">
        <v>3034</v>
      </c>
      <c r="P461" t="s">
        <v>21</v>
      </c>
      <c r="Q461">
        <v>232.78184377199156</v>
      </c>
      <c r="R461">
        <f ca="1">YEAR(TODAY())-Table1[[#This Row],[Year Built]]</f>
        <v>37</v>
      </c>
      <c r="S461" t="str">
        <f>IF(Table1[[#This Row],[Days on Market]] &lt; 30,"Fast",IF(Table1[[#This Row],[Days on Market]]&lt;= 90,"Average", "Slow"))</f>
        <v>Slow</v>
      </c>
      <c r="T461" t="str">
        <f>IF(Table1[[#This Row],[Price2]]&lt;500000,"Affordable",IF(Table1[[#This Row],[Price2]]&lt;1000000,"Mid range","Luxury"))</f>
        <v>Affordable</v>
      </c>
    </row>
    <row r="462" spans="1:20" x14ac:dyDescent="0.35">
      <c r="A462" s="3">
        <v>333088</v>
      </c>
      <c r="B462" s="2" t="s">
        <v>27</v>
      </c>
      <c r="C462">
        <v>11197</v>
      </c>
      <c r="D462" s="2" t="s">
        <v>35</v>
      </c>
      <c r="E462">
        <v>2</v>
      </c>
      <c r="F462">
        <v>4</v>
      </c>
      <c r="G462" s="4">
        <f>VALUE(SUBSTITUTE(SUBSTITUTE(Table1[[#This Row],[Price]],"$",""),",",""))</f>
        <v>333088</v>
      </c>
      <c r="H462" s="1">
        <f>Table1[[#This Row],[Price2]]/Table1[[#This Row],[Area]]</f>
        <v>134.79886685552407</v>
      </c>
      <c r="I462">
        <v>2471</v>
      </c>
      <c r="J462">
        <v>1958</v>
      </c>
      <c r="K462">
        <v>79</v>
      </c>
      <c r="L462" t="s">
        <v>40</v>
      </c>
      <c r="M462" t="s">
        <v>1514</v>
      </c>
      <c r="N462" s="2" t="s">
        <v>3029</v>
      </c>
      <c r="O462" t="s">
        <v>3030</v>
      </c>
      <c r="P462" t="s">
        <v>26</v>
      </c>
      <c r="Q462">
        <v>134.79886685552407</v>
      </c>
      <c r="R462">
        <f ca="1">YEAR(TODAY())-Table1[[#This Row],[Year Built]]</f>
        <v>68</v>
      </c>
      <c r="S462" t="str">
        <f>IF(Table1[[#This Row],[Days on Market]] &lt; 30,"Fast",IF(Table1[[#This Row],[Days on Market]]&lt;= 90,"Average", "Slow"))</f>
        <v>Average</v>
      </c>
      <c r="T462" t="str">
        <f>IF(Table1[[#This Row],[Price2]]&lt;500000,"Affordable",IF(Table1[[#This Row],[Price2]]&lt;1000000,"Mid range","Luxury"))</f>
        <v>Affordable</v>
      </c>
    </row>
    <row r="463" spans="1:20" x14ac:dyDescent="0.35">
      <c r="A463" s="3">
        <v>333231</v>
      </c>
      <c r="B463" s="2" t="s">
        <v>34</v>
      </c>
      <c r="C463">
        <v>55834</v>
      </c>
      <c r="D463" s="2" t="s">
        <v>23</v>
      </c>
      <c r="E463">
        <v>3</v>
      </c>
      <c r="F463">
        <v>3</v>
      </c>
      <c r="G463" s="4">
        <f>VALUE(SUBSTITUTE(SUBSTITUTE(Table1[[#This Row],[Price]],"$",""),",",""))</f>
        <v>333231</v>
      </c>
      <c r="H463" s="1">
        <f>Table1[[#This Row],[Price2]]/Table1[[#This Row],[Area]]</f>
        <v>89.989467998919793</v>
      </c>
      <c r="I463">
        <v>3703</v>
      </c>
      <c r="J463">
        <v>1989</v>
      </c>
      <c r="K463">
        <v>38</v>
      </c>
      <c r="L463" t="s">
        <v>30</v>
      </c>
      <c r="M463" t="s">
        <v>2725</v>
      </c>
      <c r="N463" s="2" t="s">
        <v>3035</v>
      </c>
      <c r="O463" t="s">
        <v>3036</v>
      </c>
      <c r="P463" t="s">
        <v>16</v>
      </c>
      <c r="Q463">
        <v>89.989467998919793</v>
      </c>
      <c r="R463">
        <f ca="1">YEAR(TODAY())-Table1[[#This Row],[Year Built]]</f>
        <v>37</v>
      </c>
      <c r="S463" t="str">
        <f>IF(Table1[[#This Row],[Days on Market]] &lt; 30,"Fast",IF(Table1[[#This Row],[Days on Market]]&lt;= 90,"Average", "Slow"))</f>
        <v>Average</v>
      </c>
      <c r="T463" t="str">
        <f>IF(Table1[[#This Row],[Price2]]&lt;500000,"Affordable",IF(Table1[[#This Row],[Price2]]&lt;1000000,"Mid range","Luxury"))</f>
        <v>Affordable</v>
      </c>
    </row>
    <row r="464" spans="1:20" x14ac:dyDescent="0.35">
      <c r="A464" s="3">
        <v>333354</v>
      </c>
      <c r="B464" s="2" t="s">
        <v>12</v>
      </c>
      <c r="C464">
        <v>28138</v>
      </c>
      <c r="D464" s="2" t="s">
        <v>18</v>
      </c>
      <c r="E464">
        <v>6</v>
      </c>
      <c r="F464">
        <v>3</v>
      </c>
      <c r="G464" s="4">
        <f>VALUE(SUBSTITUTE(SUBSTITUTE(Table1[[#This Row],[Price]],"$",""),",",""))</f>
        <v>333354</v>
      </c>
      <c r="H464" s="1">
        <f>Table1[[#This Row],[Price2]]/Table1[[#This Row],[Area]]</f>
        <v>108.26696979538811</v>
      </c>
      <c r="I464">
        <v>3079</v>
      </c>
      <c r="J464">
        <v>2005</v>
      </c>
      <c r="K464">
        <v>41</v>
      </c>
      <c r="L464" t="s">
        <v>19</v>
      </c>
      <c r="M464" t="s">
        <v>1928</v>
      </c>
      <c r="N464" s="2" t="s">
        <v>3033</v>
      </c>
      <c r="O464" t="s">
        <v>3034</v>
      </c>
      <c r="P464" t="s">
        <v>21</v>
      </c>
      <c r="Q464">
        <v>108.26696979538811</v>
      </c>
      <c r="R464">
        <f ca="1">YEAR(TODAY())-Table1[[#This Row],[Year Built]]</f>
        <v>21</v>
      </c>
      <c r="S464" t="str">
        <f>IF(Table1[[#This Row],[Days on Market]] &lt; 30,"Fast",IF(Table1[[#This Row],[Days on Market]]&lt;= 90,"Average", "Slow"))</f>
        <v>Average</v>
      </c>
      <c r="T464" t="str">
        <f>IF(Table1[[#This Row],[Price2]]&lt;500000,"Affordable",IF(Table1[[#This Row],[Price2]]&lt;1000000,"Mid range","Luxury"))</f>
        <v>Affordable</v>
      </c>
    </row>
    <row r="465" spans="1:20" x14ac:dyDescent="0.35">
      <c r="A465" s="3">
        <v>334465</v>
      </c>
      <c r="B465" s="2" t="s">
        <v>34</v>
      </c>
      <c r="C465">
        <v>25725</v>
      </c>
      <c r="D465" s="2" t="s">
        <v>13</v>
      </c>
      <c r="E465">
        <v>2</v>
      </c>
      <c r="F465">
        <v>4</v>
      </c>
      <c r="G465" s="4">
        <f>VALUE(SUBSTITUTE(SUBSTITUTE(Table1[[#This Row],[Price]],"$",""),",",""))</f>
        <v>334465</v>
      </c>
      <c r="H465" s="1">
        <f>Table1[[#This Row],[Price2]]/Table1[[#This Row],[Area]]</f>
        <v>86.626521626521622</v>
      </c>
      <c r="I465">
        <v>3861</v>
      </c>
      <c r="J465">
        <v>2023</v>
      </c>
      <c r="K465">
        <v>119</v>
      </c>
      <c r="L465" t="s">
        <v>14</v>
      </c>
      <c r="M465" t="s">
        <v>2988</v>
      </c>
      <c r="N465" s="2" t="s">
        <v>3035</v>
      </c>
      <c r="O465" t="s">
        <v>3036</v>
      </c>
      <c r="P465" t="s">
        <v>16</v>
      </c>
      <c r="Q465">
        <v>86.626521626521622</v>
      </c>
      <c r="R465">
        <f ca="1">YEAR(TODAY())-Table1[[#This Row],[Year Built]]</f>
        <v>3</v>
      </c>
      <c r="S465" t="str">
        <f>IF(Table1[[#This Row],[Days on Market]] &lt; 30,"Fast",IF(Table1[[#This Row],[Days on Market]]&lt;= 90,"Average", "Slow"))</f>
        <v>Slow</v>
      </c>
      <c r="T465" t="str">
        <f>IF(Table1[[#This Row],[Price2]]&lt;500000,"Affordable",IF(Table1[[#This Row],[Price2]]&lt;1000000,"Mid range","Luxury"))</f>
        <v>Affordable</v>
      </c>
    </row>
    <row r="466" spans="1:20" x14ac:dyDescent="0.35">
      <c r="A466" s="3">
        <v>334932</v>
      </c>
      <c r="B466" s="2" t="s">
        <v>34</v>
      </c>
      <c r="C466">
        <v>39549</v>
      </c>
      <c r="D466" s="2" t="s">
        <v>29</v>
      </c>
      <c r="E466">
        <v>3</v>
      </c>
      <c r="F466">
        <v>4</v>
      </c>
      <c r="G466" s="4">
        <f>VALUE(SUBSTITUTE(SUBSTITUTE(Table1[[#This Row],[Price]],"$",""),",",""))</f>
        <v>334932</v>
      </c>
      <c r="H466" s="1">
        <f>Table1[[#This Row],[Price2]]/Table1[[#This Row],[Area]]</f>
        <v>84.259622641509438</v>
      </c>
      <c r="I466">
        <v>3975</v>
      </c>
      <c r="J466">
        <v>1978</v>
      </c>
      <c r="K466">
        <v>59</v>
      </c>
      <c r="L466" t="s">
        <v>30</v>
      </c>
      <c r="M466" t="s">
        <v>1261</v>
      </c>
      <c r="N466" s="2" t="s">
        <v>3035</v>
      </c>
      <c r="O466" t="s">
        <v>3036</v>
      </c>
      <c r="P466" t="s">
        <v>26</v>
      </c>
      <c r="Q466">
        <v>84.259622641509438</v>
      </c>
      <c r="R466">
        <f ca="1">YEAR(TODAY())-Table1[[#This Row],[Year Built]]</f>
        <v>48</v>
      </c>
      <c r="S466" t="str">
        <f>IF(Table1[[#This Row],[Days on Market]] &lt; 30,"Fast",IF(Table1[[#This Row],[Days on Market]]&lt;= 90,"Average", "Slow"))</f>
        <v>Average</v>
      </c>
      <c r="T466" t="str">
        <f>IF(Table1[[#This Row],[Price2]]&lt;500000,"Affordable",IF(Table1[[#This Row],[Price2]]&lt;1000000,"Mid range","Luxury"))</f>
        <v>Affordable</v>
      </c>
    </row>
    <row r="467" spans="1:20" x14ac:dyDescent="0.35">
      <c r="A467" s="3">
        <v>334971</v>
      </c>
      <c r="B467" s="2" t="s">
        <v>22</v>
      </c>
      <c r="C467">
        <v>78040</v>
      </c>
      <c r="D467" s="2" t="s">
        <v>23</v>
      </c>
      <c r="E467">
        <v>5</v>
      </c>
      <c r="F467">
        <v>2</v>
      </c>
      <c r="G467" s="4">
        <f>VALUE(SUBSTITUTE(SUBSTITUTE(Table1[[#This Row],[Price]],"$",""),",",""))</f>
        <v>334971</v>
      </c>
      <c r="H467" s="1">
        <f>Table1[[#This Row],[Price2]]/Table1[[#This Row],[Area]]</f>
        <v>171.95636550308009</v>
      </c>
      <c r="I467">
        <v>1948</v>
      </c>
      <c r="J467">
        <v>1970</v>
      </c>
      <c r="K467">
        <v>44</v>
      </c>
      <c r="L467" t="s">
        <v>30</v>
      </c>
      <c r="M467" t="s">
        <v>582</v>
      </c>
      <c r="N467" s="2" t="s">
        <v>3035</v>
      </c>
      <c r="O467" t="s">
        <v>3036</v>
      </c>
      <c r="P467" t="s">
        <v>26</v>
      </c>
      <c r="Q467">
        <v>171.95636550308009</v>
      </c>
      <c r="R467">
        <f ca="1">YEAR(TODAY())-Table1[[#This Row],[Year Built]]</f>
        <v>56</v>
      </c>
      <c r="S467" t="str">
        <f>IF(Table1[[#This Row],[Days on Market]] &lt; 30,"Fast",IF(Table1[[#This Row],[Days on Market]]&lt;= 90,"Average", "Slow"))</f>
        <v>Average</v>
      </c>
      <c r="T467" t="str">
        <f>IF(Table1[[#This Row],[Price2]]&lt;500000,"Affordable",IF(Table1[[#This Row],[Price2]]&lt;1000000,"Mid range","Luxury"))</f>
        <v>Affordable</v>
      </c>
    </row>
    <row r="468" spans="1:20" x14ac:dyDescent="0.35">
      <c r="A468" s="3">
        <v>335042</v>
      </c>
      <c r="B468" s="2" t="s">
        <v>22</v>
      </c>
      <c r="C468">
        <v>27772</v>
      </c>
      <c r="D468" s="2" t="s">
        <v>13</v>
      </c>
      <c r="E468">
        <v>2</v>
      </c>
      <c r="F468">
        <v>2</v>
      </c>
      <c r="G468" s="4">
        <f>VALUE(SUBSTITUTE(SUBSTITUTE(Table1[[#This Row],[Price]],"$",""),",",""))</f>
        <v>335042</v>
      </c>
      <c r="H468" s="1">
        <f>Table1[[#This Row],[Price2]]/Table1[[#This Row],[Area]]</f>
        <v>130.56975837879969</v>
      </c>
      <c r="I468">
        <v>2566</v>
      </c>
      <c r="J468">
        <v>1967</v>
      </c>
      <c r="K468">
        <v>42</v>
      </c>
      <c r="L468" t="s">
        <v>40</v>
      </c>
      <c r="M468" t="s">
        <v>1263</v>
      </c>
      <c r="N468" s="2" t="s">
        <v>3033</v>
      </c>
      <c r="O468" t="s">
        <v>3034</v>
      </c>
      <c r="P468" t="s">
        <v>26</v>
      </c>
      <c r="Q468">
        <v>130.56975837879969</v>
      </c>
      <c r="R468">
        <f ca="1">YEAR(TODAY())-Table1[[#This Row],[Year Built]]</f>
        <v>59</v>
      </c>
      <c r="S468" t="str">
        <f>IF(Table1[[#This Row],[Days on Market]] &lt; 30,"Fast",IF(Table1[[#This Row],[Days on Market]]&lt;= 90,"Average", "Slow"))</f>
        <v>Average</v>
      </c>
      <c r="T468" t="str">
        <f>IF(Table1[[#This Row],[Price2]]&lt;500000,"Affordable",IF(Table1[[#This Row],[Price2]]&lt;1000000,"Mid range","Luxury"))</f>
        <v>Affordable</v>
      </c>
    </row>
    <row r="469" spans="1:20" x14ac:dyDescent="0.35">
      <c r="A469" s="3">
        <v>336063</v>
      </c>
      <c r="B469" s="2" t="s">
        <v>12</v>
      </c>
      <c r="C469">
        <v>29957</v>
      </c>
      <c r="D469" s="2" t="s">
        <v>23</v>
      </c>
      <c r="E469">
        <v>3</v>
      </c>
      <c r="F469">
        <v>2</v>
      </c>
      <c r="G469" s="4">
        <f>VALUE(SUBSTITUTE(SUBSTITUTE(Table1[[#This Row],[Price]],"$",""),",",""))</f>
        <v>336063</v>
      </c>
      <c r="H469" s="1">
        <f>Table1[[#This Row],[Price2]]/Table1[[#This Row],[Area]]</f>
        <v>94.718996617812849</v>
      </c>
      <c r="I469">
        <v>3548</v>
      </c>
      <c r="J469">
        <v>1972</v>
      </c>
      <c r="K469">
        <v>20</v>
      </c>
      <c r="L469" t="s">
        <v>14</v>
      </c>
      <c r="M469" t="s">
        <v>2542</v>
      </c>
      <c r="N469" s="2" t="s">
        <v>3027</v>
      </c>
      <c r="O469" t="s">
        <v>3028</v>
      </c>
      <c r="P469" t="s">
        <v>16</v>
      </c>
      <c r="Q469">
        <v>94.718996617812849</v>
      </c>
      <c r="R469">
        <f ca="1">YEAR(TODAY())-Table1[[#This Row],[Year Built]]</f>
        <v>54</v>
      </c>
      <c r="S469" t="str">
        <f>IF(Table1[[#This Row],[Days on Market]] &lt; 30,"Fast",IF(Table1[[#This Row],[Days on Market]]&lt;= 90,"Average", "Slow"))</f>
        <v>Fast</v>
      </c>
      <c r="T469" t="str">
        <f>IF(Table1[[#This Row],[Price2]]&lt;500000,"Affordable",IF(Table1[[#This Row],[Price2]]&lt;1000000,"Mid range","Luxury"))</f>
        <v>Affordable</v>
      </c>
    </row>
    <row r="470" spans="1:20" x14ac:dyDescent="0.35">
      <c r="A470" s="3">
        <v>336640</v>
      </c>
      <c r="B470" s="2" t="s">
        <v>22</v>
      </c>
      <c r="C470">
        <v>14781</v>
      </c>
      <c r="D470" s="2" t="s">
        <v>29</v>
      </c>
      <c r="E470">
        <v>2</v>
      </c>
      <c r="F470">
        <v>2</v>
      </c>
      <c r="G470" s="4">
        <f>VALUE(SUBSTITUTE(SUBSTITUTE(Table1[[#This Row],[Price]],"$",""),",",""))</f>
        <v>336640</v>
      </c>
      <c r="H470" s="1">
        <f>Table1[[#This Row],[Price2]]/Table1[[#This Row],[Area]]</f>
        <v>525.1794071762871</v>
      </c>
      <c r="I470">
        <v>641</v>
      </c>
      <c r="J470">
        <v>1956</v>
      </c>
      <c r="K470">
        <v>95</v>
      </c>
      <c r="L470" t="s">
        <v>19</v>
      </c>
      <c r="M470" t="s">
        <v>1436</v>
      </c>
      <c r="N470" s="2" t="s">
        <v>3033</v>
      </c>
      <c r="O470" t="s">
        <v>3034</v>
      </c>
      <c r="P470" t="s">
        <v>26</v>
      </c>
      <c r="Q470">
        <v>525.1794071762871</v>
      </c>
      <c r="R470">
        <f ca="1">YEAR(TODAY())-Table1[[#This Row],[Year Built]]</f>
        <v>70</v>
      </c>
      <c r="S470" t="str">
        <f>IF(Table1[[#This Row],[Days on Market]] &lt; 30,"Fast",IF(Table1[[#This Row],[Days on Market]]&lt;= 90,"Average", "Slow"))</f>
        <v>Slow</v>
      </c>
      <c r="T470" t="str">
        <f>IF(Table1[[#This Row],[Price2]]&lt;500000,"Affordable",IF(Table1[[#This Row],[Price2]]&lt;1000000,"Mid range","Luxury"))</f>
        <v>Affordable</v>
      </c>
    </row>
    <row r="471" spans="1:20" x14ac:dyDescent="0.35">
      <c r="A471" s="3">
        <v>337139</v>
      </c>
      <c r="B471" s="2" t="s">
        <v>17</v>
      </c>
      <c r="C471">
        <v>14695</v>
      </c>
      <c r="D471" s="2" t="s">
        <v>35</v>
      </c>
      <c r="E471">
        <v>6</v>
      </c>
      <c r="F471">
        <v>3</v>
      </c>
      <c r="G471" s="4">
        <f>VALUE(SUBSTITUTE(SUBSTITUTE(Table1[[#This Row],[Price]],"$",""),",",""))</f>
        <v>337139</v>
      </c>
      <c r="H471" s="1">
        <f>Table1[[#This Row],[Price2]]/Table1[[#This Row],[Area]]</f>
        <v>280.48169717138103</v>
      </c>
      <c r="I471">
        <v>1202</v>
      </c>
      <c r="J471">
        <v>1975</v>
      </c>
      <c r="K471">
        <v>28</v>
      </c>
      <c r="L471" t="s">
        <v>40</v>
      </c>
      <c r="M471" t="s">
        <v>2226</v>
      </c>
      <c r="N471" s="2" t="s">
        <v>3033</v>
      </c>
      <c r="O471" t="s">
        <v>3034</v>
      </c>
      <c r="P471" t="s">
        <v>16</v>
      </c>
      <c r="Q471">
        <v>280.48169717138103</v>
      </c>
      <c r="R471">
        <f ca="1">YEAR(TODAY())-Table1[[#This Row],[Year Built]]</f>
        <v>51</v>
      </c>
      <c r="S471" t="str">
        <f>IF(Table1[[#This Row],[Days on Market]] &lt; 30,"Fast",IF(Table1[[#This Row],[Days on Market]]&lt;= 90,"Average", "Slow"))</f>
        <v>Fast</v>
      </c>
      <c r="T471" t="str">
        <f>IF(Table1[[#This Row],[Price2]]&lt;500000,"Affordable",IF(Table1[[#This Row],[Price2]]&lt;1000000,"Mid range","Luxury"))</f>
        <v>Affordable</v>
      </c>
    </row>
    <row r="472" spans="1:20" x14ac:dyDescent="0.35">
      <c r="A472" s="3">
        <v>337362</v>
      </c>
      <c r="B472" s="2" t="s">
        <v>34</v>
      </c>
      <c r="C472">
        <v>34436</v>
      </c>
      <c r="D472" s="2" t="s">
        <v>13</v>
      </c>
      <c r="E472">
        <v>5</v>
      </c>
      <c r="F472">
        <v>1</v>
      </c>
      <c r="G472" s="4">
        <f>VALUE(SUBSTITUTE(SUBSTITUTE(Table1[[#This Row],[Price]],"$",""),",",""))</f>
        <v>337362</v>
      </c>
      <c r="H472" s="1">
        <f>Table1[[#This Row],[Price2]]/Table1[[#This Row],[Area]]</f>
        <v>125.97535474234503</v>
      </c>
      <c r="I472">
        <v>2678</v>
      </c>
      <c r="J472">
        <v>1965</v>
      </c>
      <c r="K472">
        <v>19</v>
      </c>
      <c r="L472" t="s">
        <v>30</v>
      </c>
      <c r="M472" t="s">
        <v>1246</v>
      </c>
      <c r="N472" s="2" t="s">
        <v>3031</v>
      </c>
      <c r="O472" t="s">
        <v>3032</v>
      </c>
      <c r="P472" t="s">
        <v>16</v>
      </c>
      <c r="Q472">
        <v>125.97535474234503</v>
      </c>
      <c r="R472">
        <f ca="1">YEAR(TODAY())-Table1[[#This Row],[Year Built]]</f>
        <v>61</v>
      </c>
      <c r="S472" t="str">
        <f>IF(Table1[[#This Row],[Days on Market]] &lt; 30,"Fast",IF(Table1[[#This Row],[Days on Market]]&lt;= 90,"Average", "Slow"))</f>
        <v>Fast</v>
      </c>
      <c r="T472" t="str">
        <f>IF(Table1[[#This Row],[Price2]]&lt;500000,"Affordable",IF(Table1[[#This Row],[Price2]]&lt;1000000,"Mid range","Luxury"))</f>
        <v>Affordable</v>
      </c>
    </row>
    <row r="473" spans="1:20" x14ac:dyDescent="0.35">
      <c r="A473" s="3">
        <v>338004</v>
      </c>
      <c r="B473" s="2" t="s">
        <v>17</v>
      </c>
      <c r="C473">
        <v>58030</v>
      </c>
      <c r="D473" s="2" t="s">
        <v>35</v>
      </c>
      <c r="E473">
        <v>4</v>
      </c>
      <c r="F473">
        <v>4</v>
      </c>
      <c r="G473" s="4">
        <f>VALUE(SUBSTITUTE(SUBSTITUTE(Table1[[#This Row],[Price]],"$",""),",",""))</f>
        <v>338004</v>
      </c>
      <c r="H473" s="1">
        <f>Table1[[#This Row],[Price2]]/Table1[[#This Row],[Area]]</f>
        <v>87.316972358563675</v>
      </c>
      <c r="I473">
        <v>3871</v>
      </c>
      <c r="J473">
        <v>1981</v>
      </c>
      <c r="K473">
        <v>81</v>
      </c>
      <c r="L473" t="s">
        <v>30</v>
      </c>
      <c r="M473" t="s">
        <v>1879</v>
      </c>
      <c r="N473" s="2" t="s">
        <v>3035</v>
      </c>
      <c r="O473" t="s">
        <v>3036</v>
      </c>
      <c r="P473" t="s">
        <v>26</v>
      </c>
      <c r="Q473">
        <v>87.316972358563675</v>
      </c>
      <c r="R473">
        <f ca="1">YEAR(TODAY())-Table1[[#This Row],[Year Built]]</f>
        <v>45</v>
      </c>
      <c r="S473" t="str">
        <f>IF(Table1[[#This Row],[Days on Market]] &lt; 30,"Fast",IF(Table1[[#This Row],[Days on Market]]&lt;= 90,"Average", "Slow"))</f>
        <v>Average</v>
      </c>
      <c r="T473" t="str">
        <f>IF(Table1[[#This Row],[Price2]]&lt;500000,"Affordable",IF(Table1[[#This Row],[Price2]]&lt;1000000,"Mid range","Luxury"))</f>
        <v>Affordable</v>
      </c>
    </row>
    <row r="474" spans="1:20" x14ac:dyDescent="0.35">
      <c r="A474" s="3">
        <v>338237</v>
      </c>
      <c r="B474" s="2" t="s">
        <v>17</v>
      </c>
      <c r="C474">
        <v>88057</v>
      </c>
      <c r="D474" s="2" t="s">
        <v>29</v>
      </c>
      <c r="E474">
        <v>5</v>
      </c>
      <c r="F474">
        <v>2</v>
      </c>
      <c r="G474" s="4">
        <f>VALUE(SUBSTITUTE(SUBSTITUTE(Table1[[#This Row],[Price]],"$",""),",",""))</f>
        <v>338237</v>
      </c>
      <c r="H474" s="1">
        <f>Table1[[#This Row],[Price2]]/Table1[[#This Row],[Area]]</f>
        <v>436.43483870967742</v>
      </c>
      <c r="I474">
        <v>775</v>
      </c>
      <c r="J474">
        <v>1951</v>
      </c>
      <c r="K474">
        <v>65</v>
      </c>
      <c r="L474" t="s">
        <v>14</v>
      </c>
      <c r="M474" t="s">
        <v>2878</v>
      </c>
      <c r="N474" s="2" t="s">
        <v>3035</v>
      </c>
      <c r="O474" t="s">
        <v>3036</v>
      </c>
      <c r="P474" t="s">
        <v>21</v>
      </c>
      <c r="Q474">
        <v>436.43483870967742</v>
      </c>
      <c r="R474">
        <f ca="1">YEAR(TODAY())-Table1[[#This Row],[Year Built]]</f>
        <v>75</v>
      </c>
      <c r="S474" t="str">
        <f>IF(Table1[[#This Row],[Days on Market]] &lt; 30,"Fast",IF(Table1[[#This Row],[Days on Market]]&lt;= 90,"Average", "Slow"))</f>
        <v>Average</v>
      </c>
      <c r="T474" t="str">
        <f>IF(Table1[[#This Row],[Price2]]&lt;500000,"Affordable",IF(Table1[[#This Row],[Price2]]&lt;1000000,"Mid range","Luxury"))</f>
        <v>Affordable</v>
      </c>
    </row>
    <row r="475" spans="1:20" x14ac:dyDescent="0.35">
      <c r="A475" s="3">
        <v>339064</v>
      </c>
      <c r="B475" s="2" t="s">
        <v>27</v>
      </c>
      <c r="C475">
        <v>71720</v>
      </c>
      <c r="D475" s="2" t="s">
        <v>29</v>
      </c>
      <c r="E475">
        <v>4</v>
      </c>
      <c r="F475">
        <v>1</v>
      </c>
      <c r="G475" s="4">
        <f>VALUE(SUBSTITUTE(SUBSTITUTE(Table1[[#This Row],[Price]],"$",""),",",""))</f>
        <v>339064</v>
      </c>
      <c r="H475" s="1">
        <f>Table1[[#This Row],[Price2]]/Table1[[#This Row],[Area]]</f>
        <v>231.44300341296929</v>
      </c>
      <c r="I475">
        <v>1465</v>
      </c>
      <c r="J475">
        <v>1994</v>
      </c>
      <c r="K475">
        <v>74</v>
      </c>
      <c r="L475" t="s">
        <v>30</v>
      </c>
      <c r="M475" t="s">
        <v>1418</v>
      </c>
      <c r="N475" s="2" t="s">
        <v>3035</v>
      </c>
      <c r="O475" t="s">
        <v>3036</v>
      </c>
      <c r="P475" t="s">
        <v>26</v>
      </c>
      <c r="Q475">
        <v>231.44300341296929</v>
      </c>
      <c r="R475">
        <f ca="1">YEAR(TODAY())-Table1[[#This Row],[Year Built]]</f>
        <v>32</v>
      </c>
      <c r="S475" t="str">
        <f>IF(Table1[[#This Row],[Days on Market]] &lt; 30,"Fast",IF(Table1[[#This Row],[Days on Market]]&lt;= 90,"Average", "Slow"))</f>
        <v>Average</v>
      </c>
      <c r="T475" t="str">
        <f>IF(Table1[[#This Row],[Price2]]&lt;500000,"Affordable",IF(Table1[[#This Row],[Price2]]&lt;1000000,"Mid range","Luxury"))</f>
        <v>Affordable</v>
      </c>
    </row>
    <row r="476" spans="1:20" x14ac:dyDescent="0.35">
      <c r="A476" s="3">
        <v>339553</v>
      </c>
      <c r="B476" s="2" t="s">
        <v>27</v>
      </c>
      <c r="C476">
        <v>65697</v>
      </c>
      <c r="D476" s="2" t="s">
        <v>13</v>
      </c>
      <c r="E476">
        <v>1</v>
      </c>
      <c r="F476">
        <v>1</v>
      </c>
      <c r="G476" s="4">
        <f>VALUE(SUBSTITUTE(SUBSTITUTE(Table1[[#This Row],[Price]],"$",""),",",""))</f>
        <v>339553</v>
      </c>
      <c r="H476" s="1">
        <f>Table1[[#This Row],[Price2]]/Table1[[#This Row],[Area]]</f>
        <v>121.79088952654233</v>
      </c>
      <c r="I476">
        <v>2788</v>
      </c>
      <c r="J476">
        <v>2011</v>
      </c>
      <c r="K476">
        <v>52</v>
      </c>
      <c r="L476" t="s">
        <v>40</v>
      </c>
      <c r="M476" t="s">
        <v>2831</v>
      </c>
      <c r="N476" s="2" t="s">
        <v>3029</v>
      </c>
      <c r="O476" t="s">
        <v>3030</v>
      </c>
      <c r="P476" t="s">
        <v>21</v>
      </c>
      <c r="Q476">
        <v>121.79088952654233</v>
      </c>
      <c r="R476">
        <f ca="1">YEAR(TODAY())-Table1[[#This Row],[Year Built]]</f>
        <v>15</v>
      </c>
      <c r="S476" t="str">
        <f>IF(Table1[[#This Row],[Days on Market]] &lt; 30,"Fast",IF(Table1[[#This Row],[Days on Market]]&lt;= 90,"Average", "Slow"))</f>
        <v>Average</v>
      </c>
      <c r="T476" t="str">
        <f>IF(Table1[[#This Row],[Price2]]&lt;500000,"Affordable",IF(Table1[[#This Row],[Price2]]&lt;1000000,"Mid range","Luxury"))</f>
        <v>Affordable</v>
      </c>
    </row>
    <row r="477" spans="1:20" x14ac:dyDescent="0.35">
      <c r="A477" s="3">
        <v>339783</v>
      </c>
      <c r="B477" s="2" t="s">
        <v>22</v>
      </c>
      <c r="C477">
        <v>41014</v>
      </c>
      <c r="D477" s="2" t="s">
        <v>35</v>
      </c>
      <c r="E477">
        <v>1</v>
      </c>
      <c r="F477">
        <v>4</v>
      </c>
      <c r="G477" s="4">
        <f>VALUE(SUBSTITUTE(SUBSTITUTE(Table1[[#This Row],[Price]],"$",""),",",""))</f>
        <v>339783</v>
      </c>
      <c r="H477" s="1">
        <f>Table1[[#This Row],[Price2]]/Table1[[#This Row],[Area]]</f>
        <v>101.54901374775852</v>
      </c>
      <c r="I477">
        <v>3346</v>
      </c>
      <c r="J477">
        <v>1953</v>
      </c>
      <c r="K477">
        <v>100</v>
      </c>
      <c r="L477" t="s">
        <v>52</v>
      </c>
      <c r="M477" t="s">
        <v>263</v>
      </c>
      <c r="N477" s="2" t="s">
        <v>3027</v>
      </c>
      <c r="O477" t="s">
        <v>3028</v>
      </c>
      <c r="P477" t="s">
        <v>26</v>
      </c>
      <c r="Q477">
        <v>101.54901374775852</v>
      </c>
      <c r="R477">
        <f ca="1">YEAR(TODAY())-Table1[[#This Row],[Year Built]]</f>
        <v>73</v>
      </c>
      <c r="S477" t="str">
        <f>IF(Table1[[#This Row],[Days on Market]] &lt; 30,"Fast",IF(Table1[[#This Row],[Days on Market]]&lt;= 90,"Average", "Slow"))</f>
        <v>Slow</v>
      </c>
      <c r="T477" t="str">
        <f>IF(Table1[[#This Row],[Price2]]&lt;500000,"Affordable",IF(Table1[[#This Row],[Price2]]&lt;1000000,"Mid range","Luxury"))</f>
        <v>Affordable</v>
      </c>
    </row>
    <row r="478" spans="1:20" x14ac:dyDescent="0.35">
      <c r="A478" s="3">
        <v>339864</v>
      </c>
      <c r="B478" s="2" t="s">
        <v>17</v>
      </c>
      <c r="C478">
        <v>63885</v>
      </c>
      <c r="D478" s="2" t="s">
        <v>35</v>
      </c>
      <c r="E478">
        <v>3</v>
      </c>
      <c r="F478">
        <v>1</v>
      </c>
      <c r="G478" s="4">
        <f>VALUE(SUBSTITUTE(SUBSTITUTE(Table1[[#This Row],[Price]],"$",""),",",""))</f>
        <v>339864</v>
      </c>
      <c r="H478" s="1">
        <f>Table1[[#This Row],[Price2]]/Table1[[#This Row],[Area]]</f>
        <v>94.828125</v>
      </c>
      <c r="I478">
        <v>3584</v>
      </c>
      <c r="J478">
        <v>1968</v>
      </c>
      <c r="K478">
        <v>109</v>
      </c>
      <c r="L478" t="s">
        <v>14</v>
      </c>
      <c r="M478" t="s">
        <v>171</v>
      </c>
      <c r="N478" s="2" t="s">
        <v>3027</v>
      </c>
      <c r="O478" t="s">
        <v>3028</v>
      </c>
      <c r="P478" t="s">
        <v>21</v>
      </c>
      <c r="Q478">
        <v>94.828125</v>
      </c>
      <c r="R478">
        <f ca="1">YEAR(TODAY())-Table1[[#This Row],[Year Built]]</f>
        <v>58</v>
      </c>
      <c r="S478" t="str">
        <f>IF(Table1[[#This Row],[Days on Market]] &lt; 30,"Fast",IF(Table1[[#This Row],[Days on Market]]&lt;= 90,"Average", "Slow"))</f>
        <v>Slow</v>
      </c>
      <c r="T478" t="str">
        <f>IF(Table1[[#This Row],[Price2]]&lt;500000,"Affordable",IF(Table1[[#This Row],[Price2]]&lt;1000000,"Mid range","Luxury"))</f>
        <v>Affordable</v>
      </c>
    </row>
    <row r="479" spans="1:20" x14ac:dyDescent="0.35">
      <c r="A479" s="3">
        <v>340199</v>
      </c>
      <c r="B479" s="2" t="s">
        <v>22</v>
      </c>
      <c r="C479">
        <v>84786</v>
      </c>
      <c r="D479" s="2" t="s">
        <v>13</v>
      </c>
      <c r="E479">
        <v>2</v>
      </c>
      <c r="F479">
        <v>4</v>
      </c>
      <c r="G479" s="4">
        <f>VALUE(SUBSTITUTE(SUBSTITUTE(Table1[[#This Row],[Price]],"$",""),",",""))</f>
        <v>340199</v>
      </c>
      <c r="H479" s="1">
        <f>Table1[[#This Row],[Price2]]/Table1[[#This Row],[Area]]</f>
        <v>101.40059612518628</v>
      </c>
      <c r="I479">
        <v>3355</v>
      </c>
      <c r="J479">
        <v>2018</v>
      </c>
      <c r="K479">
        <v>43</v>
      </c>
      <c r="L479" t="s">
        <v>30</v>
      </c>
      <c r="M479" t="s">
        <v>2890</v>
      </c>
      <c r="N479" s="2" t="s">
        <v>3035</v>
      </c>
      <c r="O479" t="s">
        <v>3036</v>
      </c>
      <c r="P479" t="s">
        <v>21</v>
      </c>
      <c r="Q479">
        <v>101.40059612518628</v>
      </c>
      <c r="R479">
        <f ca="1">YEAR(TODAY())-Table1[[#This Row],[Year Built]]</f>
        <v>8</v>
      </c>
      <c r="S479" t="str">
        <f>IF(Table1[[#This Row],[Days on Market]] &lt; 30,"Fast",IF(Table1[[#This Row],[Days on Market]]&lt;= 90,"Average", "Slow"))</f>
        <v>Average</v>
      </c>
      <c r="T479" t="str">
        <f>IF(Table1[[#This Row],[Price2]]&lt;500000,"Affordable",IF(Table1[[#This Row],[Price2]]&lt;1000000,"Mid range","Luxury"))</f>
        <v>Affordable</v>
      </c>
    </row>
    <row r="480" spans="1:20" x14ac:dyDescent="0.35">
      <c r="A480" s="3">
        <v>340574</v>
      </c>
      <c r="B480" s="2" t="s">
        <v>22</v>
      </c>
      <c r="C480">
        <v>37285</v>
      </c>
      <c r="D480" s="2" t="s">
        <v>23</v>
      </c>
      <c r="E480">
        <v>4</v>
      </c>
      <c r="F480">
        <v>3</v>
      </c>
      <c r="G480" s="4">
        <f>VALUE(SUBSTITUTE(SUBSTITUTE(Table1[[#This Row],[Price]],"$",""),",",""))</f>
        <v>340574</v>
      </c>
      <c r="H480" s="1">
        <f>Table1[[#This Row],[Price2]]/Table1[[#This Row],[Area]]</f>
        <v>225.54569536423841</v>
      </c>
      <c r="I480">
        <v>1510</v>
      </c>
      <c r="J480">
        <v>1970</v>
      </c>
      <c r="K480">
        <v>69</v>
      </c>
      <c r="L480" t="s">
        <v>19</v>
      </c>
      <c r="M480" t="s">
        <v>1176</v>
      </c>
      <c r="N480" s="2" t="s">
        <v>3029</v>
      </c>
      <c r="O480" t="s">
        <v>3030</v>
      </c>
      <c r="P480" t="s">
        <v>16</v>
      </c>
      <c r="Q480">
        <v>225.54569536423841</v>
      </c>
      <c r="R480">
        <f ca="1">YEAR(TODAY())-Table1[[#This Row],[Year Built]]</f>
        <v>56</v>
      </c>
      <c r="S480" t="str">
        <f>IF(Table1[[#This Row],[Days on Market]] &lt; 30,"Fast",IF(Table1[[#This Row],[Days on Market]]&lt;= 90,"Average", "Slow"))</f>
        <v>Average</v>
      </c>
      <c r="T480" t="str">
        <f>IF(Table1[[#This Row],[Price2]]&lt;500000,"Affordable",IF(Table1[[#This Row],[Price2]]&lt;1000000,"Mid range","Luxury"))</f>
        <v>Affordable</v>
      </c>
    </row>
    <row r="481" spans="1:20" x14ac:dyDescent="0.35">
      <c r="A481" s="3">
        <v>340762</v>
      </c>
      <c r="B481" s="2" t="s">
        <v>12</v>
      </c>
      <c r="C481">
        <v>24650</v>
      </c>
      <c r="D481" s="2" t="s">
        <v>13</v>
      </c>
      <c r="E481">
        <v>4</v>
      </c>
      <c r="F481">
        <v>1</v>
      </c>
      <c r="G481" s="4">
        <f>VALUE(SUBSTITUTE(SUBSTITUTE(Table1[[#This Row],[Price]],"$",""),",",""))</f>
        <v>340762</v>
      </c>
      <c r="H481" s="1">
        <f>Table1[[#This Row],[Price2]]/Table1[[#This Row],[Area]]</f>
        <v>357.56768100734524</v>
      </c>
      <c r="I481">
        <v>953</v>
      </c>
      <c r="J481">
        <v>2015</v>
      </c>
      <c r="K481">
        <v>90</v>
      </c>
      <c r="L481" t="s">
        <v>30</v>
      </c>
      <c r="M481" t="s">
        <v>1781</v>
      </c>
      <c r="N481" s="2" t="s">
        <v>3035</v>
      </c>
      <c r="O481" t="s">
        <v>3036</v>
      </c>
      <c r="P481" t="s">
        <v>21</v>
      </c>
      <c r="Q481">
        <v>357.56768100734524</v>
      </c>
      <c r="R481">
        <f ca="1">YEAR(TODAY())-Table1[[#This Row],[Year Built]]</f>
        <v>11</v>
      </c>
      <c r="S481" t="str">
        <f>IF(Table1[[#This Row],[Days on Market]] &lt; 30,"Fast",IF(Table1[[#This Row],[Days on Market]]&lt;= 90,"Average", "Slow"))</f>
        <v>Average</v>
      </c>
      <c r="T481" t="str">
        <f>IF(Table1[[#This Row],[Price2]]&lt;500000,"Affordable",IF(Table1[[#This Row],[Price2]]&lt;1000000,"Mid range","Luxury"))</f>
        <v>Affordable</v>
      </c>
    </row>
    <row r="482" spans="1:20" x14ac:dyDescent="0.35">
      <c r="A482" s="3">
        <v>340904</v>
      </c>
      <c r="B482" s="2" t="s">
        <v>27</v>
      </c>
      <c r="C482">
        <v>78842</v>
      </c>
      <c r="D482" s="2" t="s">
        <v>23</v>
      </c>
      <c r="E482">
        <v>2</v>
      </c>
      <c r="F482">
        <v>3</v>
      </c>
      <c r="G482" s="4">
        <f>VALUE(SUBSTITUTE(SUBSTITUTE(Table1[[#This Row],[Price]],"$",""),",",""))</f>
        <v>340904</v>
      </c>
      <c r="H482" s="1">
        <f>Table1[[#This Row],[Price2]]/Table1[[#This Row],[Area]]</f>
        <v>93.066885066885064</v>
      </c>
      <c r="I482">
        <v>3663</v>
      </c>
      <c r="J482">
        <v>1971</v>
      </c>
      <c r="K482">
        <v>102</v>
      </c>
      <c r="L482" t="s">
        <v>19</v>
      </c>
      <c r="M482" t="s">
        <v>2811</v>
      </c>
      <c r="N482" s="2" t="s">
        <v>3035</v>
      </c>
      <c r="O482" t="s">
        <v>3036</v>
      </c>
      <c r="P482" t="s">
        <v>21</v>
      </c>
      <c r="Q482">
        <v>93.066885066885064</v>
      </c>
      <c r="R482">
        <f ca="1">YEAR(TODAY())-Table1[[#This Row],[Year Built]]</f>
        <v>55</v>
      </c>
      <c r="S482" t="str">
        <f>IF(Table1[[#This Row],[Days on Market]] &lt; 30,"Fast",IF(Table1[[#This Row],[Days on Market]]&lt;= 90,"Average", "Slow"))</f>
        <v>Slow</v>
      </c>
      <c r="T482" t="str">
        <f>IF(Table1[[#This Row],[Price2]]&lt;500000,"Affordable",IF(Table1[[#This Row],[Price2]]&lt;1000000,"Mid range","Luxury"))</f>
        <v>Affordable</v>
      </c>
    </row>
    <row r="483" spans="1:20" x14ac:dyDescent="0.35">
      <c r="A483" s="3">
        <v>341523</v>
      </c>
      <c r="B483" s="2" t="s">
        <v>27</v>
      </c>
      <c r="C483">
        <v>57914</v>
      </c>
      <c r="D483" s="2" t="s">
        <v>29</v>
      </c>
      <c r="E483">
        <v>6</v>
      </c>
      <c r="F483">
        <v>4</v>
      </c>
      <c r="G483" s="4">
        <f>VALUE(SUBSTITUTE(SUBSTITUTE(Table1[[#This Row],[Price]],"$",""),",",""))</f>
        <v>341523</v>
      </c>
      <c r="H483" s="1">
        <f>Table1[[#This Row],[Price2]]/Table1[[#This Row],[Area]]</f>
        <v>86.069304435483872</v>
      </c>
      <c r="I483">
        <v>3968</v>
      </c>
      <c r="J483">
        <v>2019</v>
      </c>
      <c r="K483">
        <v>50</v>
      </c>
      <c r="L483" t="s">
        <v>30</v>
      </c>
      <c r="M483" t="s">
        <v>2459</v>
      </c>
      <c r="N483" s="2" t="s">
        <v>3035</v>
      </c>
      <c r="O483" t="s">
        <v>3036</v>
      </c>
      <c r="P483" t="s">
        <v>21</v>
      </c>
      <c r="Q483">
        <v>86.069304435483872</v>
      </c>
      <c r="R483">
        <f ca="1">YEAR(TODAY())-Table1[[#This Row],[Year Built]]</f>
        <v>7</v>
      </c>
      <c r="S483" t="str">
        <f>IF(Table1[[#This Row],[Days on Market]] &lt; 30,"Fast",IF(Table1[[#This Row],[Days on Market]]&lt;= 90,"Average", "Slow"))</f>
        <v>Average</v>
      </c>
      <c r="T483" t="str">
        <f>IF(Table1[[#This Row],[Price2]]&lt;500000,"Affordable",IF(Table1[[#This Row],[Price2]]&lt;1000000,"Mid range","Luxury"))</f>
        <v>Affordable</v>
      </c>
    </row>
    <row r="484" spans="1:20" x14ac:dyDescent="0.35">
      <c r="A484" s="3">
        <v>341634</v>
      </c>
      <c r="B484" s="2" t="s">
        <v>27</v>
      </c>
      <c r="C484">
        <v>54611</v>
      </c>
      <c r="D484" s="2" t="s">
        <v>13</v>
      </c>
      <c r="E484">
        <v>3</v>
      </c>
      <c r="F484">
        <v>2</v>
      </c>
      <c r="G484" s="4">
        <f>VALUE(SUBSTITUTE(SUBSTITUTE(Table1[[#This Row],[Price]],"$",""),",",""))</f>
        <v>341634</v>
      </c>
      <c r="H484" s="1">
        <f>Table1[[#This Row],[Price2]]/Table1[[#This Row],[Area]]</f>
        <v>98.396889400921665</v>
      </c>
      <c r="I484">
        <v>3472</v>
      </c>
      <c r="J484">
        <v>1984</v>
      </c>
      <c r="K484">
        <v>47</v>
      </c>
      <c r="L484" t="s">
        <v>52</v>
      </c>
      <c r="M484" t="s">
        <v>2100</v>
      </c>
      <c r="N484" s="2" t="s">
        <v>3035</v>
      </c>
      <c r="O484" t="s">
        <v>3036</v>
      </c>
      <c r="P484" t="s">
        <v>16</v>
      </c>
      <c r="Q484">
        <v>98.396889400921665</v>
      </c>
      <c r="R484">
        <f ca="1">YEAR(TODAY())-Table1[[#This Row],[Year Built]]</f>
        <v>42</v>
      </c>
      <c r="S484" t="str">
        <f>IF(Table1[[#This Row],[Days on Market]] &lt; 30,"Fast",IF(Table1[[#This Row],[Days on Market]]&lt;= 90,"Average", "Slow"))</f>
        <v>Average</v>
      </c>
      <c r="T484" t="str">
        <f>IF(Table1[[#This Row],[Price2]]&lt;500000,"Affordable",IF(Table1[[#This Row],[Price2]]&lt;1000000,"Mid range","Luxury"))</f>
        <v>Affordable</v>
      </c>
    </row>
    <row r="485" spans="1:20" x14ac:dyDescent="0.35">
      <c r="A485" s="3">
        <v>342663</v>
      </c>
      <c r="B485" s="2" t="s">
        <v>12</v>
      </c>
      <c r="C485">
        <v>69770</v>
      </c>
      <c r="D485" s="2" t="s">
        <v>29</v>
      </c>
      <c r="E485">
        <v>4</v>
      </c>
      <c r="F485">
        <v>4</v>
      </c>
      <c r="G485" s="4">
        <f>VALUE(SUBSTITUTE(SUBSTITUTE(Table1[[#This Row],[Price]],"$",""),",",""))</f>
        <v>342663</v>
      </c>
      <c r="H485" s="1">
        <f>Table1[[#This Row],[Price2]]/Table1[[#This Row],[Area]]</f>
        <v>97.931694769934268</v>
      </c>
      <c r="I485">
        <v>3499</v>
      </c>
      <c r="J485">
        <v>1985</v>
      </c>
      <c r="K485">
        <v>86</v>
      </c>
      <c r="L485" t="s">
        <v>30</v>
      </c>
      <c r="M485" t="s">
        <v>2570</v>
      </c>
      <c r="N485" s="2" t="s">
        <v>3031</v>
      </c>
      <c r="O485" t="s">
        <v>3032</v>
      </c>
      <c r="P485" t="s">
        <v>16</v>
      </c>
      <c r="Q485">
        <v>97.931694769934268</v>
      </c>
      <c r="R485">
        <f ca="1">YEAR(TODAY())-Table1[[#This Row],[Year Built]]</f>
        <v>41</v>
      </c>
      <c r="S485" t="str">
        <f>IF(Table1[[#This Row],[Days on Market]] &lt; 30,"Fast",IF(Table1[[#This Row],[Days on Market]]&lt;= 90,"Average", "Slow"))</f>
        <v>Average</v>
      </c>
      <c r="T485" t="str">
        <f>IF(Table1[[#This Row],[Price2]]&lt;500000,"Affordable",IF(Table1[[#This Row],[Price2]]&lt;1000000,"Mid range","Luxury"))</f>
        <v>Affordable</v>
      </c>
    </row>
    <row r="486" spans="1:20" x14ac:dyDescent="0.35">
      <c r="A486" s="3">
        <v>344668</v>
      </c>
      <c r="B486" s="2" t="s">
        <v>34</v>
      </c>
      <c r="C486">
        <v>43522</v>
      </c>
      <c r="D486" s="2" t="s">
        <v>29</v>
      </c>
      <c r="E486">
        <v>4</v>
      </c>
      <c r="F486">
        <v>1</v>
      </c>
      <c r="G486" s="4">
        <f>VALUE(SUBSTITUTE(SUBSTITUTE(Table1[[#This Row],[Price]],"$",""),",",""))</f>
        <v>344668</v>
      </c>
      <c r="H486" s="1">
        <f>Table1[[#This Row],[Price2]]/Table1[[#This Row],[Area]]</f>
        <v>196.84066247858365</v>
      </c>
      <c r="I486">
        <v>1751</v>
      </c>
      <c r="J486">
        <v>1956</v>
      </c>
      <c r="K486">
        <v>71</v>
      </c>
      <c r="L486" t="s">
        <v>52</v>
      </c>
      <c r="M486" t="s">
        <v>1346</v>
      </c>
      <c r="N486" s="2" t="s">
        <v>3031</v>
      </c>
      <c r="O486" t="s">
        <v>3032</v>
      </c>
      <c r="P486" t="s">
        <v>21</v>
      </c>
      <c r="Q486">
        <v>196.84066247858365</v>
      </c>
      <c r="R486">
        <f ca="1">YEAR(TODAY())-Table1[[#This Row],[Year Built]]</f>
        <v>70</v>
      </c>
      <c r="S486" t="str">
        <f>IF(Table1[[#This Row],[Days on Market]] &lt; 30,"Fast",IF(Table1[[#This Row],[Days on Market]]&lt;= 90,"Average", "Slow"))</f>
        <v>Average</v>
      </c>
      <c r="T486" t="str">
        <f>IF(Table1[[#This Row],[Price2]]&lt;500000,"Affordable",IF(Table1[[#This Row],[Price2]]&lt;1000000,"Mid range","Luxury"))</f>
        <v>Affordable</v>
      </c>
    </row>
    <row r="487" spans="1:20" x14ac:dyDescent="0.35">
      <c r="A487" s="3">
        <v>344950</v>
      </c>
      <c r="B487" s="2" t="s">
        <v>27</v>
      </c>
      <c r="C487">
        <v>56574</v>
      </c>
      <c r="D487" s="2" t="s">
        <v>35</v>
      </c>
      <c r="E487">
        <v>6</v>
      </c>
      <c r="F487">
        <v>4</v>
      </c>
      <c r="G487" s="4">
        <f>VALUE(SUBSTITUTE(SUBSTITUTE(Table1[[#This Row],[Price]],"$",""),",",""))</f>
        <v>344950</v>
      </c>
      <c r="H487" s="1">
        <f>Table1[[#This Row],[Price2]]/Table1[[#This Row],[Area]]</f>
        <v>221.12179487179486</v>
      </c>
      <c r="I487">
        <v>1560</v>
      </c>
      <c r="J487">
        <v>2021</v>
      </c>
      <c r="K487">
        <v>2</v>
      </c>
      <c r="L487" t="s">
        <v>14</v>
      </c>
      <c r="M487" t="s">
        <v>1012</v>
      </c>
      <c r="N487" s="2" t="s">
        <v>3031</v>
      </c>
      <c r="O487" t="s">
        <v>3032</v>
      </c>
      <c r="P487" t="s">
        <v>16</v>
      </c>
      <c r="Q487">
        <v>221.12179487179486</v>
      </c>
      <c r="R487">
        <f ca="1">YEAR(TODAY())-Table1[[#This Row],[Year Built]]</f>
        <v>5</v>
      </c>
      <c r="S487" t="str">
        <f>IF(Table1[[#This Row],[Days on Market]] &lt; 30,"Fast",IF(Table1[[#This Row],[Days on Market]]&lt;= 90,"Average", "Slow"))</f>
        <v>Fast</v>
      </c>
      <c r="T487" t="str">
        <f>IF(Table1[[#This Row],[Price2]]&lt;500000,"Affordable",IF(Table1[[#This Row],[Price2]]&lt;1000000,"Mid range","Luxury"))</f>
        <v>Affordable</v>
      </c>
    </row>
    <row r="488" spans="1:20" x14ac:dyDescent="0.35">
      <c r="A488" s="3">
        <v>345717</v>
      </c>
      <c r="B488" s="2" t="s">
        <v>34</v>
      </c>
      <c r="C488">
        <v>87803</v>
      </c>
      <c r="D488" s="2" t="s">
        <v>23</v>
      </c>
      <c r="E488">
        <v>3</v>
      </c>
      <c r="F488">
        <v>4</v>
      </c>
      <c r="G488" s="4">
        <f>VALUE(SUBSTITUTE(SUBSTITUTE(Table1[[#This Row],[Price]],"$",""),",",""))</f>
        <v>345717</v>
      </c>
      <c r="H488" s="1">
        <f>Table1[[#This Row],[Price2]]/Table1[[#This Row],[Area]]</f>
        <v>278.13113435237329</v>
      </c>
      <c r="I488">
        <v>1243</v>
      </c>
      <c r="J488">
        <v>2008</v>
      </c>
      <c r="K488">
        <v>36</v>
      </c>
      <c r="L488" t="s">
        <v>52</v>
      </c>
      <c r="M488" t="s">
        <v>2168</v>
      </c>
      <c r="N488" s="2" t="s">
        <v>3027</v>
      </c>
      <c r="O488" t="s">
        <v>3028</v>
      </c>
      <c r="P488" t="s">
        <v>26</v>
      </c>
      <c r="Q488">
        <v>278.13113435237329</v>
      </c>
      <c r="R488">
        <f ca="1">YEAR(TODAY())-Table1[[#This Row],[Year Built]]</f>
        <v>18</v>
      </c>
      <c r="S488" t="str">
        <f>IF(Table1[[#This Row],[Days on Market]] &lt; 30,"Fast",IF(Table1[[#This Row],[Days on Market]]&lt;= 90,"Average", "Slow"))</f>
        <v>Average</v>
      </c>
      <c r="T488" t="str">
        <f>IF(Table1[[#This Row],[Price2]]&lt;500000,"Affordable",IF(Table1[[#This Row],[Price2]]&lt;1000000,"Mid range","Luxury"))</f>
        <v>Affordable</v>
      </c>
    </row>
    <row r="489" spans="1:20" x14ac:dyDescent="0.35">
      <c r="A489" s="3">
        <v>347172</v>
      </c>
      <c r="B489" s="2" t="s">
        <v>27</v>
      </c>
      <c r="C489">
        <v>66497</v>
      </c>
      <c r="D489" s="2" t="s">
        <v>13</v>
      </c>
      <c r="E489">
        <v>5</v>
      </c>
      <c r="F489">
        <v>1</v>
      </c>
      <c r="G489" s="4">
        <f>VALUE(SUBSTITUTE(SUBSTITUTE(Table1[[#This Row],[Price]],"$",""),",",""))</f>
        <v>347172</v>
      </c>
      <c r="H489" s="1">
        <f>Table1[[#This Row],[Price2]]/Table1[[#This Row],[Area]]</f>
        <v>95.429356789444753</v>
      </c>
      <c r="I489">
        <v>3638</v>
      </c>
      <c r="J489">
        <v>2017</v>
      </c>
      <c r="K489">
        <v>43</v>
      </c>
      <c r="L489" t="s">
        <v>40</v>
      </c>
      <c r="M489" t="s">
        <v>130</v>
      </c>
      <c r="N489" s="2" t="s">
        <v>3029</v>
      </c>
      <c r="O489" t="s">
        <v>3030</v>
      </c>
      <c r="P489" t="s">
        <v>21</v>
      </c>
      <c r="Q489">
        <v>95.429356789444753</v>
      </c>
      <c r="R489">
        <f ca="1">YEAR(TODAY())-Table1[[#This Row],[Year Built]]</f>
        <v>9</v>
      </c>
      <c r="S489" t="str">
        <f>IF(Table1[[#This Row],[Days on Market]] &lt; 30,"Fast",IF(Table1[[#This Row],[Days on Market]]&lt;= 90,"Average", "Slow"))</f>
        <v>Average</v>
      </c>
      <c r="T489" t="str">
        <f>IF(Table1[[#This Row],[Price2]]&lt;500000,"Affordable",IF(Table1[[#This Row],[Price2]]&lt;1000000,"Mid range","Luxury"))</f>
        <v>Affordable</v>
      </c>
    </row>
    <row r="490" spans="1:20" x14ac:dyDescent="0.35">
      <c r="A490" s="3">
        <v>347514</v>
      </c>
      <c r="B490" s="2" t="s">
        <v>34</v>
      </c>
      <c r="C490">
        <v>61889</v>
      </c>
      <c r="D490" s="2" t="s">
        <v>18</v>
      </c>
      <c r="E490">
        <v>3</v>
      </c>
      <c r="F490">
        <v>2</v>
      </c>
      <c r="G490" s="4">
        <f>VALUE(SUBSTITUTE(SUBSTITUTE(Table1[[#This Row],[Price]],"$",""),",",""))</f>
        <v>347514</v>
      </c>
      <c r="H490" s="1">
        <f>Table1[[#This Row],[Price2]]/Table1[[#This Row],[Area]]</f>
        <v>230.14172185430465</v>
      </c>
      <c r="I490">
        <v>1510</v>
      </c>
      <c r="J490">
        <v>2001</v>
      </c>
      <c r="K490">
        <v>77</v>
      </c>
      <c r="L490" t="s">
        <v>52</v>
      </c>
      <c r="M490" t="s">
        <v>1903</v>
      </c>
      <c r="N490" s="2" t="s">
        <v>3027</v>
      </c>
      <c r="O490" t="s">
        <v>3028</v>
      </c>
      <c r="P490" t="s">
        <v>21</v>
      </c>
      <c r="Q490">
        <v>230.14172185430465</v>
      </c>
      <c r="R490">
        <f ca="1">YEAR(TODAY())-Table1[[#This Row],[Year Built]]</f>
        <v>25</v>
      </c>
      <c r="S490" t="str">
        <f>IF(Table1[[#This Row],[Days on Market]] &lt; 30,"Fast",IF(Table1[[#This Row],[Days on Market]]&lt;= 90,"Average", "Slow"))</f>
        <v>Average</v>
      </c>
      <c r="T490" t="str">
        <f>IF(Table1[[#This Row],[Price2]]&lt;500000,"Affordable",IF(Table1[[#This Row],[Price2]]&lt;1000000,"Mid range","Luxury"))</f>
        <v>Affordable</v>
      </c>
    </row>
    <row r="491" spans="1:20" x14ac:dyDescent="0.35">
      <c r="A491" s="3">
        <v>347890</v>
      </c>
      <c r="B491" s="2" t="s">
        <v>34</v>
      </c>
      <c r="C491">
        <v>34230</v>
      </c>
      <c r="D491" s="2" t="s">
        <v>35</v>
      </c>
      <c r="E491">
        <v>4</v>
      </c>
      <c r="F491">
        <v>4</v>
      </c>
      <c r="G491" s="4">
        <f>VALUE(SUBSTITUTE(SUBSTITUTE(Table1[[#This Row],[Price]],"$",""),",",""))</f>
        <v>347890</v>
      </c>
      <c r="H491" s="1">
        <f>Table1[[#This Row],[Price2]]/Table1[[#This Row],[Area]]</f>
        <v>209.69861362266425</v>
      </c>
      <c r="I491">
        <v>1659</v>
      </c>
      <c r="J491">
        <v>2000</v>
      </c>
      <c r="K491">
        <v>75</v>
      </c>
      <c r="L491" t="s">
        <v>40</v>
      </c>
      <c r="M491" t="s">
        <v>665</v>
      </c>
      <c r="N491" s="2" t="s">
        <v>3031</v>
      </c>
      <c r="O491" t="s">
        <v>3032</v>
      </c>
      <c r="P491" t="s">
        <v>26</v>
      </c>
      <c r="Q491">
        <v>209.69861362266425</v>
      </c>
      <c r="R491">
        <f ca="1">YEAR(TODAY())-Table1[[#This Row],[Year Built]]</f>
        <v>26</v>
      </c>
      <c r="S491" t="str">
        <f>IF(Table1[[#This Row],[Days on Market]] &lt; 30,"Fast",IF(Table1[[#This Row],[Days on Market]]&lt;= 90,"Average", "Slow"))</f>
        <v>Average</v>
      </c>
      <c r="T491" t="str">
        <f>IF(Table1[[#This Row],[Price2]]&lt;500000,"Affordable",IF(Table1[[#This Row],[Price2]]&lt;1000000,"Mid range","Luxury"))</f>
        <v>Affordable</v>
      </c>
    </row>
    <row r="492" spans="1:20" x14ac:dyDescent="0.35">
      <c r="A492" s="3">
        <v>348881</v>
      </c>
      <c r="B492" s="2" t="s">
        <v>27</v>
      </c>
      <c r="C492">
        <v>20582</v>
      </c>
      <c r="D492" s="2" t="s">
        <v>29</v>
      </c>
      <c r="E492">
        <v>5</v>
      </c>
      <c r="F492">
        <v>1</v>
      </c>
      <c r="G492" s="4">
        <f>VALUE(SUBSTITUTE(SUBSTITUTE(Table1[[#This Row],[Price]],"$",""),",",""))</f>
        <v>348881</v>
      </c>
      <c r="H492" s="1">
        <f>Table1[[#This Row],[Price2]]/Table1[[#This Row],[Area]]</f>
        <v>103.58699524940617</v>
      </c>
      <c r="I492">
        <v>3368</v>
      </c>
      <c r="J492">
        <v>1954</v>
      </c>
      <c r="K492">
        <v>81</v>
      </c>
      <c r="L492" t="s">
        <v>30</v>
      </c>
      <c r="M492" t="s">
        <v>92</v>
      </c>
      <c r="N492" s="2" t="s">
        <v>3035</v>
      </c>
      <c r="O492" t="s">
        <v>3036</v>
      </c>
      <c r="P492" t="s">
        <v>26</v>
      </c>
      <c r="Q492">
        <v>103.58699524940617</v>
      </c>
      <c r="R492">
        <f ca="1">YEAR(TODAY())-Table1[[#This Row],[Year Built]]</f>
        <v>72</v>
      </c>
      <c r="S492" t="str">
        <f>IF(Table1[[#This Row],[Days on Market]] &lt; 30,"Fast",IF(Table1[[#This Row],[Days on Market]]&lt;= 90,"Average", "Slow"))</f>
        <v>Average</v>
      </c>
      <c r="T492" t="str">
        <f>IF(Table1[[#This Row],[Price2]]&lt;500000,"Affordable",IF(Table1[[#This Row],[Price2]]&lt;1000000,"Mid range","Luxury"))</f>
        <v>Affordable</v>
      </c>
    </row>
    <row r="493" spans="1:20" x14ac:dyDescent="0.35">
      <c r="A493" s="3">
        <v>349197</v>
      </c>
      <c r="B493" s="2" t="s">
        <v>22</v>
      </c>
      <c r="C493">
        <v>76986</v>
      </c>
      <c r="D493" s="2" t="s">
        <v>29</v>
      </c>
      <c r="E493">
        <v>6</v>
      </c>
      <c r="F493">
        <v>1</v>
      </c>
      <c r="G493" s="4">
        <f>VALUE(SUBSTITUTE(SUBSTITUTE(Table1[[#This Row],[Price]],"$",""),",",""))</f>
        <v>349197</v>
      </c>
      <c r="H493" s="1">
        <f>Table1[[#This Row],[Price2]]/Table1[[#This Row],[Area]]</f>
        <v>115.39887640449439</v>
      </c>
      <c r="I493">
        <v>3026</v>
      </c>
      <c r="J493">
        <v>2020</v>
      </c>
      <c r="K493">
        <v>67</v>
      </c>
      <c r="L493" t="s">
        <v>14</v>
      </c>
      <c r="M493" t="s">
        <v>306</v>
      </c>
      <c r="N493" s="2" t="s">
        <v>3033</v>
      </c>
      <c r="O493" t="s">
        <v>3034</v>
      </c>
      <c r="P493" t="s">
        <v>21</v>
      </c>
      <c r="Q493">
        <v>115.39887640449439</v>
      </c>
      <c r="R493">
        <f ca="1">YEAR(TODAY())-Table1[[#This Row],[Year Built]]</f>
        <v>6</v>
      </c>
      <c r="S493" t="str">
        <f>IF(Table1[[#This Row],[Days on Market]] &lt; 30,"Fast",IF(Table1[[#This Row],[Days on Market]]&lt;= 90,"Average", "Slow"))</f>
        <v>Average</v>
      </c>
      <c r="T493" t="str">
        <f>IF(Table1[[#This Row],[Price2]]&lt;500000,"Affordable",IF(Table1[[#This Row],[Price2]]&lt;1000000,"Mid range","Luxury"))</f>
        <v>Affordable</v>
      </c>
    </row>
    <row r="494" spans="1:20" x14ac:dyDescent="0.35">
      <c r="A494" s="3">
        <v>349997</v>
      </c>
      <c r="B494" s="2" t="s">
        <v>12</v>
      </c>
      <c r="C494">
        <v>17898</v>
      </c>
      <c r="D494" s="2" t="s">
        <v>13</v>
      </c>
      <c r="E494">
        <v>3</v>
      </c>
      <c r="F494">
        <v>2</v>
      </c>
      <c r="G494" s="4">
        <f>VALUE(SUBSTITUTE(SUBSTITUTE(Table1[[#This Row],[Price]],"$",""),",",""))</f>
        <v>349997</v>
      </c>
      <c r="H494" s="1">
        <f>Table1[[#This Row],[Price2]]/Table1[[#This Row],[Area]]</f>
        <v>178.47883732789393</v>
      </c>
      <c r="I494">
        <v>1961</v>
      </c>
      <c r="J494">
        <v>1969</v>
      </c>
      <c r="K494">
        <v>45</v>
      </c>
      <c r="L494" t="s">
        <v>30</v>
      </c>
      <c r="M494" t="s">
        <v>1907</v>
      </c>
      <c r="N494" s="2" t="s">
        <v>3033</v>
      </c>
      <c r="O494" t="s">
        <v>3034</v>
      </c>
      <c r="P494" t="s">
        <v>26</v>
      </c>
      <c r="Q494">
        <v>178.47883732789393</v>
      </c>
      <c r="R494">
        <f ca="1">YEAR(TODAY())-Table1[[#This Row],[Year Built]]</f>
        <v>57</v>
      </c>
      <c r="S494" t="str">
        <f>IF(Table1[[#This Row],[Days on Market]] &lt; 30,"Fast",IF(Table1[[#This Row],[Days on Market]]&lt;= 90,"Average", "Slow"))</f>
        <v>Average</v>
      </c>
      <c r="T494" t="str">
        <f>IF(Table1[[#This Row],[Price2]]&lt;500000,"Affordable",IF(Table1[[#This Row],[Price2]]&lt;1000000,"Mid range","Luxury"))</f>
        <v>Affordable</v>
      </c>
    </row>
    <row r="495" spans="1:20" x14ac:dyDescent="0.35">
      <c r="A495" s="3">
        <v>351462</v>
      </c>
      <c r="B495" s="2" t="s">
        <v>22</v>
      </c>
      <c r="C495">
        <v>78963</v>
      </c>
      <c r="D495" s="2" t="s">
        <v>23</v>
      </c>
      <c r="E495">
        <v>5</v>
      </c>
      <c r="F495">
        <v>3</v>
      </c>
      <c r="G495" s="4">
        <f>VALUE(SUBSTITUTE(SUBSTITUTE(Table1[[#This Row],[Price]],"$",""),",",""))</f>
        <v>351462</v>
      </c>
      <c r="H495" s="1">
        <f>Table1[[#This Row],[Price2]]/Table1[[#This Row],[Area]]</f>
        <v>154.76089828269485</v>
      </c>
      <c r="I495">
        <v>2271</v>
      </c>
      <c r="J495">
        <v>2021</v>
      </c>
      <c r="K495">
        <v>36</v>
      </c>
      <c r="L495" t="s">
        <v>19</v>
      </c>
      <c r="M495" t="s">
        <v>842</v>
      </c>
      <c r="N495" s="2" t="s">
        <v>3031</v>
      </c>
      <c r="O495" t="s">
        <v>3032</v>
      </c>
      <c r="P495" t="s">
        <v>26</v>
      </c>
      <c r="Q495">
        <v>154.76089828269485</v>
      </c>
      <c r="R495">
        <f ca="1">YEAR(TODAY())-Table1[[#This Row],[Year Built]]</f>
        <v>5</v>
      </c>
      <c r="S495" t="str">
        <f>IF(Table1[[#This Row],[Days on Market]] &lt; 30,"Fast",IF(Table1[[#This Row],[Days on Market]]&lt;= 90,"Average", "Slow"))</f>
        <v>Average</v>
      </c>
      <c r="T495" t="str">
        <f>IF(Table1[[#This Row],[Price2]]&lt;500000,"Affordable",IF(Table1[[#This Row],[Price2]]&lt;1000000,"Mid range","Luxury"))</f>
        <v>Affordable</v>
      </c>
    </row>
    <row r="496" spans="1:20" x14ac:dyDescent="0.35">
      <c r="A496" s="3">
        <v>352485</v>
      </c>
      <c r="B496" s="2" t="s">
        <v>22</v>
      </c>
      <c r="C496">
        <v>42718</v>
      </c>
      <c r="D496" s="2" t="s">
        <v>13</v>
      </c>
      <c r="E496">
        <v>3</v>
      </c>
      <c r="F496">
        <v>3</v>
      </c>
      <c r="G496" s="4">
        <f>VALUE(SUBSTITUTE(SUBSTITUTE(Table1[[#This Row],[Price]],"$",""),",",""))</f>
        <v>352485</v>
      </c>
      <c r="H496" s="1">
        <f>Table1[[#This Row],[Price2]]/Table1[[#This Row],[Area]]</f>
        <v>90.126566095627723</v>
      </c>
      <c r="I496">
        <v>3911</v>
      </c>
      <c r="J496">
        <v>1996</v>
      </c>
      <c r="K496">
        <v>46</v>
      </c>
      <c r="L496" t="s">
        <v>19</v>
      </c>
      <c r="M496" t="s">
        <v>1701</v>
      </c>
      <c r="N496" s="2" t="s">
        <v>3027</v>
      </c>
      <c r="O496" t="s">
        <v>3028</v>
      </c>
      <c r="P496" t="s">
        <v>26</v>
      </c>
      <c r="Q496">
        <v>90.126566095627723</v>
      </c>
      <c r="R496">
        <f ca="1">YEAR(TODAY())-Table1[[#This Row],[Year Built]]</f>
        <v>30</v>
      </c>
      <c r="S496" t="str">
        <f>IF(Table1[[#This Row],[Days on Market]] &lt; 30,"Fast",IF(Table1[[#This Row],[Days on Market]]&lt;= 90,"Average", "Slow"))</f>
        <v>Average</v>
      </c>
      <c r="T496" t="str">
        <f>IF(Table1[[#This Row],[Price2]]&lt;500000,"Affordable",IF(Table1[[#This Row],[Price2]]&lt;1000000,"Mid range","Luxury"))</f>
        <v>Affordable</v>
      </c>
    </row>
    <row r="497" spans="1:20" x14ac:dyDescent="0.35">
      <c r="A497" s="3">
        <v>353101</v>
      </c>
      <c r="B497" s="2" t="s">
        <v>17</v>
      </c>
      <c r="C497">
        <v>13983</v>
      </c>
      <c r="D497" s="2" t="s">
        <v>35</v>
      </c>
      <c r="E497">
        <v>1</v>
      </c>
      <c r="F497">
        <v>4</v>
      </c>
      <c r="G497" s="4">
        <f>VALUE(SUBSTITUTE(SUBSTITUTE(Table1[[#This Row],[Price]],"$",""),",",""))</f>
        <v>353101</v>
      </c>
      <c r="H497" s="1">
        <f>Table1[[#This Row],[Price2]]/Table1[[#This Row],[Area]]</f>
        <v>144.06405548755609</v>
      </c>
      <c r="I497">
        <v>2451</v>
      </c>
      <c r="J497">
        <v>1961</v>
      </c>
      <c r="K497">
        <v>49</v>
      </c>
      <c r="L497" t="s">
        <v>14</v>
      </c>
      <c r="M497" t="s">
        <v>680</v>
      </c>
      <c r="N497" s="2" t="s">
        <v>3035</v>
      </c>
      <c r="O497" t="s">
        <v>3036</v>
      </c>
      <c r="P497" t="s">
        <v>16</v>
      </c>
      <c r="Q497">
        <v>144.06405548755609</v>
      </c>
      <c r="R497">
        <f ca="1">YEAR(TODAY())-Table1[[#This Row],[Year Built]]</f>
        <v>65</v>
      </c>
      <c r="S497" t="str">
        <f>IF(Table1[[#This Row],[Days on Market]] &lt; 30,"Fast",IF(Table1[[#This Row],[Days on Market]]&lt;= 90,"Average", "Slow"))</f>
        <v>Average</v>
      </c>
      <c r="T497" t="str">
        <f>IF(Table1[[#This Row],[Price2]]&lt;500000,"Affordable",IF(Table1[[#This Row],[Price2]]&lt;1000000,"Mid range","Luxury"))</f>
        <v>Affordable</v>
      </c>
    </row>
    <row r="498" spans="1:20" x14ac:dyDescent="0.35">
      <c r="A498" s="3">
        <v>353344</v>
      </c>
      <c r="B498" s="2" t="s">
        <v>22</v>
      </c>
      <c r="C498">
        <v>75930</v>
      </c>
      <c r="D498" s="2" t="s">
        <v>35</v>
      </c>
      <c r="E498">
        <v>5</v>
      </c>
      <c r="F498">
        <v>1</v>
      </c>
      <c r="G498" s="4">
        <f>VALUE(SUBSTITUTE(SUBSTITUTE(Table1[[#This Row],[Price]],"$",""),",",""))</f>
        <v>353344</v>
      </c>
      <c r="H498" s="1">
        <f>Table1[[#This Row],[Price2]]/Table1[[#This Row],[Area]]</f>
        <v>244.19073946095369</v>
      </c>
      <c r="I498">
        <v>1447</v>
      </c>
      <c r="J498">
        <v>1991</v>
      </c>
      <c r="K498">
        <v>72</v>
      </c>
      <c r="L498" t="s">
        <v>52</v>
      </c>
      <c r="M498" t="s">
        <v>447</v>
      </c>
      <c r="N498" s="2" t="s">
        <v>3033</v>
      </c>
      <c r="O498" t="s">
        <v>3034</v>
      </c>
      <c r="P498" t="s">
        <v>26</v>
      </c>
      <c r="Q498">
        <v>244.19073946095369</v>
      </c>
      <c r="R498">
        <f ca="1">YEAR(TODAY())-Table1[[#This Row],[Year Built]]</f>
        <v>35</v>
      </c>
      <c r="S498" t="str">
        <f>IF(Table1[[#This Row],[Days on Market]] &lt; 30,"Fast",IF(Table1[[#This Row],[Days on Market]]&lt;= 90,"Average", "Slow"))</f>
        <v>Average</v>
      </c>
      <c r="T498" t="str">
        <f>IF(Table1[[#This Row],[Price2]]&lt;500000,"Affordable",IF(Table1[[#This Row],[Price2]]&lt;1000000,"Mid range","Luxury"))</f>
        <v>Affordable</v>
      </c>
    </row>
    <row r="499" spans="1:20" x14ac:dyDescent="0.35">
      <c r="A499" s="3">
        <v>353584</v>
      </c>
      <c r="B499" s="2" t="s">
        <v>34</v>
      </c>
      <c r="C499">
        <v>38222</v>
      </c>
      <c r="D499" s="2" t="s">
        <v>13</v>
      </c>
      <c r="E499">
        <v>3</v>
      </c>
      <c r="F499">
        <v>2</v>
      </c>
      <c r="G499" s="4">
        <f>VALUE(SUBSTITUTE(SUBSTITUTE(Table1[[#This Row],[Price]],"$",""),",",""))</f>
        <v>353584</v>
      </c>
      <c r="H499" s="1">
        <f>Table1[[#This Row],[Price2]]/Table1[[#This Row],[Area]]</f>
        <v>400.43488108720271</v>
      </c>
      <c r="I499">
        <v>883</v>
      </c>
      <c r="J499">
        <v>2015</v>
      </c>
      <c r="K499">
        <v>116</v>
      </c>
      <c r="L499" t="s">
        <v>30</v>
      </c>
      <c r="M499" t="s">
        <v>1405</v>
      </c>
      <c r="N499" s="2" t="s">
        <v>3031</v>
      </c>
      <c r="O499" t="s">
        <v>3032</v>
      </c>
      <c r="P499" t="s">
        <v>26</v>
      </c>
      <c r="Q499">
        <v>400.43488108720271</v>
      </c>
      <c r="R499">
        <f ca="1">YEAR(TODAY())-Table1[[#This Row],[Year Built]]</f>
        <v>11</v>
      </c>
      <c r="S499" t="str">
        <f>IF(Table1[[#This Row],[Days on Market]] &lt; 30,"Fast",IF(Table1[[#This Row],[Days on Market]]&lt;= 90,"Average", "Slow"))</f>
        <v>Slow</v>
      </c>
      <c r="T499" t="str">
        <f>IF(Table1[[#This Row],[Price2]]&lt;500000,"Affordable",IF(Table1[[#This Row],[Price2]]&lt;1000000,"Mid range","Luxury"))</f>
        <v>Affordable</v>
      </c>
    </row>
    <row r="500" spans="1:20" x14ac:dyDescent="0.35">
      <c r="A500" s="3">
        <v>355436</v>
      </c>
      <c r="B500" s="2" t="s">
        <v>27</v>
      </c>
      <c r="C500">
        <v>63071</v>
      </c>
      <c r="D500" s="2" t="s">
        <v>13</v>
      </c>
      <c r="E500">
        <v>4</v>
      </c>
      <c r="F500">
        <v>3</v>
      </c>
      <c r="G500" s="4">
        <f>VALUE(SUBSTITUTE(SUBSTITUTE(Table1[[#This Row],[Price]],"$",""),",",""))</f>
        <v>355436</v>
      </c>
      <c r="H500" s="1">
        <f>Table1[[#This Row],[Price2]]/Table1[[#This Row],[Area]]</f>
        <v>126.22017045454545</v>
      </c>
      <c r="I500">
        <v>2816</v>
      </c>
      <c r="J500">
        <v>2008</v>
      </c>
      <c r="K500">
        <v>79</v>
      </c>
      <c r="L500" t="s">
        <v>14</v>
      </c>
      <c r="M500" t="s">
        <v>2410</v>
      </c>
      <c r="N500" s="2" t="s">
        <v>3033</v>
      </c>
      <c r="O500" t="s">
        <v>3034</v>
      </c>
      <c r="P500" t="s">
        <v>26</v>
      </c>
      <c r="Q500">
        <v>126.22017045454545</v>
      </c>
      <c r="R500">
        <f ca="1">YEAR(TODAY())-Table1[[#This Row],[Year Built]]</f>
        <v>18</v>
      </c>
      <c r="S500" t="str">
        <f>IF(Table1[[#This Row],[Days on Market]] &lt; 30,"Fast",IF(Table1[[#This Row],[Days on Market]]&lt;= 90,"Average", "Slow"))</f>
        <v>Average</v>
      </c>
      <c r="T500" t="str">
        <f>IF(Table1[[#This Row],[Price2]]&lt;500000,"Affordable",IF(Table1[[#This Row],[Price2]]&lt;1000000,"Mid range","Luxury"))</f>
        <v>Affordable</v>
      </c>
    </row>
    <row r="501" spans="1:20" x14ac:dyDescent="0.35">
      <c r="A501" s="3">
        <v>355812</v>
      </c>
      <c r="B501" s="2" t="s">
        <v>17</v>
      </c>
      <c r="C501">
        <v>41611</v>
      </c>
      <c r="D501" s="2" t="s">
        <v>29</v>
      </c>
      <c r="E501">
        <v>2</v>
      </c>
      <c r="F501">
        <v>4</v>
      </c>
      <c r="G501" s="4">
        <f>VALUE(SUBSTITUTE(SUBSTITUTE(Table1[[#This Row],[Price]],"$",""),",",""))</f>
        <v>355812</v>
      </c>
      <c r="H501" s="1">
        <f>Table1[[#This Row],[Price2]]/Table1[[#This Row],[Area]]</f>
        <v>317.97319034852546</v>
      </c>
      <c r="I501">
        <v>1119</v>
      </c>
      <c r="J501">
        <v>2015</v>
      </c>
      <c r="K501">
        <v>32</v>
      </c>
      <c r="L501" t="s">
        <v>52</v>
      </c>
      <c r="M501" t="s">
        <v>2716</v>
      </c>
      <c r="N501" s="2" t="s">
        <v>3029</v>
      </c>
      <c r="O501" t="s">
        <v>3030</v>
      </c>
      <c r="P501" t="s">
        <v>26</v>
      </c>
      <c r="Q501">
        <v>317.97319034852546</v>
      </c>
      <c r="R501">
        <f ca="1">YEAR(TODAY())-Table1[[#This Row],[Year Built]]</f>
        <v>11</v>
      </c>
      <c r="S501" t="str">
        <f>IF(Table1[[#This Row],[Days on Market]] &lt; 30,"Fast",IF(Table1[[#This Row],[Days on Market]]&lt;= 90,"Average", "Slow"))</f>
        <v>Average</v>
      </c>
      <c r="T501" t="str">
        <f>IF(Table1[[#This Row],[Price2]]&lt;500000,"Affordable",IF(Table1[[#This Row],[Price2]]&lt;1000000,"Mid range","Luxury"))</f>
        <v>Affordable</v>
      </c>
    </row>
    <row r="502" spans="1:20" x14ac:dyDescent="0.35">
      <c r="A502" s="3">
        <v>356873</v>
      </c>
      <c r="B502" s="2" t="s">
        <v>27</v>
      </c>
      <c r="C502">
        <v>70880</v>
      </c>
      <c r="D502" s="2" t="s">
        <v>23</v>
      </c>
      <c r="E502">
        <v>3</v>
      </c>
      <c r="F502">
        <v>1</v>
      </c>
      <c r="G502" s="4">
        <f>VALUE(SUBSTITUTE(SUBSTITUTE(Table1[[#This Row],[Price]],"$",""),",",""))</f>
        <v>356873</v>
      </c>
      <c r="H502" s="1">
        <f>Table1[[#This Row],[Price2]]/Table1[[#This Row],[Area]]</f>
        <v>146.37940935192782</v>
      </c>
      <c r="I502">
        <v>2438</v>
      </c>
      <c r="J502">
        <v>2022</v>
      </c>
      <c r="K502">
        <v>87</v>
      </c>
      <c r="L502" t="s">
        <v>14</v>
      </c>
      <c r="M502" t="s">
        <v>2803</v>
      </c>
      <c r="N502" s="2" t="s">
        <v>3027</v>
      </c>
      <c r="O502" t="s">
        <v>3028</v>
      </c>
      <c r="P502" t="s">
        <v>21</v>
      </c>
      <c r="Q502">
        <v>146.37940935192782</v>
      </c>
      <c r="R502">
        <f ca="1">YEAR(TODAY())-Table1[[#This Row],[Year Built]]</f>
        <v>4</v>
      </c>
      <c r="S502" t="str">
        <f>IF(Table1[[#This Row],[Days on Market]] &lt; 30,"Fast",IF(Table1[[#This Row],[Days on Market]]&lt;= 90,"Average", "Slow"))</f>
        <v>Average</v>
      </c>
      <c r="T502" t="str">
        <f>IF(Table1[[#This Row],[Price2]]&lt;500000,"Affordable",IF(Table1[[#This Row],[Price2]]&lt;1000000,"Mid range","Luxury"))</f>
        <v>Affordable</v>
      </c>
    </row>
    <row r="503" spans="1:20" x14ac:dyDescent="0.35">
      <c r="A503" s="3">
        <v>357213</v>
      </c>
      <c r="B503" s="2" t="s">
        <v>34</v>
      </c>
      <c r="C503">
        <v>47969</v>
      </c>
      <c r="D503" s="2" t="s">
        <v>13</v>
      </c>
      <c r="E503">
        <v>6</v>
      </c>
      <c r="F503">
        <v>3</v>
      </c>
      <c r="G503" s="4">
        <f>VALUE(SUBSTITUTE(SUBSTITUTE(Table1[[#This Row],[Price]],"$",""),",",""))</f>
        <v>357213</v>
      </c>
      <c r="H503" s="1">
        <f>Table1[[#This Row],[Price2]]/Table1[[#This Row],[Area]]</f>
        <v>95.104632587859427</v>
      </c>
      <c r="I503">
        <v>3756</v>
      </c>
      <c r="J503">
        <v>1959</v>
      </c>
      <c r="K503">
        <v>116</v>
      </c>
      <c r="L503" t="s">
        <v>40</v>
      </c>
      <c r="M503" t="s">
        <v>1732</v>
      </c>
      <c r="N503" s="2" t="s">
        <v>3027</v>
      </c>
      <c r="O503" t="s">
        <v>3028</v>
      </c>
      <c r="P503" t="s">
        <v>21</v>
      </c>
      <c r="Q503">
        <v>95.104632587859427</v>
      </c>
      <c r="R503">
        <f ca="1">YEAR(TODAY())-Table1[[#This Row],[Year Built]]</f>
        <v>67</v>
      </c>
      <c r="S503" t="str">
        <f>IF(Table1[[#This Row],[Days on Market]] &lt; 30,"Fast",IF(Table1[[#This Row],[Days on Market]]&lt;= 90,"Average", "Slow"))</f>
        <v>Slow</v>
      </c>
      <c r="T503" t="str">
        <f>IF(Table1[[#This Row],[Price2]]&lt;500000,"Affordable",IF(Table1[[#This Row],[Price2]]&lt;1000000,"Mid range","Luxury"))</f>
        <v>Affordable</v>
      </c>
    </row>
    <row r="504" spans="1:20" x14ac:dyDescent="0.35">
      <c r="A504" s="3">
        <v>357273</v>
      </c>
      <c r="B504" s="2" t="s">
        <v>12</v>
      </c>
      <c r="C504">
        <v>29803</v>
      </c>
      <c r="D504" s="2" t="s">
        <v>23</v>
      </c>
      <c r="E504">
        <v>5</v>
      </c>
      <c r="F504">
        <v>4</v>
      </c>
      <c r="G504" s="4">
        <f>VALUE(SUBSTITUTE(SUBSTITUTE(Table1[[#This Row],[Price]],"$",""),",",""))</f>
        <v>357273</v>
      </c>
      <c r="H504" s="1">
        <f>Table1[[#This Row],[Price2]]/Table1[[#This Row],[Area]]</f>
        <v>131.20565552699227</v>
      </c>
      <c r="I504">
        <v>2723</v>
      </c>
      <c r="J504">
        <v>1957</v>
      </c>
      <c r="K504">
        <v>57</v>
      </c>
      <c r="L504" t="s">
        <v>40</v>
      </c>
      <c r="M504" t="s">
        <v>504</v>
      </c>
      <c r="N504" s="2" t="s">
        <v>3029</v>
      </c>
      <c r="O504" t="s">
        <v>3030</v>
      </c>
      <c r="P504" t="s">
        <v>26</v>
      </c>
      <c r="Q504">
        <v>131.20565552699227</v>
      </c>
      <c r="R504">
        <f ca="1">YEAR(TODAY())-Table1[[#This Row],[Year Built]]</f>
        <v>69</v>
      </c>
      <c r="S504" t="str">
        <f>IF(Table1[[#This Row],[Days on Market]] &lt; 30,"Fast",IF(Table1[[#This Row],[Days on Market]]&lt;= 90,"Average", "Slow"))</f>
        <v>Average</v>
      </c>
      <c r="T504" t="str">
        <f>IF(Table1[[#This Row],[Price2]]&lt;500000,"Affordable",IF(Table1[[#This Row],[Price2]]&lt;1000000,"Mid range","Luxury"))</f>
        <v>Affordable</v>
      </c>
    </row>
    <row r="505" spans="1:20" x14ac:dyDescent="0.35">
      <c r="A505" s="3">
        <v>357599</v>
      </c>
      <c r="B505" s="2" t="s">
        <v>34</v>
      </c>
      <c r="C505">
        <v>21963</v>
      </c>
      <c r="D505" s="2" t="s">
        <v>23</v>
      </c>
      <c r="E505">
        <v>2</v>
      </c>
      <c r="F505">
        <v>1</v>
      </c>
      <c r="G505" s="4">
        <f>VALUE(SUBSTITUTE(SUBSTITUTE(Table1[[#This Row],[Price]],"$",""),",",""))</f>
        <v>357599</v>
      </c>
      <c r="H505" s="1">
        <f>Table1[[#This Row],[Price2]]/Table1[[#This Row],[Area]]</f>
        <v>419.71713615023475</v>
      </c>
      <c r="I505">
        <v>852</v>
      </c>
      <c r="J505">
        <v>1950</v>
      </c>
      <c r="K505">
        <v>75</v>
      </c>
      <c r="L505" t="s">
        <v>19</v>
      </c>
      <c r="M505" t="s">
        <v>1994</v>
      </c>
      <c r="N505" s="2" t="s">
        <v>3027</v>
      </c>
      <c r="O505" t="s">
        <v>3028</v>
      </c>
      <c r="P505" t="s">
        <v>26</v>
      </c>
      <c r="Q505">
        <v>419.71713615023475</v>
      </c>
      <c r="R505">
        <f ca="1">YEAR(TODAY())-Table1[[#This Row],[Year Built]]</f>
        <v>76</v>
      </c>
      <c r="S505" t="str">
        <f>IF(Table1[[#This Row],[Days on Market]] &lt; 30,"Fast",IF(Table1[[#This Row],[Days on Market]]&lt;= 90,"Average", "Slow"))</f>
        <v>Average</v>
      </c>
      <c r="T505" t="str">
        <f>IF(Table1[[#This Row],[Price2]]&lt;500000,"Affordable",IF(Table1[[#This Row],[Price2]]&lt;1000000,"Mid range","Luxury"))</f>
        <v>Affordable</v>
      </c>
    </row>
    <row r="506" spans="1:20" x14ac:dyDescent="0.35">
      <c r="A506" s="3">
        <v>358119</v>
      </c>
      <c r="B506" s="2" t="s">
        <v>17</v>
      </c>
      <c r="C506">
        <v>88240</v>
      </c>
      <c r="D506" s="2" t="s">
        <v>29</v>
      </c>
      <c r="E506">
        <v>3</v>
      </c>
      <c r="F506">
        <v>4</v>
      </c>
      <c r="G506" s="4">
        <f>VALUE(SUBSTITUTE(SUBSTITUTE(Table1[[#This Row],[Price]],"$",""),",",""))</f>
        <v>358119</v>
      </c>
      <c r="H506" s="1">
        <f>Table1[[#This Row],[Price2]]/Table1[[#This Row],[Area]]</f>
        <v>145.81392508143321</v>
      </c>
      <c r="I506">
        <v>2456</v>
      </c>
      <c r="J506">
        <v>1972</v>
      </c>
      <c r="K506">
        <v>5</v>
      </c>
      <c r="L506" t="s">
        <v>14</v>
      </c>
      <c r="M506" t="s">
        <v>746</v>
      </c>
      <c r="N506" s="2" t="s">
        <v>3031</v>
      </c>
      <c r="O506" t="s">
        <v>3032</v>
      </c>
      <c r="P506" t="s">
        <v>16</v>
      </c>
      <c r="Q506">
        <v>145.81392508143321</v>
      </c>
      <c r="R506">
        <f ca="1">YEAR(TODAY())-Table1[[#This Row],[Year Built]]</f>
        <v>54</v>
      </c>
      <c r="S506" t="str">
        <f>IF(Table1[[#This Row],[Days on Market]] &lt; 30,"Fast",IF(Table1[[#This Row],[Days on Market]]&lt;= 90,"Average", "Slow"))</f>
        <v>Fast</v>
      </c>
      <c r="T506" t="str">
        <f>IF(Table1[[#This Row],[Price2]]&lt;500000,"Affordable",IF(Table1[[#This Row],[Price2]]&lt;1000000,"Mid range","Luxury"))</f>
        <v>Affordable</v>
      </c>
    </row>
    <row r="507" spans="1:20" x14ac:dyDescent="0.35">
      <c r="A507" s="3">
        <v>358855</v>
      </c>
      <c r="B507" s="2" t="s">
        <v>34</v>
      </c>
      <c r="C507">
        <v>14953</v>
      </c>
      <c r="D507" s="2" t="s">
        <v>18</v>
      </c>
      <c r="E507">
        <v>4</v>
      </c>
      <c r="F507">
        <v>4</v>
      </c>
      <c r="G507" s="4">
        <f>VALUE(SUBSTITUTE(SUBSTITUTE(Table1[[#This Row],[Price]],"$",""),",",""))</f>
        <v>358855</v>
      </c>
      <c r="H507" s="1">
        <f>Table1[[#This Row],[Price2]]/Table1[[#This Row],[Area]]</f>
        <v>90.323433173923988</v>
      </c>
      <c r="I507">
        <v>3973</v>
      </c>
      <c r="J507">
        <v>2018</v>
      </c>
      <c r="K507">
        <v>22</v>
      </c>
      <c r="L507" t="s">
        <v>40</v>
      </c>
      <c r="M507" t="s">
        <v>1513</v>
      </c>
      <c r="N507" s="2" t="s">
        <v>3027</v>
      </c>
      <c r="O507" t="s">
        <v>3028</v>
      </c>
      <c r="P507" t="s">
        <v>21</v>
      </c>
      <c r="Q507">
        <v>90.323433173923988</v>
      </c>
      <c r="R507">
        <f ca="1">YEAR(TODAY())-Table1[[#This Row],[Year Built]]</f>
        <v>8</v>
      </c>
      <c r="S507" t="str">
        <f>IF(Table1[[#This Row],[Days on Market]] &lt; 30,"Fast",IF(Table1[[#This Row],[Days on Market]]&lt;= 90,"Average", "Slow"))</f>
        <v>Fast</v>
      </c>
      <c r="T507" t="str">
        <f>IF(Table1[[#This Row],[Price2]]&lt;500000,"Affordable",IF(Table1[[#This Row],[Price2]]&lt;1000000,"Mid range","Luxury"))</f>
        <v>Affordable</v>
      </c>
    </row>
    <row r="508" spans="1:20" x14ac:dyDescent="0.35">
      <c r="A508" s="3">
        <v>359738</v>
      </c>
      <c r="B508" s="2" t="s">
        <v>34</v>
      </c>
      <c r="C508">
        <v>20376</v>
      </c>
      <c r="D508" s="2" t="s">
        <v>23</v>
      </c>
      <c r="E508">
        <v>3</v>
      </c>
      <c r="F508">
        <v>1</v>
      </c>
      <c r="G508" s="4">
        <f>VALUE(SUBSTITUTE(SUBSTITUTE(Table1[[#This Row],[Price]],"$",""),",",""))</f>
        <v>359738</v>
      </c>
      <c r="H508" s="1">
        <f>Table1[[#This Row],[Price2]]/Table1[[#This Row],[Area]]</f>
        <v>411.5995423340961</v>
      </c>
      <c r="I508">
        <v>874</v>
      </c>
      <c r="J508">
        <v>1975</v>
      </c>
      <c r="K508">
        <v>49</v>
      </c>
      <c r="L508" t="s">
        <v>14</v>
      </c>
      <c r="M508" t="s">
        <v>457</v>
      </c>
      <c r="N508" s="2" t="s">
        <v>3033</v>
      </c>
      <c r="O508" t="s">
        <v>3034</v>
      </c>
      <c r="P508" t="s">
        <v>21</v>
      </c>
      <c r="Q508">
        <v>411.5995423340961</v>
      </c>
      <c r="R508">
        <f ca="1">YEAR(TODAY())-Table1[[#This Row],[Year Built]]</f>
        <v>51</v>
      </c>
      <c r="S508" t="str">
        <f>IF(Table1[[#This Row],[Days on Market]] &lt; 30,"Fast",IF(Table1[[#This Row],[Days on Market]]&lt;= 90,"Average", "Slow"))</f>
        <v>Average</v>
      </c>
      <c r="T508" t="str">
        <f>IF(Table1[[#This Row],[Price2]]&lt;500000,"Affordable",IF(Table1[[#This Row],[Price2]]&lt;1000000,"Mid range","Luxury"))</f>
        <v>Affordable</v>
      </c>
    </row>
    <row r="509" spans="1:20" x14ac:dyDescent="0.35">
      <c r="A509" s="3">
        <v>361658</v>
      </c>
      <c r="B509" s="2" t="s">
        <v>17</v>
      </c>
      <c r="C509">
        <v>96198</v>
      </c>
      <c r="D509" s="2" t="s">
        <v>18</v>
      </c>
      <c r="E509">
        <v>3</v>
      </c>
      <c r="F509">
        <v>3</v>
      </c>
      <c r="G509" s="4">
        <f>VALUE(SUBSTITUTE(SUBSTITUTE(Table1[[#This Row],[Price]],"$",""),",",""))</f>
        <v>361658</v>
      </c>
      <c r="H509" s="1">
        <f>Table1[[#This Row],[Price2]]/Table1[[#This Row],[Area]]</f>
        <v>133.89781562384303</v>
      </c>
      <c r="I509">
        <v>2701</v>
      </c>
      <c r="J509">
        <v>1986</v>
      </c>
      <c r="K509">
        <v>11</v>
      </c>
      <c r="L509" t="s">
        <v>40</v>
      </c>
      <c r="M509" t="s">
        <v>1336</v>
      </c>
      <c r="N509" s="2" t="s">
        <v>3027</v>
      </c>
      <c r="O509" t="s">
        <v>3028</v>
      </c>
      <c r="P509" t="s">
        <v>21</v>
      </c>
      <c r="Q509">
        <v>133.89781562384303</v>
      </c>
      <c r="R509">
        <f ca="1">YEAR(TODAY())-Table1[[#This Row],[Year Built]]</f>
        <v>40</v>
      </c>
      <c r="S509" t="str">
        <f>IF(Table1[[#This Row],[Days on Market]] &lt; 30,"Fast",IF(Table1[[#This Row],[Days on Market]]&lt;= 90,"Average", "Slow"))</f>
        <v>Fast</v>
      </c>
      <c r="T509" t="str">
        <f>IF(Table1[[#This Row],[Price2]]&lt;500000,"Affordable",IF(Table1[[#This Row],[Price2]]&lt;1000000,"Mid range","Luxury"))</f>
        <v>Affordable</v>
      </c>
    </row>
    <row r="510" spans="1:20" x14ac:dyDescent="0.35">
      <c r="A510" s="3">
        <v>361783</v>
      </c>
      <c r="B510" s="2" t="s">
        <v>27</v>
      </c>
      <c r="C510">
        <v>68651</v>
      </c>
      <c r="D510" s="2" t="s">
        <v>13</v>
      </c>
      <c r="E510">
        <v>1</v>
      </c>
      <c r="F510">
        <v>1</v>
      </c>
      <c r="G510" s="4">
        <f>VALUE(SUBSTITUTE(SUBSTITUTE(Table1[[#This Row],[Price]],"$",""),",",""))</f>
        <v>361783</v>
      </c>
      <c r="H510" s="1">
        <f>Table1[[#This Row],[Price2]]/Table1[[#This Row],[Area]]</f>
        <v>290.35553772070625</v>
      </c>
      <c r="I510">
        <v>1246</v>
      </c>
      <c r="J510">
        <v>1950</v>
      </c>
      <c r="K510">
        <v>60</v>
      </c>
      <c r="L510" t="s">
        <v>52</v>
      </c>
      <c r="M510" t="s">
        <v>1150</v>
      </c>
      <c r="N510" s="2" t="s">
        <v>3027</v>
      </c>
      <c r="O510" t="s">
        <v>3028</v>
      </c>
      <c r="P510" t="s">
        <v>21</v>
      </c>
      <c r="Q510">
        <v>290.35553772070625</v>
      </c>
      <c r="R510">
        <f ca="1">YEAR(TODAY())-Table1[[#This Row],[Year Built]]</f>
        <v>76</v>
      </c>
      <c r="S510" t="str">
        <f>IF(Table1[[#This Row],[Days on Market]] &lt; 30,"Fast",IF(Table1[[#This Row],[Days on Market]]&lt;= 90,"Average", "Slow"))</f>
        <v>Average</v>
      </c>
      <c r="T510" t="str">
        <f>IF(Table1[[#This Row],[Price2]]&lt;500000,"Affordable",IF(Table1[[#This Row],[Price2]]&lt;1000000,"Mid range","Luxury"))</f>
        <v>Affordable</v>
      </c>
    </row>
    <row r="511" spans="1:20" x14ac:dyDescent="0.35">
      <c r="A511" s="3">
        <v>362598</v>
      </c>
      <c r="B511" s="2" t="s">
        <v>27</v>
      </c>
      <c r="C511">
        <v>63109</v>
      </c>
      <c r="D511" s="2" t="s">
        <v>13</v>
      </c>
      <c r="E511">
        <v>2</v>
      </c>
      <c r="F511">
        <v>4</v>
      </c>
      <c r="G511" s="4">
        <f>VALUE(SUBSTITUTE(SUBSTITUTE(Table1[[#This Row],[Price]],"$",""),",",""))</f>
        <v>362598</v>
      </c>
      <c r="H511" s="1">
        <f>Table1[[#This Row],[Price2]]/Table1[[#This Row],[Area]]</f>
        <v>571.0204724409449</v>
      </c>
      <c r="I511">
        <v>635</v>
      </c>
      <c r="J511">
        <v>1971</v>
      </c>
      <c r="K511">
        <v>68</v>
      </c>
      <c r="L511" t="s">
        <v>19</v>
      </c>
      <c r="M511" t="s">
        <v>1959</v>
      </c>
      <c r="N511" s="2" t="s">
        <v>3031</v>
      </c>
      <c r="O511" t="s">
        <v>3032</v>
      </c>
      <c r="P511" t="s">
        <v>26</v>
      </c>
      <c r="Q511">
        <v>571.0204724409449</v>
      </c>
      <c r="R511">
        <f ca="1">YEAR(TODAY())-Table1[[#This Row],[Year Built]]</f>
        <v>55</v>
      </c>
      <c r="S511" t="str">
        <f>IF(Table1[[#This Row],[Days on Market]] &lt; 30,"Fast",IF(Table1[[#This Row],[Days on Market]]&lt;= 90,"Average", "Slow"))</f>
        <v>Average</v>
      </c>
      <c r="T511" t="str">
        <f>IF(Table1[[#This Row],[Price2]]&lt;500000,"Affordable",IF(Table1[[#This Row],[Price2]]&lt;1000000,"Mid range","Luxury"))</f>
        <v>Affordable</v>
      </c>
    </row>
    <row r="512" spans="1:20" x14ac:dyDescent="0.35">
      <c r="A512" s="3">
        <v>362754</v>
      </c>
      <c r="B512" s="2" t="s">
        <v>12</v>
      </c>
      <c r="C512">
        <v>86063</v>
      </c>
      <c r="D512" s="2" t="s">
        <v>18</v>
      </c>
      <c r="E512">
        <v>6</v>
      </c>
      <c r="F512">
        <v>3</v>
      </c>
      <c r="G512" s="4">
        <f>VALUE(SUBSTITUTE(SUBSTITUTE(Table1[[#This Row],[Price]],"$",""),",",""))</f>
        <v>362754</v>
      </c>
      <c r="H512" s="1">
        <f>Table1[[#This Row],[Price2]]/Table1[[#This Row],[Area]]</f>
        <v>110.56202377323987</v>
      </c>
      <c r="I512">
        <v>3281</v>
      </c>
      <c r="J512">
        <v>1974</v>
      </c>
      <c r="K512">
        <v>35</v>
      </c>
      <c r="L512" t="s">
        <v>19</v>
      </c>
      <c r="M512" t="s">
        <v>1267</v>
      </c>
      <c r="N512" s="2" t="s">
        <v>3035</v>
      </c>
      <c r="O512" t="s">
        <v>3036</v>
      </c>
      <c r="P512" t="s">
        <v>26</v>
      </c>
      <c r="Q512">
        <v>110.56202377323987</v>
      </c>
      <c r="R512">
        <f ca="1">YEAR(TODAY())-Table1[[#This Row],[Year Built]]</f>
        <v>52</v>
      </c>
      <c r="S512" t="str">
        <f>IF(Table1[[#This Row],[Days on Market]] &lt; 30,"Fast",IF(Table1[[#This Row],[Days on Market]]&lt;= 90,"Average", "Slow"))</f>
        <v>Average</v>
      </c>
      <c r="T512" t="str">
        <f>IF(Table1[[#This Row],[Price2]]&lt;500000,"Affordable",IF(Table1[[#This Row],[Price2]]&lt;1000000,"Mid range","Luxury"))</f>
        <v>Affordable</v>
      </c>
    </row>
    <row r="513" spans="1:20" x14ac:dyDescent="0.35">
      <c r="A513" s="3">
        <v>362957</v>
      </c>
      <c r="B513" s="2" t="s">
        <v>27</v>
      </c>
      <c r="C513">
        <v>39506</v>
      </c>
      <c r="D513" s="2" t="s">
        <v>18</v>
      </c>
      <c r="E513">
        <v>5</v>
      </c>
      <c r="F513">
        <v>2</v>
      </c>
      <c r="G513" s="4">
        <f>VALUE(SUBSTITUTE(SUBSTITUTE(Table1[[#This Row],[Price]],"$",""),",",""))</f>
        <v>362957</v>
      </c>
      <c r="H513" s="1">
        <f>Table1[[#This Row],[Price2]]/Table1[[#This Row],[Area]]</f>
        <v>104.2380815623205</v>
      </c>
      <c r="I513">
        <v>3482</v>
      </c>
      <c r="J513">
        <v>2011</v>
      </c>
      <c r="K513">
        <v>92</v>
      </c>
      <c r="L513" t="s">
        <v>19</v>
      </c>
      <c r="M513" t="s">
        <v>106</v>
      </c>
      <c r="N513" s="2" t="s">
        <v>3035</v>
      </c>
      <c r="O513" t="s">
        <v>3036</v>
      </c>
      <c r="P513" t="s">
        <v>21</v>
      </c>
      <c r="Q513">
        <v>104.2380815623205</v>
      </c>
      <c r="R513">
        <f ca="1">YEAR(TODAY())-Table1[[#This Row],[Year Built]]</f>
        <v>15</v>
      </c>
      <c r="S513" t="str">
        <f>IF(Table1[[#This Row],[Days on Market]] &lt; 30,"Fast",IF(Table1[[#This Row],[Days on Market]]&lt;= 90,"Average", "Slow"))</f>
        <v>Slow</v>
      </c>
      <c r="T513" t="str">
        <f>IF(Table1[[#This Row],[Price2]]&lt;500000,"Affordable",IF(Table1[[#This Row],[Price2]]&lt;1000000,"Mid range","Luxury"))</f>
        <v>Affordable</v>
      </c>
    </row>
    <row r="514" spans="1:20" x14ac:dyDescent="0.35">
      <c r="A514" s="3">
        <v>365076</v>
      </c>
      <c r="B514" s="2" t="s">
        <v>12</v>
      </c>
      <c r="C514">
        <v>66033</v>
      </c>
      <c r="D514" s="2" t="s">
        <v>29</v>
      </c>
      <c r="E514">
        <v>3</v>
      </c>
      <c r="F514">
        <v>4</v>
      </c>
      <c r="G514" s="4">
        <f>VALUE(SUBSTITUTE(SUBSTITUTE(Table1[[#This Row],[Price]],"$",""),",",""))</f>
        <v>365076</v>
      </c>
      <c r="H514" s="1">
        <f>Table1[[#This Row],[Price2]]/Table1[[#This Row],[Area]]</f>
        <v>95.820472440944883</v>
      </c>
      <c r="I514">
        <v>3810</v>
      </c>
      <c r="J514">
        <v>2012</v>
      </c>
      <c r="K514">
        <v>3</v>
      </c>
      <c r="L514" t="s">
        <v>14</v>
      </c>
      <c r="M514" t="s">
        <v>1717</v>
      </c>
      <c r="N514" s="2" t="s">
        <v>3027</v>
      </c>
      <c r="O514" t="s">
        <v>3028</v>
      </c>
      <c r="P514" t="s">
        <v>21</v>
      </c>
      <c r="Q514">
        <v>95.820472440944883</v>
      </c>
      <c r="R514">
        <f ca="1">YEAR(TODAY())-Table1[[#This Row],[Year Built]]</f>
        <v>14</v>
      </c>
      <c r="S514" t="str">
        <f>IF(Table1[[#This Row],[Days on Market]] &lt; 30,"Fast",IF(Table1[[#This Row],[Days on Market]]&lt;= 90,"Average", "Slow"))</f>
        <v>Fast</v>
      </c>
      <c r="T514" t="str">
        <f>IF(Table1[[#This Row],[Price2]]&lt;500000,"Affordable",IF(Table1[[#This Row],[Price2]]&lt;1000000,"Mid range","Luxury"))</f>
        <v>Affordable</v>
      </c>
    </row>
    <row r="515" spans="1:20" x14ac:dyDescent="0.35">
      <c r="A515" s="3">
        <v>365175</v>
      </c>
      <c r="B515" s="2" t="s">
        <v>34</v>
      </c>
      <c r="C515">
        <v>20858</v>
      </c>
      <c r="D515" s="2" t="s">
        <v>13</v>
      </c>
      <c r="E515">
        <v>1</v>
      </c>
      <c r="F515">
        <v>2</v>
      </c>
      <c r="G515" s="4">
        <f>VALUE(SUBSTITUTE(SUBSTITUTE(Table1[[#This Row],[Price]],"$",""),",",""))</f>
        <v>365175</v>
      </c>
      <c r="H515" s="1">
        <f>Table1[[#This Row],[Price2]]/Table1[[#This Row],[Area]]</f>
        <v>100.02054231717338</v>
      </c>
      <c r="I515">
        <v>3651</v>
      </c>
      <c r="J515">
        <v>1954</v>
      </c>
      <c r="K515">
        <v>18</v>
      </c>
      <c r="L515" t="s">
        <v>30</v>
      </c>
      <c r="M515" t="s">
        <v>194</v>
      </c>
      <c r="N515" s="2" t="s">
        <v>3027</v>
      </c>
      <c r="O515" t="s">
        <v>3028</v>
      </c>
      <c r="P515" t="s">
        <v>16</v>
      </c>
      <c r="Q515">
        <v>100.02054231717338</v>
      </c>
      <c r="R515">
        <f ca="1">YEAR(TODAY())-Table1[[#This Row],[Year Built]]</f>
        <v>72</v>
      </c>
      <c r="S515" t="str">
        <f>IF(Table1[[#This Row],[Days on Market]] &lt; 30,"Fast",IF(Table1[[#This Row],[Days on Market]]&lt;= 90,"Average", "Slow"))</f>
        <v>Fast</v>
      </c>
      <c r="T515" t="str">
        <f>IF(Table1[[#This Row],[Price2]]&lt;500000,"Affordable",IF(Table1[[#This Row],[Price2]]&lt;1000000,"Mid range","Luxury"))</f>
        <v>Affordable</v>
      </c>
    </row>
    <row r="516" spans="1:20" x14ac:dyDescent="0.35">
      <c r="A516" s="3">
        <v>365717</v>
      </c>
      <c r="B516" s="2" t="s">
        <v>34</v>
      </c>
      <c r="C516">
        <v>46390</v>
      </c>
      <c r="D516" s="2" t="s">
        <v>23</v>
      </c>
      <c r="E516">
        <v>1</v>
      </c>
      <c r="F516">
        <v>4</v>
      </c>
      <c r="G516" s="4">
        <f>VALUE(SUBSTITUTE(SUBSTITUTE(Table1[[#This Row],[Price]],"$",""),",",""))</f>
        <v>365717</v>
      </c>
      <c r="H516" s="1">
        <f>Table1[[#This Row],[Price2]]/Table1[[#This Row],[Area]]</f>
        <v>544.22172619047615</v>
      </c>
      <c r="I516">
        <v>672</v>
      </c>
      <c r="J516">
        <v>2017</v>
      </c>
      <c r="K516">
        <v>16</v>
      </c>
      <c r="L516" t="s">
        <v>40</v>
      </c>
      <c r="M516" t="s">
        <v>2702</v>
      </c>
      <c r="N516" s="2" t="s">
        <v>3031</v>
      </c>
      <c r="O516" t="s">
        <v>3032</v>
      </c>
      <c r="P516" t="s">
        <v>26</v>
      </c>
      <c r="Q516">
        <v>544.22172619047615</v>
      </c>
      <c r="R516">
        <f ca="1">YEAR(TODAY())-Table1[[#This Row],[Year Built]]</f>
        <v>9</v>
      </c>
      <c r="S516" t="str">
        <f>IF(Table1[[#This Row],[Days on Market]] &lt; 30,"Fast",IF(Table1[[#This Row],[Days on Market]]&lt;= 90,"Average", "Slow"))</f>
        <v>Fast</v>
      </c>
      <c r="T516" t="str">
        <f>IF(Table1[[#This Row],[Price2]]&lt;500000,"Affordable",IF(Table1[[#This Row],[Price2]]&lt;1000000,"Mid range","Luxury"))</f>
        <v>Affordable</v>
      </c>
    </row>
    <row r="517" spans="1:20" x14ac:dyDescent="0.35">
      <c r="A517" s="3">
        <v>366009</v>
      </c>
      <c r="B517" s="2" t="s">
        <v>17</v>
      </c>
      <c r="C517">
        <v>92818</v>
      </c>
      <c r="D517" s="2" t="s">
        <v>13</v>
      </c>
      <c r="E517">
        <v>5</v>
      </c>
      <c r="F517">
        <v>1</v>
      </c>
      <c r="G517" s="4">
        <f>VALUE(SUBSTITUTE(SUBSTITUTE(Table1[[#This Row],[Price]],"$",""),",",""))</f>
        <v>366009</v>
      </c>
      <c r="H517" s="1">
        <f>Table1[[#This Row],[Price2]]/Table1[[#This Row],[Area]]</f>
        <v>121.23517721099702</v>
      </c>
      <c r="I517">
        <v>3019</v>
      </c>
      <c r="J517">
        <v>1971</v>
      </c>
      <c r="K517">
        <v>115</v>
      </c>
      <c r="L517" t="s">
        <v>40</v>
      </c>
      <c r="M517" t="s">
        <v>2082</v>
      </c>
      <c r="N517" s="2" t="s">
        <v>3035</v>
      </c>
      <c r="O517" t="s">
        <v>3036</v>
      </c>
      <c r="P517" t="s">
        <v>26</v>
      </c>
      <c r="Q517">
        <v>121.23517721099702</v>
      </c>
      <c r="R517">
        <f ca="1">YEAR(TODAY())-Table1[[#This Row],[Year Built]]</f>
        <v>55</v>
      </c>
      <c r="S517" t="str">
        <f>IF(Table1[[#This Row],[Days on Market]] &lt; 30,"Fast",IF(Table1[[#This Row],[Days on Market]]&lt;= 90,"Average", "Slow"))</f>
        <v>Slow</v>
      </c>
      <c r="T517" t="str">
        <f>IF(Table1[[#This Row],[Price2]]&lt;500000,"Affordable",IF(Table1[[#This Row],[Price2]]&lt;1000000,"Mid range","Luxury"))</f>
        <v>Affordable</v>
      </c>
    </row>
    <row r="518" spans="1:20" x14ac:dyDescent="0.35">
      <c r="A518" s="3">
        <v>367764</v>
      </c>
      <c r="B518" s="2" t="s">
        <v>12</v>
      </c>
      <c r="C518">
        <v>60724</v>
      </c>
      <c r="D518" s="2" t="s">
        <v>29</v>
      </c>
      <c r="E518">
        <v>3</v>
      </c>
      <c r="F518">
        <v>1</v>
      </c>
      <c r="G518" s="4">
        <f>VALUE(SUBSTITUTE(SUBSTITUTE(Table1[[#This Row],[Price]],"$",""),",",""))</f>
        <v>367764</v>
      </c>
      <c r="H518" s="1">
        <f>Table1[[#This Row],[Price2]]/Table1[[#This Row],[Area]]</f>
        <v>133.19956537486419</v>
      </c>
      <c r="I518">
        <v>2761</v>
      </c>
      <c r="J518">
        <v>1960</v>
      </c>
      <c r="K518">
        <v>99</v>
      </c>
      <c r="L518" t="s">
        <v>14</v>
      </c>
      <c r="M518" t="s">
        <v>122</v>
      </c>
      <c r="N518" s="2" t="s">
        <v>3029</v>
      </c>
      <c r="O518" t="s">
        <v>3030</v>
      </c>
      <c r="P518" t="s">
        <v>16</v>
      </c>
      <c r="Q518">
        <v>133.19956537486419</v>
      </c>
      <c r="R518">
        <f ca="1">YEAR(TODAY())-Table1[[#This Row],[Year Built]]</f>
        <v>66</v>
      </c>
      <c r="S518" t="str">
        <f>IF(Table1[[#This Row],[Days on Market]] &lt; 30,"Fast",IF(Table1[[#This Row],[Days on Market]]&lt;= 90,"Average", "Slow"))</f>
        <v>Slow</v>
      </c>
      <c r="T518" t="str">
        <f>IF(Table1[[#This Row],[Price2]]&lt;500000,"Affordable",IF(Table1[[#This Row],[Price2]]&lt;1000000,"Mid range","Luxury"))</f>
        <v>Affordable</v>
      </c>
    </row>
    <row r="519" spans="1:20" x14ac:dyDescent="0.35">
      <c r="A519" s="3">
        <v>368896</v>
      </c>
      <c r="B519" s="2" t="s">
        <v>12</v>
      </c>
      <c r="C519">
        <v>74857</v>
      </c>
      <c r="D519" s="2" t="s">
        <v>35</v>
      </c>
      <c r="E519">
        <v>6</v>
      </c>
      <c r="F519">
        <v>4</v>
      </c>
      <c r="G519" s="4">
        <f>VALUE(SUBSTITUTE(SUBSTITUTE(Table1[[#This Row],[Price]],"$",""),",",""))</f>
        <v>368896</v>
      </c>
      <c r="H519" s="1">
        <f>Table1[[#This Row],[Price2]]/Table1[[#This Row],[Area]]</f>
        <v>207.12857944974732</v>
      </c>
      <c r="I519">
        <v>1781</v>
      </c>
      <c r="J519">
        <v>2011</v>
      </c>
      <c r="K519">
        <v>120</v>
      </c>
      <c r="L519" t="s">
        <v>19</v>
      </c>
      <c r="M519" t="s">
        <v>601</v>
      </c>
      <c r="N519" s="2" t="s">
        <v>3033</v>
      </c>
      <c r="O519" t="s">
        <v>3034</v>
      </c>
      <c r="P519" t="s">
        <v>16</v>
      </c>
      <c r="Q519">
        <v>207.12857944974732</v>
      </c>
      <c r="R519">
        <f ca="1">YEAR(TODAY())-Table1[[#This Row],[Year Built]]</f>
        <v>15</v>
      </c>
      <c r="S519" t="str">
        <f>IF(Table1[[#This Row],[Days on Market]] &lt; 30,"Fast",IF(Table1[[#This Row],[Days on Market]]&lt;= 90,"Average", "Slow"))</f>
        <v>Slow</v>
      </c>
      <c r="T519" t="str">
        <f>IF(Table1[[#This Row],[Price2]]&lt;500000,"Affordable",IF(Table1[[#This Row],[Price2]]&lt;1000000,"Mid range","Luxury"))</f>
        <v>Affordable</v>
      </c>
    </row>
    <row r="520" spans="1:20" x14ac:dyDescent="0.35">
      <c r="A520" s="3">
        <v>368960</v>
      </c>
      <c r="B520" s="2" t="s">
        <v>27</v>
      </c>
      <c r="C520">
        <v>97233</v>
      </c>
      <c r="D520" s="2" t="s">
        <v>29</v>
      </c>
      <c r="E520">
        <v>3</v>
      </c>
      <c r="F520">
        <v>1</v>
      </c>
      <c r="G520" s="4">
        <f>VALUE(SUBSTITUTE(SUBSTITUTE(Table1[[#This Row],[Price]],"$",""),",",""))</f>
        <v>368960</v>
      </c>
      <c r="H520" s="1">
        <f>Table1[[#This Row],[Price2]]/Table1[[#This Row],[Area]]</f>
        <v>254.98272287491361</v>
      </c>
      <c r="I520">
        <v>1447</v>
      </c>
      <c r="J520">
        <v>2009</v>
      </c>
      <c r="K520">
        <v>30</v>
      </c>
      <c r="L520" t="s">
        <v>52</v>
      </c>
      <c r="M520" t="s">
        <v>351</v>
      </c>
      <c r="N520" s="2" t="s">
        <v>3027</v>
      </c>
      <c r="O520" t="s">
        <v>3028</v>
      </c>
      <c r="P520" t="s">
        <v>21</v>
      </c>
      <c r="Q520">
        <v>254.98272287491361</v>
      </c>
      <c r="R520">
        <f ca="1">YEAR(TODAY())-Table1[[#This Row],[Year Built]]</f>
        <v>17</v>
      </c>
      <c r="S520" t="str">
        <f>IF(Table1[[#This Row],[Days on Market]] &lt; 30,"Fast",IF(Table1[[#This Row],[Days on Market]]&lt;= 90,"Average", "Slow"))</f>
        <v>Average</v>
      </c>
      <c r="T520" t="str">
        <f>IF(Table1[[#This Row],[Price2]]&lt;500000,"Affordable",IF(Table1[[#This Row],[Price2]]&lt;1000000,"Mid range","Luxury"))</f>
        <v>Affordable</v>
      </c>
    </row>
    <row r="521" spans="1:20" x14ac:dyDescent="0.35">
      <c r="A521" s="3">
        <v>369280</v>
      </c>
      <c r="B521" s="2" t="s">
        <v>34</v>
      </c>
      <c r="C521">
        <v>79829</v>
      </c>
      <c r="D521" s="2" t="s">
        <v>13</v>
      </c>
      <c r="E521">
        <v>2</v>
      </c>
      <c r="F521">
        <v>2</v>
      </c>
      <c r="G521" s="4">
        <f>VALUE(SUBSTITUTE(SUBSTITUTE(Table1[[#This Row],[Price]],"$",""),",",""))</f>
        <v>369280</v>
      </c>
      <c r="H521" s="1">
        <f>Table1[[#This Row],[Price2]]/Table1[[#This Row],[Area]]</f>
        <v>96.796854521625164</v>
      </c>
      <c r="I521">
        <v>3815</v>
      </c>
      <c r="J521">
        <v>1966</v>
      </c>
      <c r="K521">
        <v>9</v>
      </c>
      <c r="L521" t="s">
        <v>14</v>
      </c>
      <c r="M521" t="s">
        <v>2429</v>
      </c>
      <c r="N521" s="2" t="s">
        <v>3029</v>
      </c>
      <c r="O521" t="s">
        <v>3030</v>
      </c>
      <c r="P521" t="s">
        <v>21</v>
      </c>
      <c r="Q521">
        <v>96.796854521625164</v>
      </c>
      <c r="R521">
        <f ca="1">YEAR(TODAY())-Table1[[#This Row],[Year Built]]</f>
        <v>60</v>
      </c>
      <c r="S521" t="str">
        <f>IF(Table1[[#This Row],[Days on Market]] &lt; 30,"Fast",IF(Table1[[#This Row],[Days on Market]]&lt;= 90,"Average", "Slow"))</f>
        <v>Fast</v>
      </c>
      <c r="T521" t="str">
        <f>IF(Table1[[#This Row],[Price2]]&lt;500000,"Affordable",IF(Table1[[#This Row],[Price2]]&lt;1000000,"Mid range","Luxury"))</f>
        <v>Affordable</v>
      </c>
    </row>
    <row r="522" spans="1:20" x14ac:dyDescent="0.35">
      <c r="A522" s="3">
        <v>369281</v>
      </c>
      <c r="B522" s="2" t="s">
        <v>12</v>
      </c>
      <c r="C522">
        <v>50148</v>
      </c>
      <c r="D522" s="2" t="s">
        <v>23</v>
      </c>
      <c r="E522">
        <v>2</v>
      </c>
      <c r="F522">
        <v>2</v>
      </c>
      <c r="G522" s="4">
        <f>VALUE(SUBSTITUTE(SUBSTITUTE(Table1[[#This Row],[Price]],"$",""),",",""))</f>
        <v>369281</v>
      </c>
      <c r="H522" s="1">
        <f>Table1[[#This Row],[Price2]]/Table1[[#This Row],[Area]]</f>
        <v>130.4418933239138</v>
      </c>
      <c r="I522">
        <v>2831</v>
      </c>
      <c r="J522">
        <v>1979</v>
      </c>
      <c r="K522">
        <v>41</v>
      </c>
      <c r="L522" t="s">
        <v>52</v>
      </c>
      <c r="M522" t="s">
        <v>952</v>
      </c>
      <c r="N522" s="2" t="s">
        <v>3035</v>
      </c>
      <c r="O522" t="s">
        <v>3036</v>
      </c>
      <c r="P522" t="s">
        <v>26</v>
      </c>
      <c r="Q522">
        <v>130.4418933239138</v>
      </c>
      <c r="R522">
        <f ca="1">YEAR(TODAY())-Table1[[#This Row],[Year Built]]</f>
        <v>47</v>
      </c>
      <c r="S522" t="str">
        <f>IF(Table1[[#This Row],[Days on Market]] &lt; 30,"Fast",IF(Table1[[#This Row],[Days on Market]]&lt;= 90,"Average", "Slow"))</f>
        <v>Average</v>
      </c>
      <c r="T522" t="str">
        <f>IF(Table1[[#This Row],[Price2]]&lt;500000,"Affordable",IF(Table1[[#This Row],[Price2]]&lt;1000000,"Mid range","Luxury"))</f>
        <v>Affordable</v>
      </c>
    </row>
    <row r="523" spans="1:20" x14ac:dyDescent="0.35">
      <c r="A523" s="3">
        <v>369317</v>
      </c>
      <c r="B523" s="2" t="s">
        <v>34</v>
      </c>
      <c r="C523">
        <v>71481</v>
      </c>
      <c r="D523" s="2" t="s">
        <v>18</v>
      </c>
      <c r="E523">
        <v>5</v>
      </c>
      <c r="F523">
        <v>4</v>
      </c>
      <c r="G523" s="4">
        <f>VALUE(SUBSTITUTE(SUBSTITUTE(Table1[[#This Row],[Price]],"$",""),",",""))</f>
        <v>369317</v>
      </c>
      <c r="H523" s="1">
        <f>Table1[[#This Row],[Price2]]/Table1[[#This Row],[Area]]</f>
        <v>141.66359800537015</v>
      </c>
      <c r="I523">
        <v>2607</v>
      </c>
      <c r="J523">
        <v>2010</v>
      </c>
      <c r="K523">
        <v>91</v>
      </c>
      <c r="L523" t="s">
        <v>14</v>
      </c>
      <c r="M523" t="s">
        <v>184</v>
      </c>
      <c r="N523" s="2" t="s">
        <v>3031</v>
      </c>
      <c r="O523" t="s">
        <v>3032</v>
      </c>
      <c r="P523" t="s">
        <v>21</v>
      </c>
      <c r="Q523">
        <v>141.66359800537015</v>
      </c>
      <c r="R523">
        <f ca="1">YEAR(TODAY())-Table1[[#This Row],[Year Built]]</f>
        <v>16</v>
      </c>
      <c r="S523" t="str">
        <f>IF(Table1[[#This Row],[Days on Market]] &lt; 30,"Fast",IF(Table1[[#This Row],[Days on Market]]&lt;= 90,"Average", "Slow"))</f>
        <v>Slow</v>
      </c>
      <c r="T523" t="str">
        <f>IF(Table1[[#This Row],[Price2]]&lt;500000,"Affordable",IF(Table1[[#This Row],[Price2]]&lt;1000000,"Mid range","Luxury"))</f>
        <v>Affordable</v>
      </c>
    </row>
    <row r="524" spans="1:20" x14ac:dyDescent="0.35">
      <c r="A524" s="3">
        <v>370684</v>
      </c>
      <c r="B524" s="2" t="s">
        <v>22</v>
      </c>
      <c r="C524">
        <v>95473</v>
      </c>
      <c r="D524" s="2" t="s">
        <v>29</v>
      </c>
      <c r="E524">
        <v>2</v>
      </c>
      <c r="F524">
        <v>2</v>
      </c>
      <c r="G524" s="4">
        <f>VALUE(SUBSTITUTE(SUBSTITUTE(Table1[[#This Row],[Price]],"$",""),",",""))</f>
        <v>370684</v>
      </c>
      <c r="H524" s="1">
        <f>Table1[[#This Row],[Price2]]/Table1[[#This Row],[Area]]</f>
        <v>102.93918356012219</v>
      </c>
      <c r="I524">
        <v>3601</v>
      </c>
      <c r="J524">
        <v>2022</v>
      </c>
      <c r="K524">
        <v>116</v>
      </c>
      <c r="L524" t="s">
        <v>40</v>
      </c>
      <c r="M524" t="s">
        <v>390</v>
      </c>
      <c r="N524" s="2" t="s">
        <v>3035</v>
      </c>
      <c r="O524" t="s">
        <v>3036</v>
      </c>
      <c r="P524" t="s">
        <v>21</v>
      </c>
      <c r="Q524">
        <v>102.93918356012219</v>
      </c>
      <c r="R524">
        <f ca="1">YEAR(TODAY())-Table1[[#This Row],[Year Built]]</f>
        <v>4</v>
      </c>
      <c r="S524" t="str">
        <f>IF(Table1[[#This Row],[Days on Market]] &lt; 30,"Fast",IF(Table1[[#This Row],[Days on Market]]&lt;= 90,"Average", "Slow"))</f>
        <v>Slow</v>
      </c>
      <c r="T524" t="str">
        <f>IF(Table1[[#This Row],[Price2]]&lt;500000,"Affordable",IF(Table1[[#This Row],[Price2]]&lt;1000000,"Mid range","Luxury"))</f>
        <v>Affordable</v>
      </c>
    </row>
    <row r="525" spans="1:20" x14ac:dyDescent="0.35">
      <c r="A525" s="3">
        <v>371380</v>
      </c>
      <c r="B525" s="2" t="s">
        <v>17</v>
      </c>
      <c r="C525">
        <v>96383</v>
      </c>
      <c r="D525" s="2" t="s">
        <v>13</v>
      </c>
      <c r="E525">
        <v>2</v>
      </c>
      <c r="F525">
        <v>2</v>
      </c>
      <c r="G525" s="4">
        <f>VALUE(SUBSTITUTE(SUBSTITUTE(Table1[[#This Row],[Price]],"$",""),",",""))</f>
        <v>371380</v>
      </c>
      <c r="H525" s="1">
        <f>Table1[[#This Row],[Price2]]/Table1[[#This Row],[Area]]</f>
        <v>110.00592417061611</v>
      </c>
      <c r="I525">
        <v>3376</v>
      </c>
      <c r="J525">
        <v>1965</v>
      </c>
      <c r="K525">
        <v>72</v>
      </c>
      <c r="L525" t="s">
        <v>30</v>
      </c>
      <c r="M525" t="s">
        <v>1286</v>
      </c>
      <c r="N525" s="2" t="s">
        <v>3029</v>
      </c>
      <c r="O525" t="s">
        <v>3030</v>
      </c>
      <c r="P525" t="s">
        <v>21</v>
      </c>
      <c r="Q525">
        <v>110.00592417061611</v>
      </c>
      <c r="R525">
        <f ca="1">YEAR(TODAY())-Table1[[#This Row],[Year Built]]</f>
        <v>61</v>
      </c>
      <c r="S525" t="str">
        <f>IF(Table1[[#This Row],[Days on Market]] &lt; 30,"Fast",IF(Table1[[#This Row],[Days on Market]]&lt;= 90,"Average", "Slow"))</f>
        <v>Average</v>
      </c>
      <c r="T525" t="str">
        <f>IF(Table1[[#This Row],[Price2]]&lt;500000,"Affordable",IF(Table1[[#This Row],[Price2]]&lt;1000000,"Mid range","Luxury"))</f>
        <v>Affordable</v>
      </c>
    </row>
    <row r="526" spans="1:20" x14ac:dyDescent="0.35">
      <c r="A526" s="3">
        <v>372641</v>
      </c>
      <c r="B526" s="2" t="s">
        <v>12</v>
      </c>
      <c r="C526">
        <v>18270</v>
      </c>
      <c r="D526" s="2" t="s">
        <v>23</v>
      </c>
      <c r="E526">
        <v>3</v>
      </c>
      <c r="F526">
        <v>3</v>
      </c>
      <c r="G526" s="4">
        <f>VALUE(SUBSTITUTE(SUBSTITUTE(Table1[[#This Row],[Price]],"$",""),",",""))</f>
        <v>372641</v>
      </c>
      <c r="H526" s="1">
        <f>Table1[[#This Row],[Price2]]/Table1[[#This Row],[Area]]</f>
        <v>97.986063633973174</v>
      </c>
      <c r="I526">
        <v>3803</v>
      </c>
      <c r="J526">
        <v>1961</v>
      </c>
      <c r="K526">
        <v>80</v>
      </c>
      <c r="L526" t="s">
        <v>40</v>
      </c>
      <c r="M526" t="s">
        <v>2748</v>
      </c>
      <c r="N526" s="2" t="s">
        <v>3035</v>
      </c>
      <c r="O526" t="s">
        <v>3036</v>
      </c>
      <c r="P526" t="s">
        <v>26</v>
      </c>
      <c r="Q526">
        <v>97.986063633973174</v>
      </c>
      <c r="R526">
        <f ca="1">YEAR(TODAY())-Table1[[#This Row],[Year Built]]</f>
        <v>65</v>
      </c>
      <c r="S526" t="str">
        <f>IF(Table1[[#This Row],[Days on Market]] &lt; 30,"Fast",IF(Table1[[#This Row],[Days on Market]]&lt;= 90,"Average", "Slow"))</f>
        <v>Average</v>
      </c>
      <c r="T526" t="str">
        <f>IF(Table1[[#This Row],[Price2]]&lt;500000,"Affordable",IF(Table1[[#This Row],[Price2]]&lt;1000000,"Mid range","Luxury"))</f>
        <v>Affordable</v>
      </c>
    </row>
    <row r="527" spans="1:20" x14ac:dyDescent="0.35">
      <c r="A527" s="3">
        <v>372979</v>
      </c>
      <c r="B527" s="2" t="s">
        <v>17</v>
      </c>
      <c r="C527">
        <v>80351</v>
      </c>
      <c r="D527" s="2" t="s">
        <v>35</v>
      </c>
      <c r="E527">
        <v>1</v>
      </c>
      <c r="F527">
        <v>1</v>
      </c>
      <c r="G527" s="4">
        <f>VALUE(SUBSTITUTE(SUBSTITUTE(Table1[[#This Row],[Price]],"$",""),",",""))</f>
        <v>372979</v>
      </c>
      <c r="H527" s="1">
        <f>Table1[[#This Row],[Price2]]/Table1[[#This Row],[Area]]</f>
        <v>520.92039106145251</v>
      </c>
      <c r="I527">
        <v>716</v>
      </c>
      <c r="J527">
        <v>1967</v>
      </c>
      <c r="K527">
        <v>113</v>
      </c>
      <c r="L527" t="s">
        <v>14</v>
      </c>
      <c r="M527" t="s">
        <v>2669</v>
      </c>
      <c r="N527" s="2" t="s">
        <v>3035</v>
      </c>
      <c r="O527" t="s">
        <v>3036</v>
      </c>
      <c r="P527" t="s">
        <v>21</v>
      </c>
      <c r="Q527">
        <v>520.92039106145251</v>
      </c>
      <c r="R527">
        <f ca="1">YEAR(TODAY())-Table1[[#This Row],[Year Built]]</f>
        <v>59</v>
      </c>
      <c r="S527" t="str">
        <f>IF(Table1[[#This Row],[Days on Market]] &lt; 30,"Fast",IF(Table1[[#This Row],[Days on Market]]&lt;= 90,"Average", "Slow"))</f>
        <v>Slow</v>
      </c>
      <c r="T527" t="str">
        <f>IF(Table1[[#This Row],[Price2]]&lt;500000,"Affordable",IF(Table1[[#This Row],[Price2]]&lt;1000000,"Mid range","Luxury"))</f>
        <v>Affordable</v>
      </c>
    </row>
    <row r="528" spans="1:20" x14ac:dyDescent="0.35">
      <c r="A528" s="3">
        <v>373305</v>
      </c>
      <c r="B528" s="2" t="s">
        <v>17</v>
      </c>
      <c r="C528">
        <v>88744</v>
      </c>
      <c r="D528" s="2" t="s">
        <v>13</v>
      </c>
      <c r="E528">
        <v>5</v>
      </c>
      <c r="F528">
        <v>3</v>
      </c>
      <c r="G528" s="4">
        <f>VALUE(SUBSTITUTE(SUBSTITUTE(Table1[[#This Row],[Price]],"$",""),",",""))</f>
        <v>373305</v>
      </c>
      <c r="H528" s="1">
        <f>Table1[[#This Row],[Price2]]/Table1[[#This Row],[Area]]</f>
        <v>121.91541476159372</v>
      </c>
      <c r="I528">
        <v>3062</v>
      </c>
      <c r="J528">
        <v>1960</v>
      </c>
      <c r="K528">
        <v>67</v>
      </c>
      <c r="L528" t="s">
        <v>14</v>
      </c>
      <c r="M528" t="s">
        <v>2119</v>
      </c>
      <c r="N528" s="2" t="s">
        <v>3027</v>
      </c>
      <c r="O528" t="s">
        <v>3028</v>
      </c>
      <c r="P528" t="s">
        <v>16</v>
      </c>
      <c r="Q528">
        <v>121.91541476159372</v>
      </c>
      <c r="R528">
        <f ca="1">YEAR(TODAY())-Table1[[#This Row],[Year Built]]</f>
        <v>66</v>
      </c>
      <c r="S528" t="str">
        <f>IF(Table1[[#This Row],[Days on Market]] &lt; 30,"Fast",IF(Table1[[#This Row],[Days on Market]]&lt;= 90,"Average", "Slow"))</f>
        <v>Average</v>
      </c>
      <c r="T528" t="str">
        <f>IF(Table1[[#This Row],[Price2]]&lt;500000,"Affordable",IF(Table1[[#This Row],[Price2]]&lt;1000000,"Mid range","Luxury"))</f>
        <v>Affordable</v>
      </c>
    </row>
    <row r="529" spans="1:20" x14ac:dyDescent="0.35">
      <c r="A529" s="3">
        <v>373698</v>
      </c>
      <c r="B529" s="2" t="s">
        <v>27</v>
      </c>
      <c r="C529">
        <v>90010</v>
      </c>
      <c r="D529" s="2" t="s">
        <v>18</v>
      </c>
      <c r="E529">
        <v>5</v>
      </c>
      <c r="F529">
        <v>3</v>
      </c>
      <c r="G529" s="4">
        <f>VALUE(SUBSTITUTE(SUBSTITUTE(Table1[[#This Row],[Price]],"$",""),",",""))</f>
        <v>373698</v>
      </c>
      <c r="H529" s="1">
        <f>Table1[[#This Row],[Price2]]/Table1[[#This Row],[Area]]</f>
        <v>104.4140821458508</v>
      </c>
      <c r="I529">
        <v>3579</v>
      </c>
      <c r="J529">
        <v>1955</v>
      </c>
      <c r="K529">
        <v>118</v>
      </c>
      <c r="L529" t="s">
        <v>19</v>
      </c>
      <c r="M529" t="s">
        <v>807</v>
      </c>
      <c r="N529" s="2" t="s">
        <v>3027</v>
      </c>
      <c r="O529" t="s">
        <v>3028</v>
      </c>
      <c r="P529" t="s">
        <v>21</v>
      </c>
      <c r="Q529">
        <v>104.4140821458508</v>
      </c>
      <c r="R529">
        <f ca="1">YEAR(TODAY())-Table1[[#This Row],[Year Built]]</f>
        <v>71</v>
      </c>
      <c r="S529" t="str">
        <f>IF(Table1[[#This Row],[Days on Market]] &lt; 30,"Fast",IF(Table1[[#This Row],[Days on Market]]&lt;= 90,"Average", "Slow"))</f>
        <v>Slow</v>
      </c>
      <c r="T529" t="str">
        <f>IF(Table1[[#This Row],[Price2]]&lt;500000,"Affordable",IF(Table1[[#This Row],[Price2]]&lt;1000000,"Mid range","Luxury"))</f>
        <v>Affordable</v>
      </c>
    </row>
    <row r="530" spans="1:20" x14ac:dyDescent="0.35">
      <c r="A530" s="3">
        <v>374194</v>
      </c>
      <c r="B530" s="2" t="s">
        <v>27</v>
      </c>
      <c r="C530">
        <v>87488</v>
      </c>
      <c r="D530" s="2" t="s">
        <v>29</v>
      </c>
      <c r="E530">
        <v>1</v>
      </c>
      <c r="F530">
        <v>3</v>
      </c>
      <c r="G530" s="4">
        <f>VALUE(SUBSTITUTE(SUBSTITUTE(Table1[[#This Row],[Price]],"$",""),",",""))</f>
        <v>374194</v>
      </c>
      <c r="H530" s="1">
        <f>Table1[[#This Row],[Price2]]/Table1[[#This Row],[Area]]</f>
        <v>130.56315422191207</v>
      </c>
      <c r="I530">
        <v>2866</v>
      </c>
      <c r="J530">
        <v>1964</v>
      </c>
      <c r="K530">
        <v>87</v>
      </c>
      <c r="L530" t="s">
        <v>30</v>
      </c>
      <c r="M530" t="s">
        <v>569</v>
      </c>
      <c r="N530" s="2" t="s">
        <v>3029</v>
      </c>
      <c r="O530" t="s">
        <v>3030</v>
      </c>
      <c r="P530" t="s">
        <v>21</v>
      </c>
      <c r="Q530">
        <v>130.56315422191207</v>
      </c>
      <c r="R530">
        <f ca="1">YEAR(TODAY())-Table1[[#This Row],[Year Built]]</f>
        <v>62</v>
      </c>
      <c r="S530" t="str">
        <f>IF(Table1[[#This Row],[Days on Market]] &lt; 30,"Fast",IF(Table1[[#This Row],[Days on Market]]&lt;= 90,"Average", "Slow"))</f>
        <v>Average</v>
      </c>
      <c r="T530" t="str">
        <f>IF(Table1[[#This Row],[Price2]]&lt;500000,"Affordable",IF(Table1[[#This Row],[Price2]]&lt;1000000,"Mid range","Luxury"))</f>
        <v>Affordable</v>
      </c>
    </row>
    <row r="531" spans="1:20" x14ac:dyDescent="0.35">
      <c r="A531" s="3">
        <v>374385</v>
      </c>
      <c r="B531" s="2" t="s">
        <v>22</v>
      </c>
      <c r="C531">
        <v>50594</v>
      </c>
      <c r="D531" s="2" t="s">
        <v>13</v>
      </c>
      <c r="E531">
        <v>1</v>
      </c>
      <c r="F531">
        <v>3</v>
      </c>
      <c r="G531" s="4">
        <f>VALUE(SUBSTITUTE(SUBSTITUTE(Table1[[#This Row],[Price]],"$",""),",",""))</f>
        <v>374385</v>
      </c>
      <c r="H531" s="1">
        <f>Table1[[#This Row],[Price2]]/Table1[[#This Row],[Area]]</f>
        <v>302.65561843168956</v>
      </c>
      <c r="I531">
        <v>1237</v>
      </c>
      <c r="J531">
        <v>1995</v>
      </c>
      <c r="K531">
        <v>17</v>
      </c>
      <c r="L531" t="s">
        <v>52</v>
      </c>
      <c r="M531" t="s">
        <v>407</v>
      </c>
      <c r="N531" s="2" t="s">
        <v>3031</v>
      </c>
      <c r="O531" t="s">
        <v>3032</v>
      </c>
      <c r="P531" t="s">
        <v>16</v>
      </c>
      <c r="Q531">
        <v>302.65561843168956</v>
      </c>
      <c r="R531">
        <f ca="1">YEAR(TODAY())-Table1[[#This Row],[Year Built]]</f>
        <v>31</v>
      </c>
      <c r="S531" t="str">
        <f>IF(Table1[[#This Row],[Days on Market]] &lt; 30,"Fast",IF(Table1[[#This Row],[Days on Market]]&lt;= 90,"Average", "Slow"))</f>
        <v>Fast</v>
      </c>
      <c r="T531" t="str">
        <f>IF(Table1[[#This Row],[Price2]]&lt;500000,"Affordable",IF(Table1[[#This Row],[Price2]]&lt;1000000,"Mid range","Luxury"))</f>
        <v>Affordable</v>
      </c>
    </row>
    <row r="532" spans="1:20" x14ac:dyDescent="0.35">
      <c r="A532" s="3">
        <v>374532</v>
      </c>
      <c r="B532" s="2" t="s">
        <v>22</v>
      </c>
      <c r="C532">
        <v>80992</v>
      </c>
      <c r="D532" s="2" t="s">
        <v>23</v>
      </c>
      <c r="E532">
        <v>3</v>
      </c>
      <c r="F532">
        <v>4</v>
      </c>
      <c r="G532" s="4">
        <f>VALUE(SUBSTITUTE(SUBSTITUTE(Table1[[#This Row],[Price]],"$",""),",",""))</f>
        <v>374532</v>
      </c>
      <c r="H532" s="1">
        <f>Table1[[#This Row],[Price2]]/Table1[[#This Row],[Area]]</f>
        <v>135.6017378711079</v>
      </c>
      <c r="I532">
        <v>2762</v>
      </c>
      <c r="J532">
        <v>1990</v>
      </c>
      <c r="K532">
        <v>30</v>
      </c>
      <c r="L532" t="s">
        <v>40</v>
      </c>
      <c r="M532" t="s">
        <v>2301</v>
      </c>
      <c r="N532" s="2" t="s">
        <v>3029</v>
      </c>
      <c r="O532" t="s">
        <v>3030</v>
      </c>
      <c r="P532" t="s">
        <v>21</v>
      </c>
      <c r="Q532">
        <v>135.6017378711079</v>
      </c>
      <c r="R532">
        <f ca="1">YEAR(TODAY())-Table1[[#This Row],[Year Built]]</f>
        <v>36</v>
      </c>
      <c r="S532" t="str">
        <f>IF(Table1[[#This Row],[Days on Market]] &lt; 30,"Fast",IF(Table1[[#This Row],[Days on Market]]&lt;= 90,"Average", "Slow"))</f>
        <v>Average</v>
      </c>
      <c r="T532" t="str">
        <f>IF(Table1[[#This Row],[Price2]]&lt;500000,"Affordable",IF(Table1[[#This Row],[Price2]]&lt;1000000,"Mid range","Luxury"))</f>
        <v>Affordable</v>
      </c>
    </row>
    <row r="533" spans="1:20" x14ac:dyDescent="0.35">
      <c r="A533" s="3">
        <v>375021</v>
      </c>
      <c r="B533" s="2" t="s">
        <v>22</v>
      </c>
      <c r="C533">
        <v>10818</v>
      </c>
      <c r="D533" s="2" t="s">
        <v>18</v>
      </c>
      <c r="E533">
        <v>1</v>
      </c>
      <c r="F533">
        <v>1</v>
      </c>
      <c r="G533" s="4">
        <f>VALUE(SUBSTITUTE(SUBSTITUTE(Table1[[#This Row],[Price]],"$",""),",",""))</f>
        <v>375021</v>
      </c>
      <c r="H533" s="1">
        <f>Table1[[#This Row],[Price2]]/Table1[[#This Row],[Area]]</f>
        <v>166.15906070004431</v>
      </c>
      <c r="I533">
        <v>2257</v>
      </c>
      <c r="J533">
        <v>2018</v>
      </c>
      <c r="K533">
        <v>93</v>
      </c>
      <c r="L533" t="s">
        <v>52</v>
      </c>
      <c r="M533" t="s">
        <v>586</v>
      </c>
      <c r="N533" s="2" t="s">
        <v>3035</v>
      </c>
      <c r="O533" t="s">
        <v>3036</v>
      </c>
      <c r="P533" t="s">
        <v>16</v>
      </c>
      <c r="Q533">
        <v>166.15906070004431</v>
      </c>
      <c r="R533">
        <f ca="1">YEAR(TODAY())-Table1[[#This Row],[Year Built]]</f>
        <v>8</v>
      </c>
      <c r="S533" t="str">
        <f>IF(Table1[[#This Row],[Days on Market]] &lt; 30,"Fast",IF(Table1[[#This Row],[Days on Market]]&lt;= 90,"Average", "Slow"))</f>
        <v>Slow</v>
      </c>
      <c r="T533" t="str">
        <f>IF(Table1[[#This Row],[Price2]]&lt;500000,"Affordable",IF(Table1[[#This Row],[Price2]]&lt;1000000,"Mid range","Luxury"))</f>
        <v>Affordable</v>
      </c>
    </row>
    <row r="534" spans="1:20" x14ac:dyDescent="0.35">
      <c r="A534" s="3">
        <v>375868</v>
      </c>
      <c r="B534" s="2" t="s">
        <v>12</v>
      </c>
      <c r="C534">
        <v>76509</v>
      </c>
      <c r="D534" s="2" t="s">
        <v>29</v>
      </c>
      <c r="E534">
        <v>3</v>
      </c>
      <c r="F534">
        <v>3</v>
      </c>
      <c r="G534" s="4">
        <f>VALUE(SUBSTITUTE(SUBSTITUTE(Table1[[#This Row],[Price]],"$",""),",",""))</f>
        <v>375868</v>
      </c>
      <c r="H534" s="1">
        <f>Table1[[#This Row],[Price2]]/Table1[[#This Row],[Area]]</f>
        <v>453.94685990338166</v>
      </c>
      <c r="I534">
        <v>828</v>
      </c>
      <c r="J534">
        <v>2009</v>
      </c>
      <c r="K534">
        <v>29</v>
      </c>
      <c r="L534" t="s">
        <v>30</v>
      </c>
      <c r="M534" t="s">
        <v>1504</v>
      </c>
      <c r="N534" s="2" t="s">
        <v>3027</v>
      </c>
      <c r="O534" t="s">
        <v>3028</v>
      </c>
      <c r="P534" t="s">
        <v>21</v>
      </c>
      <c r="Q534">
        <v>453.94685990338166</v>
      </c>
      <c r="R534">
        <f ca="1">YEAR(TODAY())-Table1[[#This Row],[Year Built]]</f>
        <v>17</v>
      </c>
      <c r="S534" t="str">
        <f>IF(Table1[[#This Row],[Days on Market]] &lt; 30,"Fast",IF(Table1[[#This Row],[Days on Market]]&lt;= 90,"Average", "Slow"))</f>
        <v>Fast</v>
      </c>
      <c r="T534" t="str">
        <f>IF(Table1[[#This Row],[Price2]]&lt;500000,"Affordable",IF(Table1[[#This Row],[Price2]]&lt;1000000,"Mid range","Luxury"))</f>
        <v>Affordable</v>
      </c>
    </row>
    <row r="535" spans="1:20" x14ac:dyDescent="0.35">
      <c r="A535" s="3">
        <v>376794</v>
      </c>
      <c r="B535" s="2" t="s">
        <v>12</v>
      </c>
      <c r="C535">
        <v>25609</v>
      </c>
      <c r="D535" s="2" t="s">
        <v>35</v>
      </c>
      <c r="E535">
        <v>2</v>
      </c>
      <c r="F535">
        <v>1</v>
      </c>
      <c r="G535" s="4">
        <f>VALUE(SUBSTITUTE(SUBSTITUTE(Table1[[#This Row],[Price]],"$",""),",",""))</f>
        <v>376794</v>
      </c>
      <c r="H535" s="1">
        <f>Table1[[#This Row],[Price2]]/Table1[[#This Row],[Area]]</f>
        <v>96.539584934665641</v>
      </c>
      <c r="I535">
        <v>3903</v>
      </c>
      <c r="J535">
        <v>1977</v>
      </c>
      <c r="K535">
        <v>113</v>
      </c>
      <c r="L535" t="s">
        <v>30</v>
      </c>
      <c r="M535" t="s">
        <v>2854</v>
      </c>
      <c r="N535" s="2" t="s">
        <v>3029</v>
      </c>
      <c r="O535" t="s">
        <v>3030</v>
      </c>
      <c r="P535" t="s">
        <v>26</v>
      </c>
      <c r="Q535">
        <v>96.539584934665641</v>
      </c>
      <c r="R535">
        <f ca="1">YEAR(TODAY())-Table1[[#This Row],[Year Built]]</f>
        <v>49</v>
      </c>
      <c r="S535" t="str">
        <f>IF(Table1[[#This Row],[Days on Market]] &lt; 30,"Fast",IF(Table1[[#This Row],[Days on Market]]&lt;= 90,"Average", "Slow"))</f>
        <v>Slow</v>
      </c>
      <c r="T535" t="str">
        <f>IF(Table1[[#This Row],[Price2]]&lt;500000,"Affordable",IF(Table1[[#This Row],[Price2]]&lt;1000000,"Mid range","Luxury"))</f>
        <v>Affordable</v>
      </c>
    </row>
    <row r="536" spans="1:20" x14ac:dyDescent="0.35">
      <c r="A536" s="3">
        <v>377258</v>
      </c>
      <c r="B536" s="2" t="s">
        <v>34</v>
      </c>
      <c r="C536">
        <v>42736</v>
      </c>
      <c r="D536" s="2" t="s">
        <v>13</v>
      </c>
      <c r="E536">
        <v>6</v>
      </c>
      <c r="F536">
        <v>2</v>
      </c>
      <c r="G536" s="4">
        <f>VALUE(SUBSTITUTE(SUBSTITUTE(Table1[[#This Row],[Price]],"$",""),",",""))</f>
        <v>377258</v>
      </c>
      <c r="H536" s="1">
        <f>Table1[[#This Row],[Price2]]/Table1[[#This Row],[Area]]</f>
        <v>100.09498540726983</v>
      </c>
      <c r="I536">
        <v>3769</v>
      </c>
      <c r="J536">
        <v>1965</v>
      </c>
      <c r="K536">
        <v>11</v>
      </c>
      <c r="L536" t="s">
        <v>14</v>
      </c>
      <c r="M536" t="s">
        <v>2102</v>
      </c>
      <c r="N536" s="2" t="s">
        <v>3031</v>
      </c>
      <c r="O536" t="s">
        <v>3032</v>
      </c>
      <c r="P536" t="s">
        <v>21</v>
      </c>
      <c r="Q536">
        <v>100.09498540726983</v>
      </c>
      <c r="R536">
        <f ca="1">YEAR(TODAY())-Table1[[#This Row],[Year Built]]</f>
        <v>61</v>
      </c>
      <c r="S536" t="str">
        <f>IF(Table1[[#This Row],[Days on Market]] &lt; 30,"Fast",IF(Table1[[#This Row],[Days on Market]]&lt;= 90,"Average", "Slow"))</f>
        <v>Fast</v>
      </c>
      <c r="T536" t="str">
        <f>IF(Table1[[#This Row],[Price2]]&lt;500000,"Affordable",IF(Table1[[#This Row],[Price2]]&lt;1000000,"Mid range","Luxury"))</f>
        <v>Affordable</v>
      </c>
    </row>
    <row r="537" spans="1:20" x14ac:dyDescent="0.35">
      <c r="A537" s="3">
        <v>377819</v>
      </c>
      <c r="B537" s="2" t="s">
        <v>22</v>
      </c>
      <c r="C537">
        <v>10143</v>
      </c>
      <c r="D537" s="2" t="s">
        <v>23</v>
      </c>
      <c r="E537">
        <v>4</v>
      </c>
      <c r="F537">
        <v>3</v>
      </c>
      <c r="G537" s="4">
        <f>VALUE(SUBSTITUTE(SUBSTITUTE(Table1[[#This Row],[Price]],"$",""),",",""))</f>
        <v>377819</v>
      </c>
      <c r="H537" s="1">
        <f>Table1[[#This Row],[Price2]]/Table1[[#This Row],[Area]]</f>
        <v>197.39759665621736</v>
      </c>
      <c r="I537">
        <v>1914</v>
      </c>
      <c r="J537">
        <v>1953</v>
      </c>
      <c r="K537">
        <v>93</v>
      </c>
      <c r="L537" t="s">
        <v>30</v>
      </c>
      <c r="M537" t="s">
        <v>1273</v>
      </c>
      <c r="N537" s="2" t="s">
        <v>3027</v>
      </c>
      <c r="O537" t="s">
        <v>3028</v>
      </c>
      <c r="P537" t="s">
        <v>21</v>
      </c>
      <c r="Q537">
        <v>197.39759665621736</v>
      </c>
      <c r="R537">
        <f ca="1">YEAR(TODAY())-Table1[[#This Row],[Year Built]]</f>
        <v>73</v>
      </c>
      <c r="S537" t="str">
        <f>IF(Table1[[#This Row],[Days on Market]] &lt; 30,"Fast",IF(Table1[[#This Row],[Days on Market]]&lt;= 90,"Average", "Slow"))</f>
        <v>Slow</v>
      </c>
      <c r="T537" t="str">
        <f>IF(Table1[[#This Row],[Price2]]&lt;500000,"Affordable",IF(Table1[[#This Row],[Price2]]&lt;1000000,"Mid range","Luxury"))</f>
        <v>Affordable</v>
      </c>
    </row>
    <row r="538" spans="1:20" x14ac:dyDescent="0.35">
      <c r="A538" s="3">
        <v>378010</v>
      </c>
      <c r="B538" s="2" t="s">
        <v>22</v>
      </c>
      <c r="C538">
        <v>22975</v>
      </c>
      <c r="D538" s="2" t="s">
        <v>13</v>
      </c>
      <c r="E538">
        <v>1</v>
      </c>
      <c r="F538">
        <v>3</v>
      </c>
      <c r="G538" s="4">
        <f>VALUE(SUBSTITUTE(SUBSTITUTE(Table1[[#This Row],[Price]],"$",""),",",""))</f>
        <v>378010</v>
      </c>
      <c r="H538" s="1">
        <f>Table1[[#This Row],[Price2]]/Table1[[#This Row],[Area]]</f>
        <v>101.34316353887399</v>
      </c>
      <c r="I538">
        <v>3730</v>
      </c>
      <c r="J538">
        <v>2006</v>
      </c>
      <c r="K538">
        <v>78</v>
      </c>
      <c r="L538" t="s">
        <v>52</v>
      </c>
      <c r="M538" t="s">
        <v>2073</v>
      </c>
      <c r="N538" s="2" t="s">
        <v>3033</v>
      </c>
      <c r="O538" t="s">
        <v>3034</v>
      </c>
      <c r="P538" t="s">
        <v>21</v>
      </c>
      <c r="Q538">
        <v>101.34316353887399</v>
      </c>
      <c r="R538">
        <f ca="1">YEAR(TODAY())-Table1[[#This Row],[Year Built]]</f>
        <v>20</v>
      </c>
      <c r="S538" t="str">
        <f>IF(Table1[[#This Row],[Days on Market]] &lt; 30,"Fast",IF(Table1[[#This Row],[Days on Market]]&lt;= 90,"Average", "Slow"))</f>
        <v>Average</v>
      </c>
      <c r="T538" t="str">
        <f>IF(Table1[[#This Row],[Price2]]&lt;500000,"Affordable",IF(Table1[[#This Row],[Price2]]&lt;1000000,"Mid range","Luxury"))</f>
        <v>Affordable</v>
      </c>
    </row>
    <row r="539" spans="1:20" x14ac:dyDescent="0.35">
      <c r="A539" s="3">
        <v>378020</v>
      </c>
      <c r="B539" s="2" t="s">
        <v>22</v>
      </c>
      <c r="C539">
        <v>62364</v>
      </c>
      <c r="D539" s="2" t="s">
        <v>35</v>
      </c>
      <c r="E539">
        <v>4</v>
      </c>
      <c r="F539">
        <v>4</v>
      </c>
      <c r="G539" s="4">
        <f>VALUE(SUBSTITUTE(SUBSTITUTE(Table1[[#This Row],[Price]],"$",""),",",""))</f>
        <v>378020</v>
      </c>
      <c r="H539" s="1">
        <f>Table1[[#This Row],[Price2]]/Table1[[#This Row],[Area]]</f>
        <v>286.81335356600908</v>
      </c>
      <c r="I539">
        <v>1318</v>
      </c>
      <c r="J539">
        <v>1987</v>
      </c>
      <c r="K539">
        <v>66</v>
      </c>
      <c r="L539" t="s">
        <v>40</v>
      </c>
      <c r="M539" t="s">
        <v>2284</v>
      </c>
      <c r="N539" s="2" t="s">
        <v>3035</v>
      </c>
      <c r="O539" t="s">
        <v>3036</v>
      </c>
      <c r="P539" t="s">
        <v>16</v>
      </c>
      <c r="Q539">
        <v>286.81335356600908</v>
      </c>
      <c r="R539">
        <f ca="1">YEAR(TODAY())-Table1[[#This Row],[Year Built]]</f>
        <v>39</v>
      </c>
      <c r="S539" t="str">
        <f>IF(Table1[[#This Row],[Days on Market]] &lt; 30,"Fast",IF(Table1[[#This Row],[Days on Market]]&lt;= 90,"Average", "Slow"))</f>
        <v>Average</v>
      </c>
      <c r="T539" t="str">
        <f>IF(Table1[[#This Row],[Price2]]&lt;500000,"Affordable",IF(Table1[[#This Row],[Price2]]&lt;1000000,"Mid range","Luxury"))</f>
        <v>Affordable</v>
      </c>
    </row>
    <row r="540" spans="1:20" x14ac:dyDescent="0.35">
      <c r="A540" s="3">
        <v>378181</v>
      </c>
      <c r="B540" s="2" t="s">
        <v>34</v>
      </c>
      <c r="C540">
        <v>55163</v>
      </c>
      <c r="D540" s="2" t="s">
        <v>18</v>
      </c>
      <c r="E540">
        <v>2</v>
      </c>
      <c r="F540">
        <v>1</v>
      </c>
      <c r="G540" s="4">
        <f>VALUE(SUBSTITUTE(SUBSTITUTE(Table1[[#This Row],[Price]],"$",""),",",""))</f>
        <v>378181</v>
      </c>
      <c r="H540" s="1">
        <f>Table1[[#This Row],[Price2]]/Table1[[#This Row],[Area]]</f>
        <v>393.11954261954264</v>
      </c>
      <c r="I540">
        <v>962</v>
      </c>
      <c r="J540">
        <v>1962</v>
      </c>
      <c r="K540">
        <v>12</v>
      </c>
      <c r="L540" t="s">
        <v>40</v>
      </c>
      <c r="M540" t="s">
        <v>1282</v>
      </c>
      <c r="N540" s="2" t="s">
        <v>3031</v>
      </c>
      <c r="O540" t="s">
        <v>3032</v>
      </c>
      <c r="P540" t="s">
        <v>16</v>
      </c>
      <c r="Q540">
        <v>393.11954261954264</v>
      </c>
      <c r="R540">
        <f ca="1">YEAR(TODAY())-Table1[[#This Row],[Year Built]]</f>
        <v>64</v>
      </c>
      <c r="S540" t="str">
        <f>IF(Table1[[#This Row],[Days on Market]] &lt; 30,"Fast",IF(Table1[[#This Row],[Days on Market]]&lt;= 90,"Average", "Slow"))</f>
        <v>Fast</v>
      </c>
      <c r="T540" t="str">
        <f>IF(Table1[[#This Row],[Price2]]&lt;500000,"Affordable",IF(Table1[[#This Row],[Price2]]&lt;1000000,"Mid range","Luxury"))</f>
        <v>Affordable</v>
      </c>
    </row>
    <row r="541" spans="1:20" x14ac:dyDescent="0.35">
      <c r="A541" s="3">
        <v>378449</v>
      </c>
      <c r="B541" s="2" t="s">
        <v>27</v>
      </c>
      <c r="C541">
        <v>74325</v>
      </c>
      <c r="D541" s="2" t="s">
        <v>13</v>
      </c>
      <c r="E541">
        <v>6</v>
      </c>
      <c r="F541">
        <v>4</v>
      </c>
      <c r="G541" s="4">
        <f>VALUE(SUBSTITUTE(SUBSTITUTE(Table1[[#This Row],[Price]],"$",""),",",""))</f>
        <v>378449</v>
      </c>
      <c r="H541" s="1">
        <f>Table1[[#This Row],[Price2]]/Table1[[#This Row],[Area]]</f>
        <v>210.24944444444444</v>
      </c>
      <c r="I541">
        <v>1800</v>
      </c>
      <c r="J541">
        <v>2001</v>
      </c>
      <c r="K541">
        <v>13</v>
      </c>
      <c r="L541" t="s">
        <v>14</v>
      </c>
      <c r="M541" t="s">
        <v>1402</v>
      </c>
      <c r="N541" s="2" t="s">
        <v>3033</v>
      </c>
      <c r="O541" t="s">
        <v>3034</v>
      </c>
      <c r="P541" t="s">
        <v>26</v>
      </c>
      <c r="Q541">
        <v>210.24944444444444</v>
      </c>
      <c r="R541">
        <f ca="1">YEAR(TODAY())-Table1[[#This Row],[Year Built]]</f>
        <v>25</v>
      </c>
      <c r="S541" t="str">
        <f>IF(Table1[[#This Row],[Days on Market]] &lt; 30,"Fast",IF(Table1[[#This Row],[Days on Market]]&lt;= 90,"Average", "Slow"))</f>
        <v>Fast</v>
      </c>
      <c r="T541" t="str">
        <f>IF(Table1[[#This Row],[Price2]]&lt;500000,"Affordable",IF(Table1[[#This Row],[Price2]]&lt;1000000,"Mid range","Luxury"))</f>
        <v>Affordable</v>
      </c>
    </row>
    <row r="542" spans="1:20" x14ac:dyDescent="0.35">
      <c r="A542" s="3">
        <v>378465</v>
      </c>
      <c r="B542" s="2" t="s">
        <v>27</v>
      </c>
      <c r="C542">
        <v>58871</v>
      </c>
      <c r="D542" s="2" t="s">
        <v>35</v>
      </c>
      <c r="E542">
        <v>1</v>
      </c>
      <c r="F542">
        <v>1</v>
      </c>
      <c r="G542" s="4">
        <f>VALUE(SUBSTITUTE(SUBSTITUTE(Table1[[#This Row],[Price]],"$",""),",",""))</f>
        <v>378465</v>
      </c>
      <c r="H542" s="1">
        <f>Table1[[#This Row],[Price2]]/Table1[[#This Row],[Area]]</f>
        <v>468.97769516728624</v>
      </c>
      <c r="I542">
        <v>807</v>
      </c>
      <c r="J542">
        <v>2005</v>
      </c>
      <c r="K542">
        <v>1</v>
      </c>
      <c r="L542" t="s">
        <v>40</v>
      </c>
      <c r="M542" t="s">
        <v>1369</v>
      </c>
      <c r="N542" s="2" t="s">
        <v>3035</v>
      </c>
      <c r="O542" t="s">
        <v>3036</v>
      </c>
      <c r="P542" t="s">
        <v>16</v>
      </c>
      <c r="Q542">
        <v>468.97769516728624</v>
      </c>
      <c r="R542">
        <f ca="1">YEAR(TODAY())-Table1[[#This Row],[Year Built]]</f>
        <v>21</v>
      </c>
      <c r="S542" t="str">
        <f>IF(Table1[[#This Row],[Days on Market]] &lt; 30,"Fast",IF(Table1[[#This Row],[Days on Market]]&lt;= 90,"Average", "Slow"))</f>
        <v>Fast</v>
      </c>
      <c r="T542" t="str">
        <f>IF(Table1[[#This Row],[Price2]]&lt;500000,"Affordable",IF(Table1[[#This Row],[Price2]]&lt;1000000,"Mid range","Luxury"))</f>
        <v>Affordable</v>
      </c>
    </row>
    <row r="543" spans="1:20" x14ac:dyDescent="0.35">
      <c r="A543" s="3">
        <v>379538</v>
      </c>
      <c r="B543" s="2" t="s">
        <v>34</v>
      </c>
      <c r="C543">
        <v>22219</v>
      </c>
      <c r="D543" s="2" t="s">
        <v>29</v>
      </c>
      <c r="E543">
        <v>4</v>
      </c>
      <c r="F543">
        <v>3</v>
      </c>
      <c r="G543" s="4">
        <f>VALUE(SUBSTITUTE(SUBSTITUTE(Table1[[#This Row],[Price]],"$",""),",",""))</f>
        <v>379538</v>
      </c>
      <c r="H543" s="1">
        <f>Table1[[#This Row],[Price2]]/Table1[[#This Row],[Area]]</f>
        <v>192.26849037487335</v>
      </c>
      <c r="I543">
        <v>1974</v>
      </c>
      <c r="J543">
        <v>1988</v>
      </c>
      <c r="K543">
        <v>64</v>
      </c>
      <c r="L543" t="s">
        <v>14</v>
      </c>
      <c r="M543" t="s">
        <v>1058</v>
      </c>
      <c r="N543" s="2" t="s">
        <v>3033</v>
      </c>
      <c r="O543" t="s">
        <v>3034</v>
      </c>
      <c r="P543" t="s">
        <v>16</v>
      </c>
      <c r="Q543">
        <v>192.26849037487335</v>
      </c>
      <c r="R543">
        <f ca="1">YEAR(TODAY())-Table1[[#This Row],[Year Built]]</f>
        <v>38</v>
      </c>
      <c r="S543" t="str">
        <f>IF(Table1[[#This Row],[Days on Market]] &lt; 30,"Fast",IF(Table1[[#This Row],[Days on Market]]&lt;= 90,"Average", "Slow"))</f>
        <v>Average</v>
      </c>
      <c r="T543" t="str">
        <f>IF(Table1[[#This Row],[Price2]]&lt;500000,"Affordable",IF(Table1[[#This Row],[Price2]]&lt;1000000,"Mid range","Luxury"))</f>
        <v>Affordable</v>
      </c>
    </row>
    <row r="544" spans="1:20" x14ac:dyDescent="0.35">
      <c r="A544" s="3">
        <v>380139</v>
      </c>
      <c r="B544" s="2" t="s">
        <v>17</v>
      </c>
      <c r="C544">
        <v>91641</v>
      </c>
      <c r="D544" s="2" t="s">
        <v>29</v>
      </c>
      <c r="E544">
        <v>4</v>
      </c>
      <c r="F544">
        <v>1</v>
      </c>
      <c r="G544" s="4">
        <f>VALUE(SUBSTITUTE(SUBSTITUTE(Table1[[#This Row],[Price]],"$",""),",",""))</f>
        <v>380139</v>
      </c>
      <c r="H544" s="1">
        <f>Table1[[#This Row],[Price2]]/Table1[[#This Row],[Area]]</f>
        <v>179.81977294228949</v>
      </c>
      <c r="I544">
        <v>2114</v>
      </c>
      <c r="J544">
        <v>1995</v>
      </c>
      <c r="K544">
        <v>72</v>
      </c>
      <c r="L544" t="s">
        <v>14</v>
      </c>
      <c r="M544" t="s">
        <v>2093</v>
      </c>
      <c r="N544" s="2" t="s">
        <v>3029</v>
      </c>
      <c r="O544" t="s">
        <v>3030</v>
      </c>
      <c r="P544" t="s">
        <v>26</v>
      </c>
      <c r="Q544">
        <v>179.81977294228949</v>
      </c>
      <c r="R544">
        <f ca="1">YEAR(TODAY())-Table1[[#This Row],[Year Built]]</f>
        <v>31</v>
      </c>
      <c r="S544" t="str">
        <f>IF(Table1[[#This Row],[Days on Market]] &lt; 30,"Fast",IF(Table1[[#This Row],[Days on Market]]&lt;= 90,"Average", "Slow"))</f>
        <v>Average</v>
      </c>
      <c r="T544" t="str">
        <f>IF(Table1[[#This Row],[Price2]]&lt;500000,"Affordable",IF(Table1[[#This Row],[Price2]]&lt;1000000,"Mid range","Luxury"))</f>
        <v>Affordable</v>
      </c>
    </row>
    <row r="545" spans="1:20" x14ac:dyDescent="0.35">
      <c r="A545" s="3">
        <v>380154</v>
      </c>
      <c r="B545" s="2" t="s">
        <v>22</v>
      </c>
      <c r="C545">
        <v>48888</v>
      </c>
      <c r="D545" s="2" t="s">
        <v>13</v>
      </c>
      <c r="E545">
        <v>3</v>
      </c>
      <c r="F545">
        <v>3</v>
      </c>
      <c r="G545" s="4">
        <f>VALUE(SUBSTITUTE(SUBSTITUTE(Table1[[#This Row],[Price]],"$",""),",",""))</f>
        <v>380154</v>
      </c>
      <c r="H545" s="1">
        <f>Table1[[#This Row],[Price2]]/Table1[[#This Row],[Area]]</f>
        <v>132.31952662721895</v>
      </c>
      <c r="I545">
        <v>2873</v>
      </c>
      <c r="J545">
        <v>2021</v>
      </c>
      <c r="K545">
        <v>41</v>
      </c>
      <c r="L545" t="s">
        <v>14</v>
      </c>
      <c r="M545" t="s">
        <v>2617</v>
      </c>
      <c r="N545" s="2" t="s">
        <v>3033</v>
      </c>
      <c r="O545" t="s">
        <v>3034</v>
      </c>
      <c r="P545" t="s">
        <v>16</v>
      </c>
      <c r="Q545">
        <v>132.31952662721895</v>
      </c>
      <c r="R545">
        <f ca="1">YEAR(TODAY())-Table1[[#This Row],[Year Built]]</f>
        <v>5</v>
      </c>
      <c r="S545" t="str">
        <f>IF(Table1[[#This Row],[Days on Market]] &lt; 30,"Fast",IF(Table1[[#This Row],[Days on Market]]&lt;= 90,"Average", "Slow"))</f>
        <v>Average</v>
      </c>
      <c r="T545" t="str">
        <f>IF(Table1[[#This Row],[Price2]]&lt;500000,"Affordable",IF(Table1[[#This Row],[Price2]]&lt;1000000,"Mid range","Luxury"))</f>
        <v>Affordable</v>
      </c>
    </row>
    <row r="546" spans="1:20" x14ac:dyDescent="0.35">
      <c r="A546" s="3">
        <v>380336</v>
      </c>
      <c r="B546" s="2" t="s">
        <v>27</v>
      </c>
      <c r="C546">
        <v>77649</v>
      </c>
      <c r="D546" s="2" t="s">
        <v>35</v>
      </c>
      <c r="E546">
        <v>6</v>
      </c>
      <c r="F546">
        <v>1</v>
      </c>
      <c r="G546" s="4">
        <f>VALUE(SUBSTITUTE(SUBSTITUTE(Table1[[#This Row],[Price]],"$",""),",",""))</f>
        <v>380336</v>
      </c>
      <c r="H546" s="1">
        <f>Table1[[#This Row],[Price2]]/Table1[[#This Row],[Area]]</f>
        <v>401.62196409714892</v>
      </c>
      <c r="I546">
        <v>947</v>
      </c>
      <c r="J546">
        <v>1989</v>
      </c>
      <c r="K546">
        <v>56</v>
      </c>
      <c r="L546" t="s">
        <v>30</v>
      </c>
      <c r="M546" t="s">
        <v>1068</v>
      </c>
      <c r="N546" s="2" t="s">
        <v>3035</v>
      </c>
      <c r="O546" t="s">
        <v>3036</v>
      </c>
      <c r="P546" t="s">
        <v>16</v>
      </c>
      <c r="Q546">
        <v>401.62196409714892</v>
      </c>
      <c r="R546">
        <f ca="1">YEAR(TODAY())-Table1[[#This Row],[Year Built]]</f>
        <v>37</v>
      </c>
      <c r="S546" t="str">
        <f>IF(Table1[[#This Row],[Days on Market]] &lt; 30,"Fast",IF(Table1[[#This Row],[Days on Market]]&lt;= 90,"Average", "Slow"))</f>
        <v>Average</v>
      </c>
      <c r="T546" t="str">
        <f>IF(Table1[[#This Row],[Price2]]&lt;500000,"Affordable",IF(Table1[[#This Row],[Price2]]&lt;1000000,"Mid range","Luxury"))</f>
        <v>Affordable</v>
      </c>
    </row>
    <row r="547" spans="1:20" x14ac:dyDescent="0.35">
      <c r="A547" s="3">
        <v>380565</v>
      </c>
      <c r="B547" s="2" t="s">
        <v>12</v>
      </c>
      <c r="C547">
        <v>80154</v>
      </c>
      <c r="D547" s="2" t="s">
        <v>29</v>
      </c>
      <c r="E547">
        <v>4</v>
      </c>
      <c r="F547">
        <v>3</v>
      </c>
      <c r="G547" s="4">
        <f>VALUE(SUBSTITUTE(SUBSTITUTE(Table1[[#This Row],[Price]],"$",""),",",""))</f>
        <v>380565</v>
      </c>
      <c r="H547" s="1">
        <f>Table1[[#This Row],[Price2]]/Table1[[#This Row],[Area]]</f>
        <v>108.45397549159304</v>
      </c>
      <c r="I547">
        <v>3509</v>
      </c>
      <c r="J547">
        <v>2017</v>
      </c>
      <c r="K547">
        <v>71</v>
      </c>
      <c r="L547" t="s">
        <v>52</v>
      </c>
      <c r="M547" t="s">
        <v>602</v>
      </c>
      <c r="N547" s="2" t="s">
        <v>3027</v>
      </c>
      <c r="O547" t="s">
        <v>3028</v>
      </c>
      <c r="P547" t="s">
        <v>21</v>
      </c>
      <c r="Q547">
        <v>108.45397549159304</v>
      </c>
      <c r="R547">
        <f ca="1">YEAR(TODAY())-Table1[[#This Row],[Year Built]]</f>
        <v>9</v>
      </c>
      <c r="S547" t="str">
        <f>IF(Table1[[#This Row],[Days on Market]] &lt; 30,"Fast",IF(Table1[[#This Row],[Days on Market]]&lt;= 90,"Average", "Slow"))</f>
        <v>Average</v>
      </c>
      <c r="T547" t="str">
        <f>IF(Table1[[#This Row],[Price2]]&lt;500000,"Affordable",IF(Table1[[#This Row],[Price2]]&lt;1000000,"Mid range","Luxury"))</f>
        <v>Affordable</v>
      </c>
    </row>
    <row r="548" spans="1:20" x14ac:dyDescent="0.35">
      <c r="A548" s="3">
        <v>380705</v>
      </c>
      <c r="B548" s="2" t="s">
        <v>22</v>
      </c>
      <c r="C548">
        <v>31364</v>
      </c>
      <c r="D548" s="2" t="s">
        <v>13</v>
      </c>
      <c r="E548">
        <v>5</v>
      </c>
      <c r="F548">
        <v>3</v>
      </c>
      <c r="G548" s="4">
        <f>VALUE(SUBSTITUTE(SUBSTITUTE(Table1[[#This Row],[Price]],"$",""),",",""))</f>
        <v>380705</v>
      </c>
      <c r="H548" s="1">
        <f>Table1[[#This Row],[Price2]]/Table1[[#This Row],[Area]]</f>
        <v>116.96006144393242</v>
      </c>
      <c r="I548">
        <v>3255</v>
      </c>
      <c r="J548">
        <v>2022</v>
      </c>
      <c r="K548">
        <v>96</v>
      </c>
      <c r="L548" t="s">
        <v>30</v>
      </c>
      <c r="M548" t="s">
        <v>1537</v>
      </c>
      <c r="N548" s="2" t="s">
        <v>3033</v>
      </c>
      <c r="O548" t="s">
        <v>3034</v>
      </c>
      <c r="P548" t="s">
        <v>21</v>
      </c>
      <c r="Q548">
        <v>116.96006144393242</v>
      </c>
      <c r="R548">
        <f ca="1">YEAR(TODAY())-Table1[[#This Row],[Year Built]]</f>
        <v>4</v>
      </c>
      <c r="S548" t="str">
        <f>IF(Table1[[#This Row],[Days on Market]] &lt; 30,"Fast",IF(Table1[[#This Row],[Days on Market]]&lt;= 90,"Average", "Slow"))</f>
        <v>Slow</v>
      </c>
      <c r="T548" t="str">
        <f>IF(Table1[[#This Row],[Price2]]&lt;500000,"Affordable",IF(Table1[[#This Row],[Price2]]&lt;1000000,"Mid range","Luxury"))</f>
        <v>Affordable</v>
      </c>
    </row>
    <row r="549" spans="1:20" x14ac:dyDescent="0.35">
      <c r="A549" s="3">
        <v>382125</v>
      </c>
      <c r="B549" s="2" t="s">
        <v>12</v>
      </c>
      <c r="C549">
        <v>95381</v>
      </c>
      <c r="D549" s="2" t="s">
        <v>35</v>
      </c>
      <c r="E549">
        <v>5</v>
      </c>
      <c r="F549">
        <v>1</v>
      </c>
      <c r="G549" s="4">
        <f>VALUE(SUBSTITUTE(SUBSTITUTE(Table1[[#This Row],[Price]],"$",""),",",""))</f>
        <v>382125</v>
      </c>
      <c r="H549" s="1">
        <f>Table1[[#This Row],[Price2]]/Table1[[#This Row],[Area]]</f>
        <v>108.49659284497444</v>
      </c>
      <c r="I549">
        <v>3522</v>
      </c>
      <c r="J549">
        <v>1966</v>
      </c>
      <c r="K549">
        <v>80</v>
      </c>
      <c r="L549" t="s">
        <v>30</v>
      </c>
      <c r="M549" t="s">
        <v>2741</v>
      </c>
      <c r="N549" s="2" t="s">
        <v>3035</v>
      </c>
      <c r="O549" t="s">
        <v>3036</v>
      </c>
      <c r="P549" t="s">
        <v>21</v>
      </c>
      <c r="Q549">
        <v>108.49659284497444</v>
      </c>
      <c r="R549">
        <f ca="1">YEAR(TODAY())-Table1[[#This Row],[Year Built]]</f>
        <v>60</v>
      </c>
      <c r="S549" t="str">
        <f>IF(Table1[[#This Row],[Days on Market]] &lt; 30,"Fast",IF(Table1[[#This Row],[Days on Market]]&lt;= 90,"Average", "Slow"))</f>
        <v>Average</v>
      </c>
      <c r="T549" t="str">
        <f>IF(Table1[[#This Row],[Price2]]&lt;500000,"Affordable",IF(Table1[[#This Row],[Price2]]&lt;1000000,"Mid range","Luxury"))</f>
        <v>Affordable</v>
      </c>
    </row>
    <row r="550" spans="1:20" x14ac:dyDescent="0.35">
      <c r="A550" s="3">
        <v>382647</v>
      </c>
      <c r="B550" s="2" t="s">
        <v>34</v>
      </c>
      <c r="C550">
        <v>75902</v>
      </c>
      <c r="D550" s="2" t="s">
        <v>23</v>
      </c>
      <c r="E550">
        <v>3</v>
      </c>
      <c r="F550">
        <v>4</v>
      </c>
      <c r="G550" s="4">
        <f>VALUE(SUBSTITUTE(SUBSTITUTE(Table1[[#This Row],[Price]],"$",""),",",""))</f>
        <v>382647</v>
      </c>
      <c r="H550" s="1">
        <f>Table1[[#This Row],[Price2]]/Table1[[#This Row],[Area]]</f>
        <v>207.06006493506493</v>
      </c>
      <c r="I550">
        <v>1848</v>
      </c>
      <c r="J550">
        <v>2012</v>
      </c>
      <c r="K550">
        <v>3</v>
      </c>
      <c r="L550" t="s">
        <v>19</v>
      </c>
      <c r="M550" t="s">
        <v>2376</v>
      </c>
      <c r="N550" s="2" t="s">
        <v>3033</v>
      </c>
      <c r="O550" t="s">
        <v>3034</v>
      </c>
      <c r="P550" t="s">
        <v>26</v>
      </c>
      <c r="Q550">
        <v>207.06006493506493</v>
      </c>
      <c r="R550">
        <f ca="1">YEAR(TODAY())-Table1[[#This Row],[Year Built]]</f>
        <v>14</v>
      </c>
      <c r="S550" t="str">
        <f>IF(Table1[[#This Row],[Days on Market]] &lt; 30,"Fast",IF(Table1[[#This Row],[Days on Market]]&lt;= 90,"Average", "Slow"))</f>
        <v>Fast</v>
      </c>
      <c r="T550" t="str">
        <f>IF(Table1[[#This Row],[Price2]]&lt;500000,"Affordable",IF(Table1[[#This Row],[Price2]]&lt;1000000,"Mid range","Luxury"))</f>
        <v>Affordable</v>
      </c>
    </row>
    <row r="551" spans="1:20" x14ac:dyDescent="0.35">
      <c r="A551" s="3">
        <v>383121</v>
      </c>
      <c r="B551" s="2" t="s">
        <v>17</v>
      </c>
      <c r="C551">
        <v>60396</v>
      </c>
      <c r="D551" s="2" t="s">
        <v>18</v>
      </c>
      <c r="E551">
        <v>4</v>
      </c>
      <c r="F551">
        <v>2</v>
      </c>
      <c r="G551" s="4">
        <f>VALUE(SUBSTITUTE(SUBSTITUTE(Table1[[#This Row],[Price]],"$",""),",",""))</f>
        <v>383121</v>
      </c>
      <c r="H551" s="1">
        <f>Table1[[#This Row],[Price2]]/Table1[[#This Row],[Area]]</f>
        <v>348.60873521383076</v>
      </c>
      <c r="I551">
        <v>1099</v>
      </c>
      <c r="J551">
        <v>2015</v>
      </c>
      <c r="K551">
        <v>88</v>
      </c>
      <c r="L551" t="s">
        <v>30</v>
      </c>
      <c r="M551" t="s">
        <v>2338</v>
      </c>
      <c r="N551" s="2" t="s">
        <v>3031</v>
      </c>
      <c r="O551" t="s">
        <v>3032</v>
      </c>
      <c r="P551" t="s">
        <v>21</v>
      </c>
      <c r="Q551">
        <v>348.60873521383076</v>
      </c>
      <c r="R551">
        <f ca="1">YEAR(TODAY())-Table1[[#This Row],[Year Built]]</f>
        <v>11</v>
      </c>
      <c r="S551" t="str">
        <f>IF(Table1[[#This Row],[Days on Market]] &lt; 30,"Fast",IF(Table1[[#This Row],[Days on Market]]&lt;= 90,"Average", "Slow"))</f>
        <v>Average</v>
      </c>
      <c r="T551" t="str">
        <f>IF(Table1[[#This Row],[Price2]]&lt;500000,"Affordable",IF(Table1[[#This Row],[Price2]]&lt;1000000,"Mid range","Luxury"))</f>
        <v>Affordable</v>
      </c>
    </row>
    <row r="552" spans="1:20" x14ac:dyDescent="0.35">
      <c r="A552" s="3">
        <v>384317</v>
      </c>
      <c r="B552" s="2" t="s">
        <v>27</v>
      </c>
      <c r="C552">
        <v>72459</v>
      </c>
      <c r="D552" s="2" t="s">
        <v>35</v>
      </c>
      <c r="E552">
        <v>1</v>
      </c>
      <c r="F552">
        <v>2</v>
      </c>
      <c r="G552" s="4">
        <f>VALUE(SUBSTITUTE(SUBSTITUTE(Table1[[#This Row],[Price]],"$",""),",",""))</f>
        <v>384317</v>
      </c>
      <c r="H552" s="1">
        <f>Table1[[#This Row],[Price2]]/Table1[[#This Row],[Area]]</f>
        <v>134.04848273456574</v>
      </c>
      <c r="I552">
        <v>2867</v>
      </c>
      <c r="J552">
        <v>2020</v>
      </c>
      <c r="K552">
        <v>34</v>
      </c>
      <c r="L552" t="s">
        <v>14</v>
      </c>
      <c r="M552" t="s">
        <v>922</v>
      </c>
      <c r="N552" s="2" t="s">
        <v>3031</v>
      </c>
      <c r="O552" t="s">
        <v>3032</v>
      </c>
      <c r="P552" t="s">
        <v>26</v>
      </c>
      <c r="Q552">
        <v>134.04848273456574</v>
      </c>
      <c r="R552">
        <f ca="1">YEAR(TODAY())-Table1[[#This Row],[Year Built]]</f>
        <v>6</v>
      </c>
      <c r="S552" t="str">
        <f>IF(Table1[[#This Row],[Days on Market]] &lt; 30,"Fast",IF(Table1[[#This Row],[Days on Market]]&lt;= 90,"Average", "Slow"))</f>
        <v>Average</v>
      </c>
      <c r="T552" t="str">
        <f>IF(Table1[[#This Row],[Price2]]&lt;500000,"Affordable",IF(Table1[[#This Row],[Price2]]&lt;1000000,"Mid range","Luxury"))</f>
        <v>Affordable</v>
      </c>
    </row>
    <row r="553" spans="1:20" x14ac:dyDescent="0.35">
      <c r="A553" s="3">
        <v>384545</v>
      </c>
      <c r="B553" s="2" t="s">
        <v>12</v>
      </c>
      <c r="C553">
        <v>58360</v>
      </c>
      <c r="D553" s="2" t="s">
        <v>29</v>
      </c>
      <c r="E553">
        <v>4</v>
      </c>
      <c r="F553">
        <v>4</v>
      </c>
      <c r="G553" s="4">
        <f>VALUE(SUBSTITUTE(SUBSTITUTE(Table1[[#This Row],[Price]],"$",""),",",""))</f>
        <v>384545</v>
      </c>
      <c r="H553" s="1">
        <f>Table1[[#This Row],[Price2]]/Table1[[#This Row],[Area]]</f>
        <v>265.93706777316737</v>
      </c>
      <c r="I553">
        <v>1446</v>
      </c>
      <c r="J553">
        <v>2017</v>
      </c>
      <c r="K553">
        <v>6</v>
      </c>
      <c r="L553" t="s">
        <v>52</v>
      </c>
      <c r="M553" t="s">
        <v>1209</v>
      </c>
      <c r="N553" s="2" t="s">
        <v>3033</v>
      </c>
      <c r="O553" t="s">
        <v>3034</v>
      </c>
      <c r="P553" t="s">
        <v>21</v>
      </c>
      <c r="Q553">
        <v>265.93706777316737</v>
      </c>
      <c r="R553">
        <f ca="1">YEAR(TODAY())-Table1[[#This Row],[Year Built]]</f>
        <v>9</v>
      </c>
      <c r="S553" t="str">
        <f>IF(Table1[[#This Row],[Days on Market]] &lt; 30,"Fast",IF(Table1[[#This Row],[Days on Market]]&lt;= 90,"Average", "Slow"))</f>
        <v>Fast</v>
      </c>
      <c r="T553" t="str">
        <f>IF(Table1[[#This Row],[Price2]]&lt;500000,"Affordable",IF(Table1[[#This Row],[Price2]]&lt;1000000,"Mid range","Luxury"))</f>
        <v>Affordable</v>
      </c>
    </row>
    <row r="554" spans="1:20" x14ac:dyDescent="0.35">
      <c r="A554" s="3">
        <v>385824</v>
      </c>
      <c r="B554" s="2" t="s">
        <v>34</v>
      </c>
      <c r="C554">
        <v>36942</v>
      </c>
      <c r="D554" s="2" t="s">
        <v>35</v>
      </c>
      <c r="E554">
        <v>4</v>
      </c>
      <c r="F554">
        <v>1</v>
      </c>
      <c r="G554" s="4">
        <f>VALUE(SUBSTITUTE(SUBSTITUTE(Table1[[#This Row],[Price]],"$",""),",",""))</f>
        <v>385824</v>
      </c>
      <c r="H554" s="1">
        <f>Table1[[#This Row],[Price2]]/Table1[[#This Row],[Area]]</f>
        <v>180.96810506566604</v>
      </c>
      <c r="I554">
        <v>2132</v>
      </c>
      <c r="J554">
        <v>1952</v>
      </c>
      <c r="K554">
        <v>2</v>
      </c>
      <c r="L554" t="s">
        <v>40</v>
      </c>
      <c r="M554" t="s">
        <v>1802</v>
      </c>
      <c r="N554" s="2" t="s">
        <v>3033</v>
      </c>
      <c r="O554" t="s">
        <v>3034</v>
      </c>
      <c r="P554" t="s">
        <v>21</v>
      </c>
      <c r="Q554">
        <v>180.96810506566604</v>
      </c>
      <c r="R554">
        <f ca="1">YEAR(TODAY())-Table1[[#This Row],[Year Built]]</f>
        <v>74</v>
      </c>
      <c r="S554" t="str">
        <f>IF(Table1[[#This Row],[Days on Market]] &lt; 30,"Fast",IF(Table1[[#This Row],[Days on Market]]&lt;= 90,"Average", "Slow"))</f>
        <v>Fast</v>
      </c>
      <c r="T554" t="str">
        <f>IF(Table1[[#This Row],[Price2]]&lt;500000,"Affordable",IF(Table1[[#This Row],[Price2]]&lt;1000000,"Mid range","Luxury"))</f>
        <v>Affordable</v>
      </c>
    </row>
    <row r="555" spans="1:20" x14ac:dyDescent="0.35">
      <c r="A555" s="3">
        <v>386515</v>
      </c>
      <c r="B555" s="2" t="s">
        <v>17</v>
      </c>
      <c r="C555">
        <v>73202</v>
      </c>
      <c r="D555" s="2" t="s">
        <v>18</v>
      </c>
      <c r="E555">
        <v>2</v>
      </c>
      <c r="F555">
        <v>1</v>
      </c>
      <c r="G555" s="4">
        <f>VALUE(SUBSTITUTE(SUBSTITUTE(Table1[[#This Row],[Price]],"$",""),",",""))</f>
        <v>386515</v>
      </c>
      <c r="H555" s="1">
        <f>Table1[[#This Row],[Price2]]/Table1[[#This Row],[Area]]</f>
        <v>136.6260162601626</v>
      </c>
      <c r="I555">
        <v>2829</v>
      </c>
      <c r="J555">
        <v>1994</v>
      </c>
      <c r="K555">
        <v>117</v>
      </c>
      <c r="L555" t="s">
        <v>30</v>
      </c>
      <c r="M555" t="s">
        <v>1615</v>
      </c>
      <c r="N555" s="2" t="s">
        <v>3029</v>
      </c>
      <c r="O555" t="s">
        <v>3030</v>
      </c>
      <c r="P555" t="s">
        <v>16</v>
      </c>
      <c r="Q555">
        <v>136.6260162601626</v>
      </c>
      <c r="R555">
        <f ca="1">YEAR(TODAY())-Table1[[#This Row],[Year Built]]</f>
        <v>32</v>
      </c>
      <c r="S555" t="str">
        <f>IF(Table1[[#This Row],[Days on Market]] &lt; 30,"Fast",IF(Table1[[#This Row],[Days on Market]]&lt;= 90,"Average", "Slow"))</f>
        <v>Slow</v>
      </c>
      <c r="T555" t="str">
        <f>IF(Table1[[#This Row],[Price2]]&lt;500000,"Affordable",IF(Table1[[#This Row],[Price2]]&lt;1000000,"Mid range","Luxury"))</f>
        <v>Affordable</v>
      </c>
    </row>
    <row r="556" spans="1:20" x14ac:dyDescent="0.35">
      <c r="A556" s="3">
        <v>387069</v>
      </c>
      <c r="B556" s="2" t="s">
        <v>17</v>
      </c>
      <c r="C556">
        <v>97242</v>
      </c>
      <c r="D556" s="2" t="s">
        <v>35</v>
      </c>
      <c r="E556">
        <v>4</v>
      </c>
      <c r="F556">
        <v>1</v>
      </c>
      <c r="G556" s="4">
        <f>VALUE(SUBSTITUTE(SUBSTITUTE(Table1[[#This Row],[Price]],"$",""),",",""))</f>
        <v>387069</v>
      </c>
      <c r="H556" s="1">
        <f>Table1[[#This Row],[Price2]]/Table1[[#This Row],[Area]]</f>
        <v>114.17964601769911</v>
      </c>
      <c r="I556">
        <v>3390</v>
      </c>
      <c r="J556">
        <v>2008</v>
      </c>
      <c r="K556">
        <v>4</v>
      </c>
      <c r="L556" t="s">
        <v>52</v>
      </c>
      <c r="M556" t="s">
        <v>994</v>
      </c>
      <c r="N556" s="2" t="s">
        <v>3029</v>
      </c>
      <c r="O556" t="s">
        <v>3030</v>
      </c>
      <c r="P556" t="s">
        <v>16</v>
      </c>
      <c r="Q556">
        <v>114.17964601769911</v>
      </c>
      <c r="R556">
        <f ca="1">YEAR(TODAY())-Table1[[#This Row],[Year Built]]</f>
        <v>18</v>
      </c>
      <c r="S556" t="str">
        <f>IF(Table1[[#This Row],[Days on Market]] &lt; 30,"Fast",IF(Table1[[#This Row],[Days on Market]]&lt;= 90,"Average", "Slow"))</f>
        <v>Fast</v>
      </c>
      <c r="T556" t="str">
        <f>IF(Table1[[#This Row],[Price2]]&lt;500000,"Affordable",IF(Table1[[#This Row],[Price2]]&lt;1000000,"Mid range","Luxury"))</f>
        <v>Affordable</v>
      </c>
    </row>
    <row r="557" spans="1:20" x14ac:dyDescent="0.35">
      <c r="A557" s="3">
        <v>387441</v>
      </c>
      <c r="B557" s="2" t="s">
        <v>34</v>
      </c>
      <c r="C557">
        <v>52843</v>
      </c>
      <c r="D557" s="2" t="s">
        <v>13</v>
      </c>
      <c r="E557">
        <v>4</v>
      </c>
      <c r="F557">
        <v>3</v>
      </c>
      <c r="G557" s="4">
        <f>VALUE(SUBSTITUTE(SUBSTITUTE(Table1[[#This Row],[Price]],"$",""),",",""))</f>
        <v>387441</v>
      </c>
      <c r="H557" s="1">
        <f>Table1[[#This Row],[Price2]]/Table1[[#This Row],[Area]]</f>
        <v>112.04193175245807</v>
      </c>
      <c r="I557">
        <v>3458</v>
      </c>
      <c r="J557">
        <v>2004</v>
      </c>
      <c r="K557">
        <v>14</v>
      </c>
      <c r="L557" t="s">
        <v>14</v>
      </c>
      <c r="M557" t="s">
        <v>2536</v>
      </c>
      <c r="N557" s="2" t="s">
        <v>3027</v>
      </c>
      <c r="O557" t="s">
        <v>3028</v>
      </c>
      <c r="P557" t="s">
        <v>16</v>
      </c>
      <c r="Q557">
        <v>112.04193175245807</v>
      </c>
      <c r="R557">
        <f ca="1">YEAR(TODAY())-Table1[[#This Row],[Year Built]]</f>
        <v>22</v>
      </c>
      <c r="S557" t="str">
        <f>IF(Table1[[#This Row],[Days on Market]] &lt; 30,"Fast",IF(Table1[[#This Row],[Days on Market]]&lt;= 90,"Average", "Slow"))</f>
        <v>Fast</v>
      </c>
      <c r="T557" t="str">
        <f>IF(Table1[[#This Row],[Price2]]&lt;500000,"Affordable",IF(Table1[[#This Row],[Price2]]&lt;1000000,"Mid range","Luxury"))</f>
        <v>Affordable</v>
      </c>
    </row>
    <row r="558" spans="1:20" x14ac:dyDescent="0.35">
      <c r="A558" s="3">
        <v>387750</v>
      </c>
      <c r="B558" s="2" t="s">
        <v>27</v>
      </c>
      <c r="C558">
        <v>47133</v>
      </c>
      <c r="D558" s="2" t="s">
        <v>13</v>
      </c>
      <c r="E558">
        <v>4</v>
      </c>
      <c r="F558">
        <v>4</v>
      </c>
      <c r="G558" s="4">
        <f>VALUE(SUBSTITUTE(SUBSTITUTE(Table1[[#This Row],[Price]],"$",""),",",""))</f>
        <v>387750</v>
      </c>
      <c r="H558" s="1">
        <f>Table1[[#This Row],[Price2]]/Table1[[#This Row],[Area]]</f>
        <v>147.54566210045661</v>
      </c>
      <c r="I558">
        <v>2628</v>
      </c>
      <c r="J558">
        <v>1958</v>
      </c>
      <c r="K558">
        <v>87</v>
      </c>
      <c r="L558" t="s">
        <v>30</v>
      </c>
      <c r="M558" t="s">
        <v>2428</v>
      </c>
      <c r="N558" s="2" t="s">
        <v>3027</v>
      </c>
      <c r="O558" t="s">
        <v>3028</v>
      </c>
      <c r="P558" t="s">
        <v>16</v>
      </c>
      <c r="Q558">
        <v>147.54566210045661</v>
      </c>
      <c r="R558">
        <f ca="1">YEAR(TODAY())-Table1[[#This Row],[Year Built]]</f>
        <v>68</v>
      </c>
      <c r="S558" t="str">
        <f>IF(Table1[[#This Row],[Days on Market]] &lt; 30,"Fast",IF(Table1[[#This Row],[Days on Market]]&lt;= 90,"Average", "Slow"))</f>
        <v>Average</v>
      </c>
      <c r="T558" t="str">
        <f>IF(Table1[[#This Row],[Price2]]&lt;500000,"Affordable",IF(Table1[[#This Row],[Price2]]&lt;1000000,"Mid range","Luxury"))</f>
        <v>Affordable</v>
      </c>
    </row>
    <row r="559" spans="1:20" x14ac:dyDescent="0.35">
      <c r="A559" s="3">
        <v>387863</v>
      </c>
      <c r="B559" s="2" t="s">
        <v>34</v>
      </c>
      <c r="C559">
        <v>52483</v>
      </c>
      <c r="D559" s="2" t="s">
        <v>13</v>
      </c>
      <c r="E559">
        <v>6</v>
      </c>
      <c r="F559">
        <v>1</v>
      </c>
      <c r="G559" s="4">
        <f>VALUE(SUBSTITUTE(SUBSTITUTE(Table1[[#This Row],[Price]],"$",""),",",""))</f>
        <v>387863</v>
      </c>
      <c r="H559" s="1">
        <f>Table1[[#This Row],[Price2]]/Table1[[#This Row],[Area]]</f>
        <v>203.602624671916</v>
      </c>
      <c r="I559">
        <v>1905</v>
      </c>
      <c r="J559">
        <v>1974</v>
      </c>
      <c r="K559">
        <v>12</v>
      </c>
      <c r="L559" t="s">
        <v>52</v>
      </c>
      <c r="M559" t="s">
        <v>1158</v>
      </c>
      <c r="N559" s="2" t="s">
        <v>3033</v>
      </c>
      <c r="O559" t="s">
        <v>3034</v>
      </c>
      <c r="P559" t="s">
        <v>16</v>
      </c>
      <c r="Q559">
        <v>203.602624671916</v>
      </c>
      <c r="R559">
        <f ca="1">YEAR(TODAY())-Table1[[#This Row],[Year Built]]</f>
        <v>52</v>
      </c>
      <c r="S559" t="str">
        <f>IF(Table1[[#This Row],[Days on Market]] &lt; 30,"Fast",IF(Table1[[#This Row],[Days on Market]]&lt;= 90,"Average", "Slow"))</f>
        <v>Fast</v>
      </c>
      <c r="T559" t="str">
        <f>IF(Table1[[#This Row],[Price2]]&lt;500000,"Affordable",IF(Table1[[#This Row],[Price2]]&lt;1000000,"Mid range","Luxury"))</f>
        <v>Affordable</v>
      </c>
    </row>
    <row r="560" spans="1:20" x14ac:dyDescent="0.35">
      <c r="A560" s="3">
        <v>388016</v>
      </c>
      <c r="B560" s="2" t="s">
        <v>34</v>
      </c>
      <c r="C560">
        <v>12037</v>
      </c>
      <c r="D560" s="2" t="s">
        <v>23</v>
      </c>
      <c r="E560">
        <v>2</v>
      </c>
      <c r="F560">
        <v>4</v>
      </c>
      <c r="G560" s="4">
        <f>VALUE(SUBSTITUTE(SUBSTITUTE(Table1[[#This Row],[Price]],"$",""),",",""))</f>
        <v>388016</v>
      </c>
      <c r="H560" s="1">
        <f>Table1[[#This Row],[Price2]]/Table1[[#This Row],[Area]]</f>
        <v>126.63707571801567</v>
      </c>
      <c r="I560">
        <v>3064</v>
      </c>
      <c r="J560">
        <v>2002</v>
      </c>
      <c r="K560">
        <v>53</v>
      </c>
      <c r="L560" t="s">
        <v>14</v>
      </c>
      <c r="M560" t="s">
        <v>2202</v>
      </c>
      <c r="N560" s="2" t="s">
        <v>3035</v>
      </c>
      <c r="O560" t="s">
        <v>3036</v>
      </c>
      <c r="P560" t="s">
        <v>26</v>
      </c>
      <c r="Q560">
        <v>126.63707571801567</v>
      </c>
      <c r="R560">
        <f ca="1">YEAR(TODAY())-Table1[[#This Row],[Year Built]]</f>
        <v>24</v>
      </c>
      <c r="S560" t="str">
        <f>IF(Table1[[#This Row],[Days on Market]] &lt; 30,"Fast",IF(Table1[[#This Row],[Days on Market]]&lt;= 90,"Average", "Slow"))</f>
        <v>Average</v>
      </c>
      <c r="T560" t="str">
        <f>IF(Table1[[#This Row],[Price2]]&lt;500000,"Affordable",IF(Table1[[#This Row],[Price2]]&lt;1000000,"Mid range","Luxury"))</f>
        <v>Affordable</v>
      </c>
    </row>
    <row r="561" spans="1:20" x14ac:dyDescent="0.35">
      <c r="A561" s="3">
        <v>388184</v>
      </c>
      <c r="B561" s="2" t="s">
        <v>12</v>
      </c>
      <c r="C561">
        <v>74466</v>
      </c>
      <c r="D561" s="2" t="s">
        <v>23</v>
      </c>
      <c r="E561">
        <v>4</v>
      </c>
      <c r="F561">
        <v>1</v>
      </c>
      <c r="G561" s="4">
        <f>VALUE(SUBSTITUTE(SUBSTITUTE(Table1[[#This Row],[Price]],"$",""),",",""))</f>
        <v>388184</v>
      </c>
      <c r="H561" s="1">
        <f>Table1[[#This Row],[Price2]]/Table1[[#This Row],[Area]]</f>
        <v>293.85616956850873</v>
      </c>
      <c r="I561">
        <v>1321</v>
      </c>
      <c r="J561">
        <v>1958</v>
      </c>
      <c r="K561">
        <v>4</v>
      </c>
      <c r="L561" t="s">
        <v>30</v>
      </c>
      <c r="M561" t="s">
        <v>2994</v>
      </c>
      <c r="N561" s="2" t="s">
        <v>3029</v>
      </c>
      <c r="O561" t="s">
        <v>3030</v>
      </c>
      <c r="P561" t="s">
        <v>16</v>
      </c>
      <c r="Q561">
        <v>293.85616956850873</v>
      </c>
      <c r="R561">
        <f ca="1">YEAR(TODAY())-Table1[[#This Row],[Year Built]]</f>
        <v>68</v>
      </c>
      <c r="S561" t="str">
        <f>IF(Table1[[#This Row],[Days on Market]] &lt; 30,"Fast",IF(Table1[[#This Row],[Days on Market]]&lt;= 90,"Average", "Slow"))</f>
        <v>Fast</v>
      </c>
      <c r="T561" t="str">
        <f>IF(Table1[[#This Row],[Price2]]&lt;500000,"Affordable",IF(Table1[[#This Row],[Price2]]&lt;1000000,"Mid range","Luxury"))</f>
        <v>Affordable</v>
      </c>
    </row>
    <row r="562" spans="1:20" x14ac:dyDescent="0.35">
      <c r="A562" s="3">
        <v>388647</v>
      </c>
      <c r="B562" s="2" t="s">
        <v>34</v>
      </c>
      <c r="C562">
        <v>84376</v>
      </c>
      <c r="D562" s="2" t="s">
        <v>18</v>
      </c>
      <c r="E562">
        <v>1</v>
      </c>
      <c r="F562">
        <v>2</v>
      </c>
      <c r="G562" s="4">
        <f>VALUE(SUBSTITUTE(SUBSTITUTE(Table1[[#This Row],[Price]],"$",""),",",""))</f>
        <v>388647</v>
      </c>
      <c r="H562" s="1">
        <f>Table1[[#This Row],[Price2]]/Table1[[#This Row],[Area]]</f>
        <v>140.40715317919074</v>
      </c>
      <c r="I562">
        <v>2768</v>
      </c>
      <c r="J562">
        <v>2009</v>
      </c>
      <c r="K562">
        <v>59</v>
      </c>
      <c r="L562" t="s">
        <v>30</v>
      </c>
      <c r="M562" t="s">
        <v>2722</v>
      </c>
      <c r="N562" s="2" t="s">
        <v>3031</v>
      </c>
      <c r="O562" t="s">
        <v>3032</v>
      </c>
      <c r="P562" t="s">
        <v>21</v>
      </c>
      <c r="Q562">
        <v>140.40715317919074</v>
      </c>
      <c r="R562">
        <f ca="1">YEAR(TODAY())-Table1[[#This Row],[Year Built]]</f>
        <v>17</v>
      </c>
      <c r="S562" t="str">
        <f>IF(Table1[[#This Row],[Days on Market]] &lt; 30,"Fast",IF(Table1[[#This Row],[Days on Market]]&lt;= 90,"Average", "Slow"))</f>
        <v>Average</v>
      </c>
      <c r="T562" t="str">
        <f>IF(Table1[[#This Row],[Price2]]&lt;500000,"Affordable",IF(Table1[[#This Row],[Price2]]&lt;1000000,"Mid range","Luxury"))</f>
        <v>Affordable</v>
      </c>
    </row>
    <row r="563" spans="1:20" x14ac:dyDescent="0.35">
      <c r="A563" s="3">
        <v>388660</v>
      </c>
      <c r="B563" s="2" t="s">
        <v>17</v>
      </c>
      <c r="C563">
        <v>65725</v>
      </c>
      <c r="D563" s="2" t="s">
        <v>23</v>
      </c>
      <c r="E563">
        <v>3</v>
      </c>
      <c r="F563">
        <v>1</v>
      </c>
      <c r="G563" s="4">
        <f>VALUE(SUBSTITUTE(SUBSTITUTE(Table1[[#This Row],[Price]],"$",""),",",""))</f>
        <v>388660</v>
      </c>
      <c r="H563" s="1">
        <f>Table1[[#This Row],[Price2]]/Table1[[#This Row],[Area]]</f>
        <v>195.99596570852245</v>
      </c>
      <c r="I563">
        <v>1983</v>
      </c>
      <c r="J563">
        <v>2017</v>
      </c>
      <c r="K563">
        <v>93</v>
      </c>
      <c r="L563" t="s">
        <v>14</v>
      </c>
      <c r="M563" t="s">
        <v>312</v>
      </c>
      <c r="N563" s="2" t="s">
        <v>3031</v>
      </c>
      <c r="O563" t="s">
        <v>3032</v>
      </c>
      <c r="P563" t="s">
        <v>16</v>
      </c>
      <c r="Q563">
        <v>195.99596570852245</v>
      </c>
      <c r="R563">
        <f ca="1">YEAR(TODAY())-Table1[[#This Row],[Year Built]]</f>
        <v>9</v>
      </c>
      <c r="S563" t="str">
        <f>IF(Table1[[#This Row],[Days on Market]] &lt; 30,"Fast",IF(Table1[[#This Row],[Days on Market]]&lt;= 90,"Average", "Slow"))</f>
        <v>Slow</v>
      </c>
      <c r="T563" t="str">
        <f>IF(Table1[[#This Row],[Price2]]&lt;500000,"Affordable",IF(Table1[[#This Row],[Price2]]&lt;1000000,"Mid range","Luxury"))</f>
        <v>Affordable</v>
      </c>
    </row>
    <row r="564" spans="1:20" x14ac:dyDescent="0.35">
      <c r="A564" s="3">
        <v>388769</v>
      </c>
      <c r="B564" s="2" t="s">
        <v>34</v>
      </c>
      <c r="C564">
        <v>15945</v>
      </c>
      <c r="D564" s="2" t="s">
        <v>18</v>
      </c>
      <c r="E564">
        <v>5</v>
      </c>
      <c r="F564">
        <v>2</v>
      </c>
      <c r="G564" s="4">
        <f>VALUE(SUBSTITUTE(SUBSTITUTE(Table1[[#This Row],[Price]],"$",""),",",""))</f>
        <v>388769</v>
      </c>
      <c r="H564" s="1">
        <f>Table1[[#This Row],[Price2]]/Table1[[#This Row],[Area]]</f>
        <v>391.50956696878148</v>
      </c>
      <c r="I564">
        <v>993</v>
      </c>
      <c r="J564">
        <v>2011</v>
      </c>
      <c r="K564">
        <v>8</v>
      </c>
      <c r="L564" t="s">
        <v>19</v>
      </c>
      <c r="M564" t="s">
        <v>381</v>
      </c>
      <c r="N564" s="2" t="s">
        <v>3029</v>
      </c>
      <c r="O564" t="s">
        <v>3030</v>
      </c>
      <c r="P564" t="s">
        <v>21</v>
      </c>
      <c r="Q564">
        <v>391.50956696878148</v>
      </c>
      <c r="R564">
        <f ca="1">YEAR(TODAY())-Table1[[#This Row],[Year Built]]</f>
        <v>15</v>
      </c>
      <c r="S564" t="str">
        <f>IF(Table1[[#This Row],[Days on Market]] &lt; 30,"Fast",IF(Table1[[#This Row],[Days on Market]]&lt;= 90,"Average", "Slow"))</f>
        <v>Fast</v>
      </c>
      <c r="T564" t="str">
        <f>IF(Table1[[#This Row],[Price2]]&lt;500000,"Affordable",IF(Table1[[#This Row],[Price2]]&lt;1000000,"Mid range","Luxury"))</f>
        <v>Affordable</v>
      </c>
    </row>
    <row r="565" spans="1:20" x14ac:dyDescent="0.35">
      <c r="A565" s="3">
        <v>389653</v>
      </c>
      <c r="B565" s="2" t="s">
        <v>17</v>
      </c>
      <c r="C565">
        <v>88176</v>
      </c>
      <c r="D565" s="2" t="s">
        <v>23</v>
      </c>
      <c r="E565">
        <v>2</v>
      </c>
      <c r="F565">
        <v>4</v>
      </c>
      <c r="G565" s="4">
        <f>VALUE(SUBSTITUTE(SUBSTITUTE(Table1[[#This Row],[Price]],"$",""),",",""))</f>
        <v>389653</v>
      </c>
      <c r="H565" s="1">
        <f>Table1[[#This Row],[Price2]]/Table1[[#This Row],[Area]]</f>
        <v>331.33758503401361</v>
      </c>
      <c r="I565">
        <v>1176</v>
      </c>
      <c r="J565">
        <v>1968</v>
      </c>
      <c r="K565">
        <v>12</v>
      </c>
      <c r="L565" t="s">
        <v>40</v>
      </c>
      <c r="M565" t="s">
        <v>2958</v>
      </c>
      <c r="N565" s="2" t="s">
        <v>3027</v>
      </c>
      <c r="O565" t="s">
        <v>3028</v>
      </c>
      <c r="P565" t="s">
        <v>26</v>
      </c>
      <c r="Q565">
        <v>331.33758503401361</v>
      </c>
      <c r="R565">
        <f ca="1">YEAR(TODAY())-Table1[[#This Row],[Year Built]]</f>
        <v>58</v>
      </c>
      <c r="S565" t="str">
        <f>IF(Table1[[#This Row],[Days on Market]] &lt; 30,"Fast",IF(Table1[[#This Row],[Days on Market]]&lt;= 90,"Average", "Slow"))</f>
        <v>Fast</v>
      </c>
      <c r="T565" t="str">
        <f>IF(Table1[[#This Row],[Price2]]&lt;500000,"Affordable",IF(Table1[[#This Row],[Price2]]&lt;1000000,"Mid range","Luxury"))</f>
        <v>Affordable</v>
      </c>
    </row>
    <row r="566" spans="1:20" x14ac:dyDescent="0.35">
      <c r="A566" s="3">
        <v>389699</v>
      </c>
      <c r="B566" s="2" t="s">
        <v>27</v>
      </c>
      <c r="C566">
        <v>79617</v>
      </c>
      <c r="D566" s="2" t="s">
        <v>29</v>
      </c>
      <c r="E566">
        <v>6</v>
      </c>
      <c r="F566">
        <v>3</v>
      </c>
      <c r="G566" s="4">
        <f>VALUE(SUBSTITUTE(SUBSTITUTE(Table1[[#This Row],[Price]],"$",""),",",""))</f>
        <v>389699</v>
      </c>
      <c r="H566" s="1">
        <f>Table1[[#This Row],[Price2]]/Table1[[#This Row],[Area]]</f>
        <v>220.29338609383834</v>
      </c>
      <c r="I566">
        <v>1769</v>
      </c>
      <c r="J566">
        <v>1991</v>
      </c>
      <c r="K566">
        <v>115</v>
      </c>
      <c r="L566" t="s">
        <v>14</v>
      </c>
      <c r="M566" t="s">
        <v>442</v>
      </c>
      <c r="N566" s="2" t="s">
        <v>3035</v>
      </c>
      <c r="O566" t="s">
        <v>3036</v>
      </c>
      <c r="P566" t="s">
        <v>21</v>
      </c>
      <c r="Q566">
        <v>220.29338609383834</v>
      </c>
      <c r="R566">
        <f ca="1">YEAR(TODAY())-Table1[[#This Row],[Year Built]]</f>
        <v>35</v>
      </c>
      <c r="S566" t="str">
        <f>IF(Table1[[#This Row],[Days on Market]] &lt; 30,"Fast",IF(Table1[[#This Row],[Days on Market]]&lt;= 90,"Average", "Slow"))</f>
        <v>Slow</v>
      </c>
      <c r="T566" t="str">
        <f>IF(Table1[[#This Row],[Price2]]&lt;500000,"Affordable",IF(Table1[[#This Row],[Price2]]&lt;1000000,"Mid range","Luxury"))</f>
        <v>Affordable</v>
      </c>
    </row>
    <row r="567" spans="1:20" x14ac:dyDescent="0.35">
      <c r="A567" s="3">
        <v>389748</v>
      </c>
      <c r="B567" s="2" t="s">
        <v>22</v>
      </c>
      <c r="C567">
        <v>58019</v>
      </c>
      <c r="D567" s="2" t="s">
        <v>29</v>
      </c>
      <c r="E567">
        <v>5</v>
      </c>
      <c r="F567">
        <v>3</v>
      </c>
      <c r="G567" s="4">
        <f>VALUE(SUBSTITUTE(SUBSTITUTE(Table1[[#This Row],[Price]],"$",""),",",""))</f>
        <v>389748</v>
      </c>
      <c r="H567" s="1">
        <f>Table1[[#This Row],[Price2]]/Table1[[#This Row],[Area]]</f>
        <v>328.07070707070704</v>
      </c>
      <c r="I567">
        <v>1188</v>
      </c>
      <c r="J567">
        <v>1966</v>
      </c>
      <c r="K567">
        <v>55</v>
      </c>
      <c r="L567" t="s">
        <v>40</v>
      </c>
      <c r="M567" t="s">
        <v>517</v>
      </c>
      <c r="N567" s="2" t="s">
        <v>3035</v>
      </c>
      <c r="O567" t="s">
        <v>3036</v>
      </c>
      <c r="P567" t="s">
        <v>16</v>
      </c>
      <c r="Q567">
        <v>328.07070707070704</v>
      </c>
      <c r="R567">
        <f ca="1">YEAR(TODAY())-Table1[[#This Row],[Year Built]]</f>
        <v>60</v>
      </c>
      <c r="S567" t="str">
        <f>IF(Table1[[#This Row],[Days on Market]] &lt; 30,"Fast",IF(Table1[[#This Row],[Days on Market]]&lt;= 90,"Average", "Slow"))</f>
        <v>Average</v>
      </c>
      <c r="T567" t="str">
        <f>IF(Table1[[#This Row],[Price2]]&lt;500000,"Affordable",IF(Table1[[#This Row],[Price2]]&lt;1000000,"Mid range","Luxury"))</f>
        <v>Affordable</v>
      </c>
    </row>
    <row r="568" spans="1:20" x14ac:dyDescent="0.35">
      <c r="A568" s="3">
        <v>390371</v>
      </c>
      <c r="B568" s="2" t="s">
        <v>22</v>
      </c>
      <c r="C568">
        <v>74756</v>
      </c>
      <c r="D568" s="2" t="s">
        <v>29</v>
      </c>
      <c r="E568">
        <v>5</v>
      </c>
      <c r="F568">
        <v>4</v>
      </c>
      <c r="G568" s="4">
        <f>VALUE(SUBSTITUTE(SUBSTITUTE(Table1[[#This Row],[Price]],"$",""),",",""))</f>
        <v>390371</v>
      </c>
      <c r="H568" s="1">
        <f>Table1[[#This Row],[Price2]]/Table1[[#This Row],[Area]]</f>
        <v>110.30545351794292</v>
      </c>
      <c r="I568">
        <v>3539</v>
      </c>
      <c r="J568">
        <v>1985</v>
      </c>
      <c r="K568">
        <v>47</v>
      </c>
      <c r="L568" t="s">
        <v>30</v>
      </c>
      <c r="M568" t="s">
        <v>99</v>
      </c>
      <c r="N568" s="2" t="s">
        <v>3029</v>
      </c>
      <c r="O568" t="s">
        <v>3030</v>
      </c>
      <c r="P568" t="s">
        <v>26</v>
      </c>
      <c r="Q568">
        <v>110.30545351794292</v>
      </c>
      <c r="R568">
        <f ca="1">YEAR(TODAY())-Table1[[#This Row],[Year Built]]</f>
        <v>41</v>
      </c>
      <c r="S568" t="str">
        <f>IF(Table1[[#This Row],[Days on Market]] &lt; 30,"Fast",IF(Table1[[#This Row],[Days on Market]]&lt;= 90,"Average", "Slow"))</f>
        <v>Average</v>
      </c>
      <c r="T568" t="str">
        <f>IF(Table1[[#This Row],[Price2]]&lt;500000,"Affordable",IF(Table1[[#This Row],[Price2]]&lt;1000000,"Mid range","Luxury"))</f>
        <v>Affordable</v>
      </c>
    </row>
    <row r="569" spans="1:20" x14ac:dyDescent="0.35">
      <c r="A569" s="3">
        <v>390844</v>
      </c>
      <c r="B569" s="2" t="s">
        <v>17</v>
      </c>
      <c r="C569">
        <v>20603</v>
      </c>
      <c r="D569" s="2" t="s">
        <v>35</v>
      </c>
      <c r="E569">
        <v>3</v>
      </c>
      <c r="F569">
        <v>4</v>
      </c>
      <c r="G569" s="4">
        <f>VALUE(SUBSTITUTE(SUBSTITUTE(Table1[[#This Row],[Price]],"$",""),",",""))</f>
        <v>390844</v>
      </c>
      <c r="H569" s="1">
        <f>Table1[[#This Row],[Price2]]/Table1[[#This Row],[Area]]</f>
        <v>103.67214854111405</v>
      </c>
      <c r="I569">
        <v>3770</v>
      </c>
      <c r="J569">
        <v>1986</v>
      </c>
      <c r="K569">
        <v>39</v>
      </c>
      <c r="L569" t="s">
        <v>30</v>
      </c>
      <c r="M569" t="s">
        <v>710</v>
      </c>
      <c r="N569" s="2" t="s">
        <v>3031</v>
      </c>
      <c r="O569" t="s">
        <v>3032</v>
      </c>
      <c r="P569" t="s">
        <v>21</v>
      </c>
      <c r="Q569">
        <v>103.67214854111405</v>
      </c>
      <c r="R569">
        <f ca="1">YEAR(TODAY())-Table1[[#This Row],[Year Built]]</f>
        <v>40</v>
      </c>
      <c r="S569" t="str">
        <f>IF(Table1[[#This Row],[Days on Market]] &lt; 30,"Fast",IF(Table1[[#This Row],[Days on Market]]&lt;= 90,"Average", "Slow"))</f>
        <v>Average</v>
      </c>
      <c r="T569" t="str">
        <f>IF(Table1[[#This Row],[Price2]]&lt;500000,"Affordable",IF(Table1[[#This Row],[Price2]]&lt;1000000,"Mid range","Luxury"))</f>
        <v>Affordable</v>
      </c>
    </row>
    <row r="570" spans="1:20" x14ac:dyDescent="0.35">
      <c r="A570" s="3">
        <v>390894</v>
      </c>
      <c r="B570" s="2" t="s">
        <v>34</v>
      </c>
      <c r="C570">
        <v>31365</v>
      </c>
      <c r="D570" s="2" t="s">
        <v>35</v>
      </c>
      <c r="E570">
        <v>3</v>
      </c>
      <c r="F570">
        <v>3</v>
      </c>
      <c r="G570" s="4">
        <f>VALUE(SUBSTITUTE(SUBSTITUTE(Table1[[#This Row],[Price]],"$",""),",",""))</f>
        <v>390894</v>
      </c>
      <c r="H570" s="1">
        <f>Table1[[#This Row],[Price2]]/Table1[[#This Row],[Area]]</f>
        <v>220.59480812641084</v>
      </c>
      <c r="I570">
        <v>1772</v>
      </c>
      <c r="J570">
        <v>1951</v>
      </c>
      <c r="K570">
        <v>71</v>
      </c>
      <c r="L570" t="s">
        <v>40</v>
      </c>
      <c r="M570" t="s">
        <v>1023</v>
      </c>
      <c r="N570" s="2" t="s">
        <v>3033</v>
      </c>
      <c r="O570" t="s">
        <v>3034</v>
      </c>
      <c r="P570" t="s">
        <v>16</v>
      </c>
      <c r="Q570">
        <v>220.59480812641084</v>
      </c>
      <c r="R570">
        <f ca="1">YEAR(TODAY())-Table1[[#This Row],[Year Built]]</f>
        <v>75</v>
      </c>
      <c r="S570" t="str">
        <f>IF(Table1[[#This Row],[Days on Market]] &lt; 30,"Fast",IF(Table1[[#This Row],[Days on Market]]&lt;= 90,"Average", "Slow"))</f>
        <v>Average</v>
      </c>
      <c r="T570" t="str">
        <f>IF(Table1[[#This Row],[Price2]]&lt;500000,"Affordable",IF(Table1[[#This Row],[Price2]]&lt;1000000,"Mid range","Luxury"))</f>
        <v>Affordable</v>
      </c>
    </row>
    <row r="571" spans="1:20" x14ac:dyDescent="0.35">
      <c r="A571" s="3">
        <v>391248</v>
      </c>
      <c r="B571" s="2" t="s">
        <v>27</v>
      </c>
      <c r="C571">
        <v>64500</v>
      </c>
      <c r="D571" s="2" t="s">
        <v>29</v>
      </c>
      <c r="E571">
        <v>6</v>
      </c>
      <c r="F571">
        <v>1</v>
      </c>
      <c r="G571" s="4">
        <f>VALUE(SUBSTITUTE(SUBSTITUTE(Table1[[#This Row],[Price]],"$",""),",",""))</f>
        <v>391248</v>
      </c>
      <c r="H571" s="1">
        <f>Table1[[#This Row],[Price2]]/Table1[[#This Row],[Area]]</f>
        <v>295.05882352941177</v>
      </c>
      <c r="I571">
        <v>1326</v>
      </c>
      <c r="J571">
        <v>2010</v>
      </c>
      <c r="K571">
        <v>72</v>
      </c>
      <c r="L571" t="s">
        <v>14</v>
      </c>
      <c r="M571" t="s">
        <v>2011</v>
      </c>
      <c r="N571" s="2" t="s">
        <v>3029</v>
      </c>
      <c r="O571" t="s">
        <v>3030</v>
      </c>
      <c r="P571" t="s">
        <v>16</v>
      </c>
      <c r="Q571">
        <v>295.05882352941177</v>
      </c>
      <c r="R571">
        <f ca="1">YEAR(TODAY())-Table1[[#This Row],[Year Built]]</f>
        <v>16</v>
      </c>
      <c r="S571" t="str">
        <f>IF(Table1[[#This Row],[Days on Market]] &lt; 30,"Fast",IF(Table1[[#This Row],[Days on Market]]&lt;= 90,"Average", "Slow"))</f>
        <v>Average</v>
      </c>
      <c r="T571" t="str">
        <f>IF(Table1[[#This Row],[Price2]]&lt;500000,"Affordable",IF(Table1[[#This Row],[Price2]]&lt;1000000,"Mid range","Luxury"))</f>
        <v>Affordable</v>
      </c>
    </row>
    <row r="572" spans="1:20" x14ac:dyDescent="0.35">
      <c r="A572" s="3">
        <v>391685</v>
      </c>
      <c r="B572" s="2" t="s">
        <v>27</v>
      </c>
      <c r="C572">
        <v>99592</v>
      </c>
      <c r="D572" s="2" t="s">
        <v>29</v>
      </c>
      <c r="E572">
        <v>5</v>
      </c>
      <c r="F572">
        <v>2</v>
      </c>
      <c r="G572" s="4">
        <f>VALUE(SUBSTITUTE(SUBSTITUTE(Table1[[#This Row],[Price]],"$",""),",",""))</f>
        <v>391685</v>
      </c>
      <c r="H572" s="1">
        <f>Table1[[#This Row],[Price2]]/Table1[[#This Row],[Area]]</f>
        <v>215.68557268722466</v>
      </c>
      <c r="I572">
        <v>1816</v>
      </c>
      <c r="J572">
        <v>1983</v>
      </c>
      <c r="K572">
        <v>36</v>
      </c>
      <c r="L572" t="s">
        <v>40</v>
      </c>
      <c r="M572" t="s">
        <v>265</v>
      </c>
      <c r="N572" s="2" t="s">
        <v>3035</v>
      </c>
      <c r="O572" t="s">
        <v>3036</v>
      </c>
      <c r="P572" t="s">
        <v>16</v>
      </c>
      <c r="Q572">
        <v>215.68557268722466</v>
      </c>
      <c r="R572">
        <f ca="1">YEAR(TODAY())-Table1[[#This Row],[Year Built]]</f>
        <v>43</v>
      </c>
      <c r="S572" t="str">
        <f>IF(Table1[[#This Row],[Days on Market]] &lt; 30,"Fast",IF(Table1[[#This Row],[Days on Market]]&lt;= 90,"Average", "Slow"))</f>
        <v>Average</v>
      </c>
      <c r="T572" t="str">
        <f>IF(Table1[[#This Row],[Price2]]&lt;500000,"Affordable",IF(Table1[[#This Row],[Price2]]&lt;1000000,"Mid range","Luxury"))</f>
        <v>Affordable</v>
      </c>
    </row>
    <row r="573" spans="1:20" x14ac:dyDescent="0.35">
      <c r="A573" s="3">
        <v>391792</v>
      </c>
      <c r="B573" s="2" t="s">
        <v>27</v>
      </c>
      <c r="C573">
        <v>28238</v>
      </c>
      <c r="D573" s="2" t="s">
        <v>23</v>
      </c>
      <c r="E573">
        <v>1</v>
      </c>
      <c r="F573">
        <v>1</v>
      </c>
      <c r="G573" s="4">
        <f>VALUE(SUBSTITUTE(SUBSTITUTE(Table1[[#This Row],[Price]],"$",""),",",""))</f>
        <v>391792</v>
      </c>
      <c r="H573" s="1">
        <f>Table1[[#This Row],[Price2]]/Table1[[#This Row],[Area]]</f>
        <v>215.62575674188221</v>
      </c>
      <c r="I573">
        <v>1817</v>
      </c>
      <c r="J573">
        <v>2001</v>
      </c>
      <c r="K573">
        <v>104</v>
      </c>
      <c r="L573" t="s">
        <v>52</v>
      </c>
      <c r="M573" t="s">
        <v>2422</v>
      </c>
      <c r="N573" s="2" t="s">
        <v>3031</v>
      </c>
      <c r="O573" t="s">
        <v>3032</v>
      </c>
      <c r="P573" t="s">
        <v>21</v>
      </c>
      <c r="Q573">
        <v>215.62575674188221</v>
      </c>
      <c r="R573">
        <f ca="1">YEAR(TODAY())-Table1[[#This Row],[Year Built]]</f>
        <v>25</v>
      </c>
      <c r="S573" t="str">
        <f>IF(Table1[[#This Row],[Days on Market]] &lt; 30,"Fast",IF(Table1[[#This Row],[Days on Market]]&lt;= 90,"Average", "Slow"))</f>
        <v>Slow</v>
      </c>
      <c r="T573" t="str">
        <f>IF(Table1[[#This Row],[Price2]]&lt;500000,"Affordable",IF(Table1[[#This Row],[Price2]]&lt;1000000,"Mid range","Luxury"))</f>
        <v>Affordable</v>
      </c>
    </row>
    <row r="574" spans="1:20" x14ac:dyDescent="0.35">
      <c r="A574" s="3">
        <v>392020</v>
      </c>
      <c r="B574" s="2" t="s">
        <v>12</v>
      </c>
      <c r="C574">
        <v>85892</v>
      </c>
      <c r="D574" s="2" t="s">
        <v>29</v>
      </c>
      <c r="E574">
        <v>5</v>
      </c>
      <c r="F574">
        <v>1</v>
      </c>
      <c r="G574" s="4">
        <f>VALUE(SUBSTITUTE(SUBSTITUTE(Table1[[#This Row],[Price]],"$",""),",",""))</f>
        <v>392020</v>
      </c>
      <c r="H574" s="1">
        <f>Table1[[#This Row],[Price2]]/Table1[[#This Row],[Area]]</f>
        <v>112.13386727688787</v>
      </c>
      <c r="I574">
        <v>3496</v>
      </c>
      <c r="J574">
        <v>2017</v>
      </c>
      <c r="K574">
        <v>68</v>
      </c>
      <c r="L574" t="s">
        <v>14</v>
      </c>
      <c r="M574" t="s">
        <v>1446</v>
      </c>
      <c r="N574" s="2" t="s">
        <v>3029</v>
      </c>
      <c r="O574" t="s">
        <v>3030</v>
      </c>
      <c r="P574" t="s">
        <v>26</v>
      </c>
      <c r="Q574">
        <v>112.13386727688787</v>
      </c>
      <c r="R574">
        <f ca="1">YEAR(TODAY())-Table1[[#This Row],[Year Built]]</f>
        <v>9</v>
      </c>
      <c r="S574" t="str">
        <f>IF(Table1[[#This Row],[Days on Market]] &lt; 30,"Fast",IF(Table1[[#This Row],[Days on Market]]&lt;= 90,"Average", "Slow"))</f>
        <v>Average</v>
      </c>
      <c r="T574" t="str">
        <f>IF(Table1[[#This Row],[Price2]]&lt;500000,"Affordable",IF(Table1[[#This Row],[Price2]]&lt;1000000,"Mid range","Luxury"))</f>
        <v>Affordable</v>
      </c>
    </row>
    <row r="575" spans="1:20" x14ac:dyDescent="0.35">
      <c r="A575" s="3">
        <v>392126</v>
      </c>
      <c r="B575" s="2" t="s">
        <v>27</v>
      </c>
      <c r="C575">
        <v>83251</v>
      </c>
      <c r="D575" s="2" t="s">
        <v>18</v>
      </c>
      <c r="E575">
        <v>3</v>
      </c>
      <c r="F575">
        <v>1</v>
      </c>
      <c r="G575" s="4">
        <f>VALUE(SUBSTITUTE(SUBSTITUTE(Table1[[#This Row],[Price]],"$",""),",",""))</f>
        <v>392126</v>
      </c>
      <c r="H575" s="1">
        <f>Table1[[#This Row],[Price2]]/Table1[[#This Row],[Area]]</f>
        <v>253.80323624595468</v>
      </c>
      <c r="I575">
        <v>1545</v>
      </c>
      <c r="J575">
        <v>1997</v>
      </c>
      <c r="K575">
        <v>33</v>
      </c>
      <c r="L575" t="s">
        <v>19</v>
      </c>
      <c r="M575" t="s">
        <v>704</v>
      </c>
      <c r="N575" s="2" t="s">
        <v>3035</v>
      </c>
      <c r="O575" t="s">
        <v>3036</v>
      </c>
      <c r="P575" t="s">
        <v>16</v>
      </c>
      <c r="Q575">
        <v>253.80323624595468</v>
      </c>
      <c r="R575">
        <f ca="1">YEAR(TODAY())-Table1[[#This Row],[Year Built]]</f>
        <v>29</v>
      </c>
      <c r="S575" t="str">
        <f>IF(Table1[[#This Row],[Days on Market]] &lt; 30,"Fast",IF(Table1[[#This Row],[Days on Market]]&lt;= 90,"Average", "Slow"))</f>
        <v>Average</v>
      </c>
      <c r="T575" t="str">
        <f>IF(Table1[[#This Row],[Price2]]&lt;500000,"Affordable",IF(Table1[[#This Row],[Price2]]&lt;1000000,"Mid range","Luxury"))</f>
        <v>Affordable</v>
      </c>
    </row>
    <row r="576" spans="1:20" x14ac:dyDescent="0.35">
      <c r="A576" s="3">
        <v>392778</v>
      </c>
      <c r="B576" s="2" t="s">
        <v>34</v>
      </c>
      <c r="C576">
        <v>67259</v>
      </c>
      <c r="D576" s="2" t="s">
        <v>29</v>
      </c>
      <c r="E576">
        <v>5</v>
      </c>
      <c r="F576">
        <v>3</v>
      </c>
      <c r="G576" s="4">
        <f>VALUE(SUBSTITUTE(SUBSTITUTE(Table1[[#This Row],[Price]],"$",""),",",""))</f>
        <v>392778</v>
      </c>
      <c r="H576" s="1">
        <f>Table1[[#This Row],[Price2]]/Table1[[#This Row],[Area]]</f>
        <v>164.20484949832775</v>
      </c>
      <c r="I576">
        <v>2392</v>
      </c>
      <c r="J576">
        <v>1995</v>
      </c>
      <c r="K576">
        <v>57</v>
      </c>
      <c r="L576" t="s">
        <v>14</v>
      </c>
      <c r="M576" t="s">
        <v>908</v>
      </c>
      <c r="N576" s="2" t="s">
        <v>3027</v>
      </c>
      <c r="O576" t="s">
        <v>3028</v>
      </c>
      <c r="P576" t="s">
        <v>26</v>
      </c>
      <c r="Q576">
        <v>164.20484949832775</v>
      </c>
      <c r="R576">
        <f ca="1">YEAR(TODAY())-Table1[[#This Row],[Year Built]]</f>
        <v>31</v>
      </c>
      <c r="S576" t="str">
        <f>IF(Table1[[#This Row],[Days on Market]] &lt; 30,"Fast",IF(Table1[[#This Row],[Days on Market]]&lt;= 90,"Average", "Slow"))</f>
        <v>Average</v>
      </c>
      <c r="T576" t="str">
        <f>IF(Table1[[#This Row],[Price2]]&lt;500000,"Affordable",IF(Table1[[#This Row],[Price2]]&lt;1000000,"Mid range","Luxury"))</f>
        <v>Affordable</v>
      </c>
    </row>
    <row r="577" spans="1:20" x14ac:dyDescent="0.35">
      <c r="A577" s="3">
        <v>393230</v>
      </c>
      <c r="B577" s="2" t="s">
        <v>22</v>
      </c>
      <c r="C577">
        <v>74608</v>
      </c>
      <c r="D577" s="2" t="s">
        <v>18</v>
      </c>
      <c r="E577">
        <v>5</v>
      </c>
      <c r="F577">
        <v>3</v>
      </c>
      <c r="G577" s="4">
        <f>VALUE(SUBSTITUTE(SUBSTITUTE(Table1[[#This Row],[Price]],"$",""),",",""))</f>
        <v>393230</v>
      </c>
      <c r="H577" s="1">
        <f>Table1[[#This Row],[Price2]]/Table1[[#This Row],[Area]]</f>
        <v>123.77400062952471</v>
      </c>
      <c r="I577">
        <v>3177</v>
      </c>
      <c r="J577">
        <v>1995</v>
      </c>
      <c r="K577">
        <v>24</v>
      </c>
      <c r="L577" t="s">
        <v>19</v>
      </c>
      <c r="M577" t="s">
        <v>1911</v>
      </c>
      <c r="N577" s="2" t="s">
        <v>3027</v>
      </c>
      <c r="O577" t="s">
        <v>3028</v>
      </c>
      <c r="P577" t="s">
        <v>16</v>
      </c>
      <c r="Q577">
        <v>123.77400062952471</v>
      </c>
      <c r="R577">
        <f ca="1">YEAR(TODAY())-Table1[[#This Row],[Year Built]]</f>
        <v>31</v>
      </c>
      <c r="S577" t="str">
        <f>IF(Table1[[#This Row],[Days on Market]] &lt; 30,"Fast",IF(Table1[[#This Row],[Days on Market]]&lt;= 90,"Average", "Slow"))</f>
        <v>Fast</v>
      </c>
      <c r="T577" t="str">
        <f>IF(Table1[[#This Row],[Price2]]&lt;500000,"Affordable",IF(Table1[[#This Row],[Price2]]&lt;1000000,"Mid range","Luxury"))</f>
        <v>Affordable</v>
      </c>
    </row>
    <row r="578" spans="1:20" x14ac:dyDescent="0.35">
      <c r="A578" s="3">
        <v>393811</v>
      </c>
      <c r="B578" s="2" t="s">
        <v>22</v>
      </c>
      <c r="C578">
        <v>36438</v>
      </c>
      <c r="D578" s="2" t="s">
        <v>23</v>
      </c>
      <c r="E578">
        <v>6</v>
      </c>
      <c r="F578">
        <v>3</v>
      </c>
      <c r="G578" s="4">
        <f>VALUE(SUBSTITUTE(SUBSTITUTE(Table1[[#This Row],[Price]],"$",""),",",""))</f>
        <v>393811</v>
      </c>
      <c r="H578" s="1">
        <f>Table1[[#This Row],[Price2]]/Table1[[#This Row],[Area]]</f>
        <v>314.5455271565495</v>
      </c>
      <c r="I578">
        <v>1252</v>
      </c>
      <c r="J578">
        <v>2008</v>
      </c>
      <c r="K578">
        <v>100</v>
      </c>
      <c r="L578" t="s">
        <v>52</v>
      </c>
      <c r="M578" t="s">
        <v>473</v>
      </c>
      <c r="N578" s="2" t="s">
        <v>3027</v>
      </c>
      <c r="O578" t="s">
        <v>3028</v>
      </c>
      <c r="P578" t="s">
        <v>16</v>
      </c>
      <c r="Q578">
        <v>314.5455271565495</v>
      </c>
      <c r="R578">
        <f ca="1">YEAR(TODAY())-Table1[[#This Row],[Year Built]]</f>
        <v>18</v>
      </c>
      <c r="S578" t="str">
        <f>IF(Table1[[#This Row],[Days on Market]] &lt; 30,"Fast",IF(Table1[[#This Row],[Days on Market]]&lt;= 90,"Average", "Slow"))</f>
        <v>Slow</v>
      </c>
      <c r="T578" t="str">
        <f>IF(Table1[[#This Row],[Price2]]&lt;500000,"Affordable",IF(Table1[[#This Row],[Price2]]&lt;1000000,"Mid range","Luxury"))</f>
        <v>Affordable</v>
      </c>
    </row>
    <row r="579" spans="1:20" x14ac:dyDescent="0.35">
      <c r="A579" s="3">
        <v>394824</v>
      </c>
      <c r="B579" s="2" t="s">
        <v>27</v>
      </c>
      <c r="C579">
        <v>99705</v>
      </c>
      <c r="D579" s="2" t="s">
        <v>35</v>
      </c>
      <c r="E579">
        <v>5</v>
      </c>
      <c r="F579">
        <v>3</v>
      </c>
      <c r="G579" s="4">
        <f>VALUE(SUBSTITUTE(SUBSTITUTE(Table1[[#This Row],[Price]],"$",""),",",""))</f>
        <v>394824</v>
      </c>
      <c r="H579" s="1">
        <f>Table1[[#This Row],[Price2]]/Table1[[#This Row],[Area]]</f>
        <v>104.17519788918206</v>
      </c>
      <c r="I579">
        <v>3790</v>
      </c>
      <c r="J579">
        <v>1971</v>
      </c>
      <c r="K579">
        <v>8</v>
      </c>
      <c r="L579" t="s">
        <v>30</v>
      </c>
      <c r="M579" t="s">
        <v>910</v>
      </c>
      <c r="N579" s="2" t="s">
        <v>3031</v>
      </c>
      <c r="O579" t="s">
        <v>3032</v>
      </c>
      <c r="P579" t="s">
        <v>16</v>
      </c>
      <c r="Q579">
        <v>104.17519788918206</v>
      </c>
      <c r="R579">
        <f ca="1">YEAR(TODAY())-Table1[[#This Row],[Year Built]]</f>
        <v>55</v>
      </c>
      <c r="S579" t="str">
        <f>IF(Table1[[#This Row],[Days on Market]] &lt; 30,"Fast",IF(Table1[[#This Row],[Days on Market]]&lt;= 90,"Average", "Slow"))</f>
        <v>Fast</v>
      </c>
      <c r="T579" t="str">
        <f>IF(Table1[[#This Row],[Price2]]&lt;500000,"Affordable",IF(Table1[[#This Row],[Price2]]&lt;1000000,"Mid range","Luxury"))</f>
        <v>Affordable</v>
      </c>
    </row>
    <row r="580" spans="1:20" x14ac:dyDescent="0.35">
      <c r="A580" s="3">
        <v>395473</v>
      </c>
      <c r="B580" s="2" t="s">
        <v>17</v>
      </c>
      <c r="C580">
        <v>43818</v>
      </c>
      <c r="D580" s="2" t="s">
        <v>18</v>
      </c>
      <c r="E580">
        <v>5</v>
      </c>
      <c r="F580">
        <v>1</v>
      </c>
      <c r="G580" s="4">
        <f>VALUE(SUBSTITUTE(SUBSTITUTE(Table1[[#This Row],[Price]],"$",""),",",""))</f>
        <v>395473</v>
      </c>
      <c r="H580" s="1">
        <f>Table1[[#This Row],[Price2]]/Table1[[#This Row],[Area]]</f>
        <v>192.53797468354429</v>
      </c>
      <c r="I580">
        <v>2054</v>
      </c>
      <c r="J580">
        <v>1990</v>
      </c>
      <c r="K580">
        <v>45</v>
      </c>
      <c r="L580" t="s">
        <v>52</v>
      </c>
      <c r="M580" t="s">
        <v>2460</v>
      </c>
      <c r="N580" s="2" t="s">
        <v>3033</v>
      </c>
      <c r="O580" t="s">
        <v>3034</v>
      </c>
      <c r="P580" t="s">
        <v>21</v>
      </c>
      <c r="Q580">
        <v>192.53797468354429</v>
      </c>
      <c r="R580">
        <f ca="1">YEAR(TODAY())-Table1[[#This Row],[Year Built]]</f>
        <v>36</v>
      </c>
      <c r="S580" t="str">
        <f>IF(Table1[[#This Row],[Days on Market]] &lt; 30,"Fast",IF(Table1[[#This Row],[Days on Market]]&lt;= 90,"Average", "Slow"))</f>
        <v>Average</v>
      </c>
      <c r="T580" t="str">
        <f>IF(Table1[[#This Row],[Price2]]&lt;500000,"Affordable",IF(Table1[[#This Row],[Price2]]&lt;1000000,"Mid range","Luxury"))</f>
        <v>Affordable</v>
      </c>
    </row>
    <row r="581" spans="1:20" x14ac:dyDescent="0.35">
      <c r="A581" s="3">
        <v>395512</v>
      </c>
      <c r="B581" s="2" t="s">
        <v>34</v>
      </c>
      <c r="C581">
        <v>35848</v>
      </c>
      <c r="D581" s="2" t="s">
        <v>35</v>
      </c>
      <c r="E581">
        <v>4</v>
      </c>
      <c r="F581">
        <v>3</v>
      </c>
      <c r="G581" s="4">
        <f>VALUE(SUBSTITUTE(SUBSTITUTE(Table1[[#This Row],[Price]],"$",""),",",""))</f>
        <v>395512</v>
      </c>
      <c r="H581" s="1">
        <f>Table1[[#This Row],[Price2]]/Table1[[#This Row],[Area]]</f>
        <v>472.53524492234169</v>
      </c>
      <c r="I581">
        <v>837</v>
      </c>
      <c r="J581">
        <v>1981</v>
      </c>
      <c r="K581">
        <v>51</v>
      </c>
      <c r="L581" t="s">
        <v>40</v>
      </c>
      <c r="M581" t="s">
        <v>2753</v>
      </c>
      <c r="N581" s="2" t="s">
        <v>3027</v>
      </c>
      <c r="O581" t="s">
        <v>3028</v>
      </c>
      <c r="P581" t="s">
        <v>16</v>
      </c>
      <c r="Q581">
        <v>472.53524492234169</v>
      </c>
      <c r="R581">
        <f ca="1">YEAR(TODAY())-Table1[[#This Row],[Year Built]]</f>
        <v>45</v>
      </c>
      <c r="S581" t="str">
        <f>IF(Table1[[#This Row],[Days on Market]] &lt; 30,"Fast",IF(Table1[[#This Row],[Days on Market]]&lt;= 90,"Average", "Slow"))</f>
        <v>Average</v>
      </c>
      <c r="T581" t="str">
        <f>IF(Table1[[#This Row],[Price2]]&lt;500000,"Affordable",IF(Table1[[#This Row],[Price2]]&lt;1000000,"Mid range","Luxury"))</f>
        <v>Affordable</v>
      </c>
    </row>
    <row r="582" spans="1:20" x14ac:dyDescent="0.35">
      <c r="A582" s="3">
        <v>395657</v>
      </c>
      <c r="B582" s="2" t="s">
        <v>22</v>
      </c>
      <c r="C582">
        <v>49161</v>
      </c>
      <c r="D582" s="2" t="s">
        <v>13</v>
      </c>
      <c r="E582">
        <v>1</v>
      </c>
      <c r="F582">
        <v>1</v>
      </c>
      <c r="G582" s="4">
        <f>VALUE(SUBSTITUTE(SUBSTITUTE(Table1[[#This Row],[Price]],"$",""),",",""))</f>
        <v>395657</v>
      </c>
      <c r="H582" s="1">
        <f>Table1[[#This Row],[Price2]]/Table1[[#This Row],[Area]]</f>
        <v>170.39491817398795</v>
      </c>
      <c r="I582">
        <v>2322</v>
      </c>
      <c r="J582">
        <v>2011</v>
      </c>
      <c r="K582">
        <v>104</v>
      </c>
      <c r="L582" t="s">
        <v>40</v>
      </c>
      <c r="M582" t="s">
        <v>1063</v>
      </c>
      <c r="N582" s="2" t="s">
        <v>3033</v>
      </c>
      <c r="O582" t="s">
        <v>3034</v>
      </c>
      <c r="P582" t="s">
        <v>21</v>
      </c>
      <c r="Q582">
        <v>170.39491817398795</v>
      </c>
      <c r="R582">
        <f ca="1">YEAR(TODAY())-Table1[[#This Row],[Year Built]]</f>
        <v>15</v>
      </c>
      <c r="S582" t="str">
        <f>IF(Table1[[#This Row],[Days on Market]] &lt; 30,"Fast",IF(Table1[[#This Row],[Days on Market]]&lt;= 90,"Average", "Slow"))</f>
        <v>Slow</v>
      </c>
      <c r="T582" t="str">
        <f>IF(Table1[[#This Row],[Price2]]&lt;500000,"Affordable",IF(Table1[[#This Row],[Price2]]&lt;1000000,"Mid range","Luxury"))</f>
        <v>Affordable</v>
      </c>
    </row>
    <row r="583" spans="1:20" x14ac:dyDescent="0.35">
      <c r="A583" s="3">
        <v>395747</v>
      </c>
      <c r="B583" s="2" t="s">
        <v>12</v>
      </c>
      <c r="C583">
        <v>61026</v>
      </c>
      <c r="D583" s="2" t="s">
        <v>29</v>
      </c>
      <c r="E583">
        <v>4</v>
      </c>
      <c r="F583">
        <v>3</v>
      </c>
      <c r="G583" s="4">
        <f>VALUE(SUBSTITUTE(SUBSTITUTE(Table1[[#This Row],[Price]],"$",""),",",""))</f>
        <v>395747</v>
      </c>
      <c r="H583" s="1">
        <f>Table1[[#This Row],[Price2]]/Table1[[#This Row],[Area]]</f>
        <v>114.57643312101911</v>
      </c>
      <c r="I583">
        <v>3454</v>
      </c>
      <c r="J583">
        <v>1996</v>
      </c>
      <c r="K583">
        <v>13</v>
      </c>
      <c r="L583" t="s">
        <v>40</v>
      </c>
      <c r="M583" t="s">
        <v>562</v>
      </c>
      <c r="N583" s="2" t="s">
        <v>3035</v>
      </c>
      <c r="O583" t="s">
        <v>3036</v>
      </c>
      <c r="P583" t="s">
        <v>26</v>
      </c>
      <c r="Q583">
        <v>114.57643312101911</v>
      </c>
      <c r="R583">
        <f ca="1">YEAR(TODAY())-Table1[[#This Row],[Year Built]]</f>
        <v>30</v>
      </c>
      <c r="S583" t="str">
        <f>IF(Table1[[#This Row],[Days on Market]] &lt; 30,"Fast",IF(Table1[[#This Row],[Days on Market]]&lt;= 90,"Average", "Slow"))</f>
        <v>Fast</v>
      </c>
      <c r="T583" t="str">
        <f>IF(Table1[[#This Row],[Price2]]&lt;500000,"Affordable",IF(Table1[[#This Row],[Price2]]&lt;1000000,"Mid range","Luxury"))</f>
        <v>Affordable</v>
      </c>
    </row>
    <row r="584" spans="1:20" x14ac:dyDescent="0.35">
      <c r="A584" s="3">
        <v>396731</v>
      </c>
      <c r="B584" s="2" t="s">
        <v>12</v>
      </c>
      <c r="C584">
        <v>94192</v>
      </c>
      <c r="D584" s="2" t="s">
        <v>18</v>
      </c>
      <c r="E584">
        <v>3</v>
      </c>
      <c r="F584">
        <v>3</v>
      </c>
      <c r="G584" s="4">
        <f>VALUE(SUBSTITUTE(SUBSTITUTE(Table1[[#This Row],[Price]],"$",""),",",""))</f>
        <v>396731</v>
      </c>
      <c r="H584" s="1">
        <f>Table1[[#This Row],[Price2]]/Table1[[#This Row],[Area]]</f>
        <v>274.93485793485792</v>
      </c>
      <c r="I584">
        <v>1443</v>
      </c>
      <c r="J584">
        <v>1963</v>
      </c>
      <c r="K584">
        <v>113</v>
      </c>
      <c r="L584" t="s">
        <v>40</v>
      </c>
      <c r="M584" t="s">
        <v>542</v>
      </c>
      <c r="N584" s="2" t="s">
        <v>3035</v>
      </c>
      <c r="O584" t="s">
        <v>3036</v>
      </c>
      <c r="P584" t="s">
        <v>16</v>
      </c>
      <c r="Q584">
        <v>274.93485793485792</v>
      </c>
      <c r="R584">
        <f ca="1">YEAR(TODAY())-Table1[[#This Row],[Year Built]]</f>
        <v>63</v>
      </c>
      <c r="S584" t="str">
        <f>IF(Table1[[#This Row],[Days on Market]] &lt; 30,"Fast",IF(Table1[[#This Row],[Days on Market]]&lt;= 90,"Average", "Slow"))</f>
        <v>Slow</v>
      </c>
      <c r="T584" t="str">
        <f>IF(Table1[[#This Row],[Price2]]&lt;500000,"Affordable",IF(Table1[[#This Row],[Price2]]&lt;1000000,"Mid range","Luxury"))</f>
        <v>Affordable</v>
      </c>
    </row>
    <row r="585" spans="1:20" x14ac:dyDescent="0.35">
      <c r="A585" s="3">
        <v>396831</v>
      </c>
      <c r="B585" s="2" t="s">
        <v>34</v>
      </c>
      <c r="C585">
        <v>90781</v>
      </c>
      <c r="D585" s="2" t="s">
        <v>18</v>
      </c>
      <c r="E585">
        <v>3</v>
      </c>
      <c r="F585">
        <v>4</v>
      </c>
      <c r="G585" s="4">
        <f>VALUE(SUBSTITUTE(SUBSTITUTE(Table1[[#This Row],[Price]],"$",""),",",""))</f>
        <v>396831</v>
      </c>
      <c r="H585" s="1">
        <f>Table1[[#This Row],[Price2]]/Table1[[#This Row],[Area]]</f>
        <v>126.58086124401913</v>
      </c>
      <c r="I585">
        <v>3135</v>
      </c>
      <c r="J585">
        <v>1951</v>
      </c>
      <c r="K585">
        <v>114</v>
      </c>
      <c r="L585" t="s">
        <v>19</v>
      </c>
      <c r="M585" t="s">
        <v>743</v>
      </c>
      <c r="N585" s="2" t="s">
        <v>3029</v>
      </c>
      <c r="O585" t="s">
        <v>3030</v>
      </c>
      <c r="P585" t="s">
        <v>26</v>
      </c>
      <c r="Q585">
        <v>126.58086124401913</v>
      </c>
      <c r="R585">
        <f ca="1">YEAR(TODAY())-Table1[[#This Row],[Year Built]]</f>
        <v>75</v>
      </c>
      <c r="S585" t="str">
        <f>IF(Table1[[#This Row],[Days on Market]] &lt; 30,"Fast",IF(Table1[[#This Row],[Days on Market]]&lt;= 90,"Average", "Slow"))</f>
        <v>Slow</v>
      </c>
      <c r="T585" t="str">
        <f>IF(Table1[[#This Row],[Price2]]&lt;500000,"Affordable",IF(Table1[[#This Row],[Price2]]&lt;1000000,"Mid range","Luxury"))</f>
        <v>Affordable</v>
      </c>
    </row>
    <row r="586" spans="1:20" x14ac:dyDescent="0.35">
      <c r="A586" s="3">
        <v>397028</v>
      </c>
      <c r="B586" s="2" t="s">
        <v>17</v>
      </c>
      <c r="C586">
        <v>66852</v>
      </c>
      <c r="D586" s="2" t="s">
        <v>23</v>
      </c>
      <c r="E586">
        <v>1</v>
      </c>
      <c r="F586">
        <v>3</v>
      </c>
      <c r="G586" s="4">
        <f>VALUE(SUBSTITUTE(SUBSTITUTE(Table1[[#This Row],[Price]],"$",""),",",""))</f>
        <v>397028</v>
      </c>
      <c r="H586" s="1">
        <f>Table1[[#This Row],[Price2]]/Table1[[#This Row],[Area]]</f>
        <v>197.23199205166418</v>
      </c>
      <c r="I586">
        <v>2013</v>
      </c>
      <c r="J586">
        <v>2015</v>
      </c>
      <c r="K586">
        <v>10</v>
      </c>
      <c r="L586" t="s">
        <v>30</v>
      </c>
      <c r="M586" t="s">
        <v>1224</v>
      </c>
      <c r="N586" s="2" t="s">
        <v>3027</v>
      </c>
      <c r="O586" t="s">
        <v>3028</v>
      </c>
      <c r="P586" t="s">
        <v>16</v>
      </c>
      <c r="Q586">
        <v>197.23199205166418</v>
      </c>
      <c r="R586">
        <f ca="1">YEAR(TODAY())-Table1[[#This Row],[Year Built]]</f>
        <v>11</v>
      </c>
      <c r="S586" t="str">
        <f>IF(Table1[[#This Row],[Days on Market]] &lt; 30,"Fast",IF(Table1[[#This Row],[Days on Market]]&lt;= 90,"Average", "Slow"))</f>
        <v>Fast</v>
      </c>
      <c r="T586" t="str">
        <f>IF(Table1[[#This Row],[Price2]]&lt;500000,"Affordable",IF(Table1[[#This Row],[Price2]]&lt;1000000,"Mid range","Luxury"))</f>
        <v>Affordable</v>
      </c>
    </row>
    <row r="587" spans="1:20" x14ac:dyDescent="0.35">
      <c r="A587" s="3">
        <v>397855</v>
      </c>
      <c r="B587" s="2" t="s">
        <v>22</v>
      </c>
      <c r="C587">
        <v>72103</v>
      </c>
      <c r="D587" s="2" t="s">
        <v>18</v>
      </c>
      <c r="E587">
        <v>3</v>
      </c>
      <c r="F587">
        <v>3</v>
      </c>
      <c r="G587" s="4">
        <f>VALUE(SUBSTITUTE(SUBSTITUTE(Table1[[#This Row],[Price]],"$",""),",",""))</f>
        <v>397855</v>
      </c>
      <c r="H587" s="1">
        <f>Table1[[#This Row],[Price2]]/Table1[[#This Row],[Area]]</f>
        <v>139.353765323993</v>
      </c>
      <c r="I587">
        <v>2855</v>
      </c>
      <c r="J587">
        <v>1987</v>
      </c>
      <c r="K587">
        <v>6</v>
      </c>
      <c r="L587" t="s">
        <v>40</v>
      </c>
      <c r="M587" t="s">
        <v>2690</v>
      </c>
      <c r="N587" s="2" t="s">
        <v>3029</v>
      </c>
      <c r="O587" t="s">
        <v>3030</v>
      </c>
      <c r="P587" t="s">
        <v>21</v>
      </c>
      <c r="Q587">
        <v>139.353765323993</v>
      </c>
      <c r="R587">
        <f ca="1">YEAR(TODAY())-Table1[[#This Row],[Year Built]]</f>
        <v>39</v>
      </c>
      <c r="S587" t="str">
        <f>IF(Table1[[#This Row],[Days on Market]] &lt; 30,"Fast",IF(Table1[[#This Row],[Days on Market]]&lt;= 90,"Average", "Slow"))</f>
        <v>Fast</v>
      </c>
      <c r="T587" t="str">
        <f>IF(Table1[[#This Row],[Price2]]&lt;500000,"Affordable",IF(Table1[[#This Row],[Price2]]&lt;1000000,"Mid range","Luxury"))</f>
        <v>Affordable</v>
      </c>
    </row>
    <row r="588" spans="1:20" x14ac:dyDescent="0.35">
      <c r="A588" s="3">
        <v>398021</v>
      </c>
      <c r="B588" s="2" t="s">
        <v>12</v>
      </c>
      <c r="C588">
        <v>75125</v>
      </c>
      <c r="D588" s="2" t="s">
        <v>13</v>
      </c>
      <c r="E588">
        <v>3</v>
      </c>
      <c r="F588">
        <v>2</v>
      </c>
      <c r="G588" s="4">
        <f>VALUE(SUBSTITUTE(SUBSTITUTE(Table1[[#This Row],[Price]],"$",""),",",""))</f>
        <v>398021</v>
      </c>
      <c r="H588" s="1">
        <f>Table1[[#This Row],[Price2]]/Table1[[#This Row],[Area]]</f>
        <v>548.23829201101933</v>
      </c>
      <c r="I588">
        <v>726</v>
      </c>
      <c r="J588">
        <v>1962</v>
      </c>
      <c r="K588">
        <v>35</v>
      </c>
      <c r="L588" t="s">
        <v>30</v>
      </c>
      <c r="M588" t="s">
        <v>684</v>
      </c>
      <c r="N588" s="2" t="s">
        <v>3035</v>
      </c>
      <c r="O588" t="s">
        <v>3036</v>
      </c>
      <c r="P588" t="s">
        <v>26</v>
      </c>
      <c r="Q588">
        <v>548.23829201101933</v>
      </c>
      <c r="R588">
        <f ca="1">YEAR(TODAY())-Table1[[#This Row],[Year Built]]</f>
        <v>64</v>
      </c>
      <c r="S588" t="str">
        <f>IF(Table1[[#This Row],[Days on Market]] &lt; 30,"Fast",IF(Table1[[#This Row],[Days on Market]]&lt;= 90,"Average", "Slow"))</f>
        <v>Average</v>
      </c>
      <c r="T588" t="str">
        <f>IF(Table1[[#This Row],[Price2]]&lt;500000,"Affordable",IF(Table1[[#This Row],[Price2]]&lt;1000000,"Mid range","Luxury"))</f>
        <v>Affordable</v>
      </c>
    </row>
    <row r="589" spans="1:20" x14ac:dyDescent="0.35">
      <c r="A589" s="3">
        <v>398506</v>
      </c>
      <c r="B589" s="2" t="s">
        <v>17</v>
      </c>
      <c r="C589">
        <v>34652</v>
      </c>
      <c r="D589" s="2" t="s">
        <v>35</v>
      </c>
      <c r="E589">
        <v>1</v>
      </c>
      <c r="F589">
        <v>2</v>
      </c>
      <c r="G589" s="4">
        <f>VALUE(SUBSTITUTE(SUBSTITUTE(Table1[[#This Row],[Price]],"$",""),",",""))</f>
        <v>398506</v>
      </c>
      <c r="H589" s="1">
        <f>Table1[[#This Row],[Price2]]/Table1[[#This Row],[Area]]</f>
        <v>141.2140326009922</v>
      </c>
      <c r="I589">
        <v>2822</v>
      </c>
      <c r="J589">
        <v>1969</v>
      </c>
      <c r="K589">
        <v>11</v>
      </c>
      <c r="L589" t="s">
        <v>19</v>
      </c>
      <c r="M589" t="s">
        <v>1401</v>
      </c>
      <c r="N589" s="2" t="s">
        <v>3033</v>
      </c>
      <c r="O589" t="s">
        <v>3034</v>
      </c>
      <c r="P589" t="s">
        <v>26</v>
      </c>
      <c r="Q589">
        <v>141.2140326009922</v>
      </c>
      <c r="R589">
        <f ca="1">YEAR(TODAY())-Table1[[#This Row],[Year Built]]</f>
        <v>57</v>
      </c>
      <c r="S589" t="str">
        <f>IF(Table1[[#This Row],[Days on Market]] &lt; 30,"Fast",IF(Table1[[#This Row],[Days on Market]]&lt;= 90,"Average", "Slow"))</f>
        <v>Fast</v>
      </c>
      <c r="T589" t="str">
        <f>IF(Table1[[#This Row],[Price2]]&lt;500000,"Affordable",IF(Table1[[#This Row],[Price2]]&lt;1000000,"Mid range","Luxury"))</f>
        <v>Affordable</v>
      </c>
    </row>
    <row r="590" spans="1:20" x14ac:dyDescent="0.35">
      <c r="A590" s="3">
        <v>398709</v>
      </c>
      <c r="B590" s="2" t="s">
        <v>27</v>
      </c>
      <c r="C590">
        <v>30028</v>
      </c>
      <c r="D590" s="2" t="s">
        <v>13</v>
      </c>
      <c r="E590">
        <v>2</v>
      </c>
      <c r="F590">
        <v>1</v>
      </c>
      <c r="G590" s="4">
        <f>VALUE(SUBSTITUTE(SUBSTITUTE(Table1[[#This Row],[Price]],"$",""),",",""))</f>
        <v>398709</v>
      </c>
      <c r="H590" s="1">
        <f>Table1[[#This Row],[Price2]]/Table1[[#This Row],[Area]]</f>
        <v>130.16944172380019</v>
      </c>
      <c r="I590">
        <v>3063</v>
      </c>
      <c r="J590">
        <v>2005</v>
      </c>
      <c r="K590">
        <v>22</v>
      </c>
      <c r="L590" t="s">
        <v>14</v>
      </c>
      <c r="M590" t="s">
        <v>2678</v>
      </c>
      <c r="N590" s="2" t="s">
        <v>3035</v>
      </c>
      <c r="O590" t="s">
        <v>3036</v>
      </c>
      <c r="P590" t="s">
        <v>16</v>
      </c>
      <c r="Q590">
        <v>130.16944172380019</v>
      </c>
      <c r="R590">
        <f ca="1">YEAR(TODAY())-Table1[[#This Row],[Year Built]]</f>
        <v>21</v>
      </c>
      <c r="S590" t="str">
        <f>IF(Table1[[#This Row],[Days on Market]] &lt; 30,"Fast",IF(Table1[[#This Row],[Days on Market]]&lt;= 90,"Average", "Slow"))</f>
        <v>Fast</v>
      </c>
      <c r="T590" t="str">
        <f>IF(Table1[[#This Row],[Price2]]&lt;500000,"Affordable",IF(Table1[[#This Row],[Price2]]&lt;1000000,"Mid range","Luxury"))</f>
        <v>Affordable</v>
      </c>
    </row>
    <row r="591" spans="1:20" x14ac:dyDescent="0.35">
      <c r="A591" s="3">
        <v>398826</v>
      </c>
      <c r="B591" s="2" t="s">
        <v>34</v>
      </c>
      <c r="C591">
        <v>22618</v>
      </c>
      <c r="D591" s="2" t="s">
        <v>23</v>
      </c>
      <c r="E591">
        <v>5</v>
      </c>
      <c r="F591">
        <v>1</v>
      </c>
      <c r="G591" s="4">
        <f>VALUE(SUBSTITUTE(SUBSTITUTE(Table1[[#This Row],[Price]],"$",""),",",""))</f>
        <v>398826</v>
      </c>
      <c r="H591" s="1">
        <f>Table1[[#This Row],[Price2]]/Table1[[#This Row],[Area]]</f>
        <v>243.93027522935779</v>
      </c>
      <c r="I591">
        <v>1635</v>
      </c>
      <c r="J591">
        <v>1965</v>
      </c>
      <c r="K591">
        <v>7</v>
      </c>
      <c r="L591" t="s">
        <v>52</v>
      </c>
      <c r="M591" t="s">
        <v>2910</v>
      </c>
      <c r="N591" s="2" t="s">
        <v>3029</v>
      </c>
      <c r="O591" t="s">
        <v>3030</v>
      </c>
      <c r="P591" t="s">
        <v>26</v>
      </c>
      <c r="Q591">
        <v>243.93027522935779</v>
      </c>
      <c r="R591">
        <f ca="1">YEAR(TODAY())-Table1[[#This Row],[Year Built]]</f>
        <v>61</v>
      </c>
      <c r="S591" t="str">
        <f>IF(Table1[[#This Row],[Days on Market]] &lt; 30,"Fast",IF(Table1[[#This Row],[Days on Market]]&lt;= 90,"Average", "Slow"))</f>
        <v>Fast</v>
      </c>
      <c r="T591" t="str">
        <f>IF(Table1[[#This Row],[Price2]]&lt;500000,"Affordable",IF(Table1[[#This Row],[Price2]]&lt;1000000,"Mid range","Luxury"))</f>
        <v>Affordable</v>
      </c>
    </row>
    <row r="592" spans="1:20" x14ac:dyDescent="0.35">
      <c r="A592" s="3">
        <v>399142</v>
      </c>
      <c r="B592" s="2" t="s">
        <v>17</v>
      </c>
      <c r="C592">
        <v>55782</v>
      </c>
      <c r="D592" s="2" t="s">
        <v>18</v>
      </c>
      <c r="E592">
        <v>3</v>
      </c>
      <c r="F592">
        <v>1</v>
      </c>
      <c r="G592" s="4">
        <f>VALUE(SUBSTITUTE(SUBSTITUTE(Table1[[#This Row],[Price]],"$",""),",",""))</f>
        <v>399142</v>
      </c>
      <c r="H592" s="1">
        <f>Table1[[#This Row],[Price2]]/Table1[[#This Row],[Area]]</f>
        <v>219.9129476584022</v>
      </c>
      <c r="I592">
        <v>1815</v>
      </c>
      <c r="J592">
        <v>1966</v>
      </c>
      <c r="K592">
        <v>109</v>
      </c>
      <c r="L592" t="s">
        <v>19</v>
      </c>
      <c r="M592" t="s">
        <v>820</v>
      </c>
      <c r="N592" s="2" t="s">
        <v>3033</v>
      </c>
      <c r="O592" t="s">
        <v>3034</v>
      </c>
      <c r="P592" t="s">
        <v>21</v>
      </c>
      <c r="Q592">
        <v>219.9129476584022</v>
      </c>
      <c r="R592">
        <f ca="1">YEAR(TODAY())-Table1[[#This Row],[Year Built]]</f>
        <v>60</v>
      </c>
      <c r="S592" t="str">
        <f>IF(Table1[[#This Row],[Days on Market]] &lt; 30,"Fast",IF(Table1[[#This Row],[Days on Market]]&lt;= 90,"Average", "Slow"))</f>
        <v>Slow</v>
      </c>
      <c r="T592" t="str">
        <f>IF(Table1[[#This Row],[Price2]]&lt;500000,"Affordable",IF(Table1[[#This Row],[Price2]]&lt;1000000,"Mid range","Luxury"))</f>
        <v>Affordable</v>
      </c>
    </row>
    <row r="593" spans="1:20" x14ac:dyDescent="0.35">
      <c r="A593" s="3">
        <v>399361</v>
      </c>
      <c r="B593" s="2" t="s">
        <v>12</v>
      </c>
      <c r="C593">
        <v>53119</v>
      </c>
      <c r="D593" s="2" t="s">
        <v>13</v>
      </c>
      <c r="E593">
        <v>6</v>
      </c>
      <c r="F593">
        <v>2</v>
      </c>
      <c r="G593" s="4">
        <f>VALUE(SUBSTITUTE(SUBSTITUTE(Table1[[#This Row],[Price]],"$",""),",",""))</f>
        <v>399361</v>
      </c>
      <c r="H593" s="1">
        <f>Table1[[#This Row],[Price2]]/Table1[[#This Row],[Area]]</f>
        <v>306.72887864823349</v>
      </c>
      <c r="I593">
        <v>1302</v>
      </c>
      <c r="J593">
        <v>1963</v>
      </c>
      <c r="K593">
        <v>47</v>
      </c>
      <c r="L593" t="s">
        <v>30</v>
      </c>
      <c r="M593" t="s">
        <v>2266</v>
      </c>
      <c r="N593" s="2" t="s">
        <v>3027</v>
      </c>
      <c r="O593" t="s">
        <v>3028</v>
      </c>
      <c r="P593" t="s">
        <v>21</v>
      </c>
      <c r="Q593">
        <v>306.72887864823349</v>
      </c>
      <c r="R593">
        <f ca="1">YEAR(TODAY())-Table1[[#This Row],[Year Built]]</f>
        <v>63</v>
      </c>
      <c r="S593" t="str">
        <f>IF(Table1[[#This Row],[Days on Market]] &lt; 30,"Fast",IF(Table1[[#This Row],[Days on Market]]&lt;= 90,"Average", "Slow"))</f>
        <v>Average</v>
      </c>
      <c r="T593" t="str">
        <f>IF(Table1[[#This Row],[Price2]]&lt;500000,"Affordable",IF(Table1[[#This Row],[Price2]]&lt;1000000,"Mid range","Luxury"))</f>
        <v>Affordable</v>
      </c>
    </row>
    <row r="594" spans="1:20" x14ac:dyDescent="0.35">
      <c r="A594" s="3">
        <v>400744</v>
      </c>
      <c r="B594" s="2" t="s">
        <v>34</v>
      </c>
      <c r="C594">
        <v>21785</v>
      </c>
      <c r="D594" s="2" t="s">
        <v>23</v>
      </c>
      <c r="E594">
        <v>6</v>
      </c>
      <c r="F594">
        <v>1</v>
      </c>
      <c r="G594" s="4">
        <f>VALUE(SUBSTITUTE(SUBSTITUTE(Table1[[#This Row],[Price]],"$",""),",",""))</f>
        <v>400744</v>
      </c>
      <c r="H594" s="1">
        <f>Table1[[#This Row],[Price2]]/Table1[[#This Row],[Area]]</f>
        <v>452.81807909604521</v>
      </c>
      <c r="I594">
        <v>885</v>
      </c>
      <c r="J594">
        <v>2010</v>
      </c>
      <c r="K594">
        <v>119</v>
      </c>
      <c r="L594" t="s">
        <v>19</v>
      </c>
      <c r="M594" t="s">
        <v>1347</v>
      </c>
      <c r="N594" s="2" t="s">
        <v>3029</v>
      </c>
      <c r="O594" t="s">
        <v>3030</v>
      </c>
      <c r="P594" t="s">
        <v>26</v>
      </c>
      <c r="Q594">
        <v>452.81807909604521</v>
      </c>
      <c r="R594">
        <f ca="1">YEAR(TODAY())-Table1[[#This Row],[Year Built]]</f>
        <v>16</v>
      </c>
      <c r="S594" t="str">
        <f>IF(Table1[[#This Row],[Days on Market]] &lt; 30,"Fast",IF(Table1[[#This Row],[Days on Market]]&lt;= 90,"Average", "Slow"))</f>
        <v>Slow</v>
      </c>
      <c r="T594" t="str">
        <f>IF(Table1[[#This Row],[Price2]]&lt;500000,"Affordable",IF(Table1[[#This Row],[Price2]]&lt;1000000,"Mid range","Luxury"))</f>
        <v>Affordable</v>
      </c>
    </row>
    <row r="595" spans="1:20" x14ac:dyDescent="0.35">
      <c r="A595" s="3">
        <v>401040</v>
      </c>
      <c r="B595" s="2" t="s">
        <v>34</v>
      </c>
      <c r="C595">
        <v>52827</v>
      </c>
      <c r="D595" s="2" t="s">
        <v>18</v>
      </c>
      <c r="E595">
        <v>1</v>
      </c>
      <c r="F595">
        <v>4</v>
      </c>
      <c r="G595" s="4">
        <f>VALUE(SUBSTITUTE(SUBSTITUTE(Table1[[#This Row],[Price]],"$",""),",",""))</f>
        <v>401040</v>
      </c>
      <c r="H595" s="1">
        <f>Table1[[#This Row],[Price2]]/Table1[[#This Row],[Area]]</f>
        <v>143.12633832976445</v>
      </c>
      <c r="I595">
        <v>2802</v>
      </c>
      <c r="J595">
        <v>1993</v>
      </c>
      <c r="K595">
        <v>61</v>
      </c>
      <c r="L595" t="s">
        <v>40</v>
      </c>
      <c r="M595" t="s">
        <v>2816</v>
      </c>
      <c r="N595" s="2" t="s">
        <v>3033</v>
      </c>
      <c r="O595" t="s">
        <v>3034</v>
      </c>
      <c r="P595" t="s">
        <v>16</v>
      </c>
      <c r="Q595">
        <v>143.12633832976445</v>
      </c>
      <c r="R595">
        <f ca="1">YEAR(TODAY())-Table1[[#This Row],[Year Built]]</f>
        <v>33</v>
      </c>
      <c r="S595" t="str">
        <f>IF(Table1[[#This Row],[Days on Market]] &lt; 30,"Fast",IF(Table1[[#This Row],[Days on Market]]&lt;= 90,"Average", "Slow"))</f>
        <v>Average</v>
      </c>
      <c r="T595" t="str">
        <f>IF(Table1[[#This Row],[Price2]]&lt;500000,"Affordable",IF(Table1[[#This Row],[Price2]]&lt;1000000,"Mid range","Luxury"))</f>
        <v>Affordable</v>
      </c>
    </row>
    <row r="596" spans="1:20" x14ac:dyDescent="0.35">
      <c r="A596" s="3">
        <v>401072</v>
      </c>
      <c r="B596" s="2" t="s">
        <v>27</v>
      </c>
      <c r="C596">
        <v>86828</v>
      </c>
      <c r="D596" s="2" t="s">
        <v>13</v>
      </c>
      <c r="E596">
        <v>4</v>
      </c>
      <c r="F596">
        <v>3</v>
      </c>
      <c r="G596" s="4">
        <f>VALUE(SUBSTITUTE(SUBSTITUTE(Table1[[#This Row],[Price]],"$",""),",",""))</f>
        <v>401072</v>
      </c>
      <c r="H596" s="1">
        <f>Table1[[#This Row],[Price2]]/Table1[[#This Row],[Area]]</f>
        <v>321.88764044943821</v>
      </c>
      <c r="I596">
        <v>1246</v>
      </c>
      <c r="J596">
        <v>1956</v>
      </c>
      <c r="K596">
        <v>24</v>
      </c>
      <c r="L596" t="s">
        <v>52</v>
      </c>
      <c r="M596" t="s">
        <v>916</v>
      </c>
      <c r="N596" s="2" t="s">
        <v>3029</v>
      </c>
      <c r="O596" t="s">
        <v>3030</v>
      </c>
      <c r="P596" t="s">
        <v>21</v>
      </c>
      <c r="Q596">
        <v>321.88764044943821</v>
      </c>
      <c r="R596">
        <f ca="1">YEAR(TODAY())-Table1[[#This Row],[Year Built]]</f>
        <v>70</v>
      </c>
      <c r="S596" t="str">
        <f>IF(Table1[[#This Row],[Days on Market]] &lt; 30,"Fast",IF(Table1[[#This Row],[Days on Market]]&lt;= 90,"Average", "Slow"))</f>
        <v>Fast</v>
      </c>
      <c r="T596" t="str">
        <f>IF(Table1[[#This Row],[Price2]]&lt;500000,"Affordable",IF(Table1[[#This Row],[Price2]]&lt;1000000,"Mid range","Luxury"))</f>
        <v>Affordable</v>
      </c>
    </row>
    <row r="597" spans="1:20" x14ac:dyDescent="0.35">
      <c r="A597" s="3">
        <v>401177</v>
      </c>
      <c r="B597" s="2" t="s">
        <v>22</v>
      </c>
      <c r="C597">
        <v>89343</v>
      </c>
      <c r="D597" s="2" t="s">
        <v>23</v>
      </c>
      <c r="E597">
        <v>6</v>
      </c>
      <c r="F597">
        <v>4</v>
      </c>
      <c r="G597" s="4">
        <f>VALUE(SUBSTITUTE(SUBSTITUTE(Table1[[#This Row],[Price]],"$",""),",",""))</f>
        <v>401177</v>
      </c>
      <c r="H597" s="1">
        <f>Table1[[#This Row],[Price2]]/Table1[[#This Row],[Area]]</f>
        <v>186.59395348837208</v>
      </c>
      <c r="I597">
        <v>2150</v>
      </c>
      <c r="J597">
        <v>1978</v>
      </c>
      <c r="K597">
        <v>62</v>
      </c>
      <c r="L597" t="s">
        <v>52</v>
      </c>
      <c r="M597" t="s">
        <v>2835</v>
      </c>
      <c r="N597" s="2" t="s">
        <v>3027</v>
      </c>
      <c r="O597" t="s">
        <v>3028</v>
      </c>
      <c r="P597" t="s">
        <v>21</v>
      </c>
      <c r="Q597">
        <v>186.59395348837208</v>
      </c>
      <c r="R597">
        <f ca="1">YEAR(TODAY())-Table1[[#This Row],[Year Built]]</f>
        <v>48</v>
      </c>
      <c r="S597" t="str">
        <f>IF(Table1[[#This Row],[Days on Market]] &lt; 30,"Fast",IF(Table1[[#This Row],[Days on Market]]&lt;= 90,"Average", "Slow"))</f>
        <v>Average</v>
      </c>
      <c r="T597" t="str">
        <f>IF(Table1[[#This Row],[Price2]]&lt;500000,"Affordable",IF(Table1[[#This Row],[Price2]]&lt;1000000,"Mid range","Luxury"))</f>
        <v>Affordable</v>
      </c>
    </row>
    <row r="598" spans="1:20" x14ac:dyDescent="0.35">
      <c r="A598" s="3">
        <v>402250</v>
      </c>
      <c r="B598" s="2" t="s">
        <v>34</v>
      </c>
      <c r="C598">
        <v>54158</v>
      </c>
      <c r="D598" s="2" t="s">
        <v>35</v>
      </c>
      <c r="E598">
        <v>3</v>
      </c>
      <c r="F598">
        <v>1</v>
      </c>
      <c r="G598" s="4">
        <f>VALUE(SUBSTITUTE(SUBSTITUTE(Table1[[#This Row],[Price]],"$",""),",",""))</f>
        <v>402250</v>
      </c>
      <c r="H598" s="1">
        <f>Table1[[#This Row],[Price2]]/Table1[[#This Row],[Area]]</f>
        <v>116.59420289855072</v>
      </c>
      <c r="I598">
        <v>3450</v>
      </c>
      <c r="J598">
        <v>1962</v>
      </c>
      <c r="K598">
        <v>93</v>
      </c>
      <c r="L598" t="s">
        <v>40</v>
      </c>
      <c r="M598" t="s">
        <v>1814</v>
      </c>
      <c r="N598" s="2" t="s">
        <v>3031</v>
      </c>
      <c r="O598" t="s">
        <v>3032</v>
      </c>
      <c r="P598" t="s">
        <v>16</v>
      </c>
      <c r="Q598">
        <v>116.59420289855072</v>
      </c>
      <c r="R598">
        <f ca="1">YEAR(TODAY())-Table1[[#This Row],[Year Built]]</f>
        <v>64</v>
      </c>
      <c r="S598" t="str">
        <f>IF(Table1[[#This Row],[Days on Market]] &lt; 30,"Fast",IF(Table1[[#This Row],[Days on Market]]&lt;= 90,"Average", "Slow"))</f>
        <v>Slow</v>
      </c>
      <c r="T598" t="str">
        <f>IF(Table1[[#This Row],[Price2]]&lt;500000,"Affordable",IF(Table1[[#This Row],[Price2]]&lt;1000000,"Mid range","Luxury"))</f>
        <v>Affordable</v>
      </c>
    </row>
    <row r="599" spans="1:20" x14ac:dyDescent="0.35">
      <c r="A599" s="3">
        <v>402339</v>
      </c>
      <c r="B599" s="2" t="s">
        <v>12</v>
      </c>
      <c r="C599">
        <v>93478</v>
      </c>
      <c r="D599" s="2" t="s">
        <v>13</v>
      </c>
      <c r="E599">
        <v>1</v>
      </c>
      <c r="F599">
        <v>4</v>
      </c>
      <c r="G599" s="4">
        <f>VALUE(SUBSTITUTE(SUBSTITUTE(Table1[[#This Row],[Price]],"$",""),",",""))</f>
        <v>402339</v>
      </c>
      <c r="H599" s="1">
        <f>Table1[[#This Row],[Price2]]/Table1[[#This Row],[Area]]</f>
        <v>112.22845188284519</v>
      </c>
      <c r="I599">
        <v>3585</v>
      </c>
      <c r="J599">
        <v>1977</v>
      </c>
      <c r="K599">
        <v>56</v>
      </c>
      <c r="L599" t="s">
        <v>30</v>
      </c>
      <c r="M599" t="s">
        <v>2210</v>
      </c>
      <c r="N599" s="2" t="s">
        <v>3031</v>
      </c>
      <c r="O599" t="s">
        <v>3032</v>
      </c>
      <c r="P599" t="s">
        <v>21</v>
      </c>
      <c r="Q599">
        <v>112.22845188284519</v>
      </c>
      <c r="R599">
        <f ca="1">YEAR(TODAY())-Table1[[#This Row],[Year Built]]</f>
        <v>49</v>
      </c>
      <c r="S599" t="str">
        <f>IF(Table1[[#This Row],[Days on Market]] &lt; 30,"Fast",IF(Table1[[#This Row],[Days on Market]]&lt;= 90,"Average", "Slow"))</f>
        <v>Average</v>
      </c>
      <c r="T599" t="str">
        <f>IF(Table1[[#This Row],[Price2]]&lt;500000,"Affordable",IF(Table1[[#This Row],[Price2]]&lt;1000000,"Mid range","Luxury"))</f>
        <v>Affordable</v>
      </c>
    </row>
    <row r="600" spans="1:20" x14ac:dyDescent="0.35">
      <c r="A600" s="3">
        <v>402637</v>
      </c>
      <c r="B600" s="2" t="s">
        <v>34</v>
      </c>
      <c r="C600">
        <v>59545</v>
      </c>
      <c r="D600" s="2" t="s">
        <v>18</v>
      </c>
      <c r="E600">
        <v>6</v>
      </c>
      <c r="F600">
        <v>3</v>
      </c>
      <c r="G600" s="4">
        <f>VALUE(SUBSTITUTE(SUBSTITUTE(Table1[[#This Row],[Price]],"$",""),",",""))</f>
        <v>402637</v>
      </c>
      <c r="H600" s="1">
        <f>Table1[[#This Row],[Price2]]/Table1[[#This Row],[Area]]</f>
        <v>110.40224842336167</v>
      </c>
      <c r="I600">
        <v>3647</v>
      </c>
      <c r="J600">
        <v>1976</v>
      </c>
      <c r="K600">
        <v>108</v>
      </c>
      <c r="L600" t="s">
        <v>30</v>
      </c>
      <c r="M600" t="s">
        <v>2134</v>
      </c>
      <c r="N600" s="2" t="s">
        <v>3027</v>
      </c>
      <c r="O600" t="s">
        <v>3028</v>
      </c>
      <c r="P600" t="s">
        <v>16</v>
      </c>
      <c r="Q600">
        <v>110.40224842336167</v>
      </c>
      <c r="R600">
        <f ca="1">YEAR(TODAY())-Table1[[#This Row],[Year Built]]</f>
        <v>50</v>
      </c>
      <c r="S600" t="str">
        <f>IF(Table1[[#This Row],[Days on Market]] &lt; 30,"Fast",IF(Table1[[#This Row],[Days on Market]]&lt;= 90,"Average", "Slow"))</f>
        <v>Slow</v>
      </c>
      <c r="T600" t="str">
        <f>IF(Table1[[#This Row],[Price2]]&lt;500000,"Affordable",IF(Table1[[#This Row],[Price2]]&lt;1000000,"Mid range","Luxury"))</f>
        <v>Affordable</v>
      </c>
    </row>
    <row r="601" spans="1:20" x14ac:dyDescent="0.35">
      <c r="A601" s="3">
        <v>402672</v>
      </c>
      <c r="B601" s="2" t="s">
        <v>12</v>
      </c>
      <c r="C601">
        <v>18244</v>
      </c>
      <c r="D601" s="2" t="s">
        <v>29</v>
      </c>
      <c r="E601">
        <v>4</v>
      </c>
      <c r="F601">
        <v>2</v>
      </c>
      <c r="G601" s="4">
        <f>VALUE(SUBSTITUTE(SUBSTITUTE(Table1[[#This Row],[Price]],"$",""),",",""))</f>
        <v>402672</v>
      </c>
      <c r="H601" s="1">
        <f>Table1[[#This Row],[Price2]]/Table1[[#This Row],[Area]]</f>
        <v>139.33287197231834</v>
      </c>
      <c r="I601">
        <v>2890</v>
      </c>
      <c r="J601">
        <v>1989</v>
      </c>
      <c r="K601">
        <v>64</v>
      </c>
      <c r="L601" t="s">
        <v>40</v>
      </c>
      <c r="M601" t="s">
        <v>654</v>
      </c>
      <c r="N601" s="2" t="s">
        <v>3031</v>
      </c>
      <c r="O601" t="s">
        <v>3032</v>
      </c>
      <c r="P601" t="s">
        <v>21</v>
      </c>
      <c r="Q601">
        <v>139.33287197231834</v>
      </c>
      <c r="R601">
        <f ca="1">YEAR(TODAY())-Table1[[#This Row],[Year Built]]</f>
        <v>37</v>
      </c>
      <c r="S601" t="str">
        <f>IF(Table1[[#This Row],[Days on Market]] &lt; 30,"Fast",IF(Table1[[#This Row],[Days on Market]]&lt;= 90,"Average", "Slow"))</f>
        <v>Average</v>
      </c>
      <c r="T601" t="str">
        <f>IF(Table1[[#This Row],[Price2]]&lt;500000,"Affordable",IF(Table1[[#This Row],[Price2]]&lt;1000000,"Mid range","Luxury"))</f>
        <v>Affordable</v>
      </c>
    </row>
    <row r="602" spans="1:20" x14ac:dyDescent="0.35">
      <c r="A602" s="3">
        <v>403326</v>
      </c>
      <c r="B602" s="2" t="s">
        <v>22</v>
      </c>
      <c r="C602">
        <v>45299</v>
      </c>
      <c r="D602" s="2" t="s">
        <v>13</v>
      </c>
      <c r="E602">
        <v>5</v>
      </c>
      <c r="F602">
        <v>3</v>
      </c>
      <c r="G602" s="4">
        <f>VALUE(SUBSTITUTE(SUBSTITUTE(Table1[[#This Row],[Price]],"$",""),",",""))</f>
        <v>403326</v>
      </c>
      <c r="H602" s="1">
        <f>Table1[[#This Row],[Price2]]/Table1[[#This Row],[Area]]</f>
        <v>101.16027088036117</v>
      </c>
      <c r="I602">
        <v>3987</v>
      </c>
      <c r="J602">
        <v>2001</v>
      </c>
      <c r="K602">
        <v>112</v>
      </c>
      <c r="L602" t="s">
        <v>14</v>
      </c>
      <c r="M602" t="s">
        <v>1427</v>
      </c>
      <c r="N602" s="2" t="s">
        <v>3027</v>
      </c>
      <c r="O602" t="s">
        <v>3028</v>
      </c>
      <c r="P602" t="s">
        <v>21</v>
      </c>
      <c r="Q602">
        <v>101.16027088036117</v>
      </c>
      <c r="R602">
        <f ca="1">YEAR(TODAY())-Table1[[#This Row],[Year Built]]</f>
        <v>25</v>
      </c>
      <c r="S602" t="str">
        <f>IF(Table1[[#This Row],[Days on Market]] &lt; 30,"Fast",IF(Table1[[#This Row],[Days on Market]]&lt;= 90,"Average", "Slow"))</f>
        <v>Slow</v>
      </c>
      <c r="T602" t="str">
        <f>IF(Table1[[#This Row],[Price2]]&lt;500000,"Affordable",IF(Table1[[#This Row],[Price2]]&lt;1000000,"Mid range","Luxury"))</f>
        <v>Affordable</v>
      </c>
    </row>
    <row r="603" spans="1:20" x14ac:dyDescent="0.35">
      <c r="A603" s="3">
        <v>403704</v>
      </c>
      <c r="B603" s="2" t="s">
        <v>17</v>
      </c>
      <c r="C603">
        <v>13545</v>
      </c>
      <c r="D603" s="2" t="s">
        <v>13</v>
      </c>
      <c r="E603">
        <v>4</v>
      </c>
      <c r="F603">
        <v>1</v>
      </c>
      <c r="G603" s="4">
        <f>VALUE(SUBSTITUTE(SUBSTITUTE(Table1[[#This Row],[Price]],"$",""),",",""))</f>
        <v>403704</v>
      </c>
      <c r="H603" s="1">
        <f>Table1[[#This Row],[Price2]]/Table1[[#This Row],[Area]]</f>
        <v>129.02013422818791</v>
      </c>
      <c r="I603">
        <v>3129</v>
      </c>
      <c r="J603">
        <v>1979</v>
      </c>
      <c r="K603">
        <v>28</v>
      </c>
      <c r="L603" t="s">
        <v>14</v>
      </c>
      <c r="M603" t="s">
        <v>1245</v>
      </c>
      <c r="N603" s="2" t="s">
        <v>3033</v>
      </c>
      <c r="O603" t="s">
        <v>3034</v>
      </c>
      <c r="P603" t="s">
        <v>16</v>
      </c>
      <c r="Q603">
        <v>129.02013422818791</v>
      </c>
      <c r="R603">
        <f ca="1">YEAR(TODAY())-Table1[[#This Row],[Year Built]]</f>
        <v>47</v>
      </c>
      <c r="S603" t="str">
        <f>IF(Table1[[#This Row],[Days on Market]] &lt; 30,"Fast",IF(Table1[[#This Row],[Days on Market]]&lt;= 90,"Average", "Slow"))</f>
        <v>Fast</v>
      </c>
      <c r="T603" t="str">
        <f>IF(Table1[[#This Row],[Price2]]&lt;500000,"Affordable",IF(Table1[[#This Row],[Price2]]&lt;1000000,"Mid range","Luxury"))</f>
        <v>Affordable</v>
      </c>
    </row>
    <row r="604" spans="1:20" x14ac:dyDescent="0.35">
      <c r="A604" s="3">
        <v>404252</v>
      </c>
      <c r="B604" s="2" t="s">
        <v>27</v>
      </c>
      <c r="C604">
        <v>90909</v>
      </c>
      <c r="D604" s="2" t="s">
        <v>23</v>
      </c>
      <c r="E604">
        <v>5</v>
      </c>
      <c r="F604">
        <v>2</v>
      </c>
      <c r="G604" s="4">
        <f>VALUE(SUBSTITUTE(SUBSTITUTE(Table1[[#This Row],[Price]],"$",""),",",""))</f>
        <v>404252</v>
      </c>
      <c r="H604" s="1">
        <f>Table1[[#This Row],[Price2]]/Table1[[#This Row],[Area]]</f>
        <v>210.54791666666668</v>
      </c>
      <c r="I604">
        <v>1920</v>
      </c>
      <c r="J604">
        <v>1961</v>
      </c>
      <c r="K604">
        <v>63</v>
      </c>
      <c r="L604" t="s">
        <v>52</v>
      </c>
      <c r="M604" t="s">
        <v>1783</v>
      </c>
      <c r="N604" s="2" t="s">
        <v>3027</v>
      </c>
      <c r="O604" t="s">
        <v>3028</v>
      </c>
      <c r="P604" t="s">
        <v>16</v>
      </c>
      <c r="Q604">
        <v>210.54791666666668</v>
      </c>
      <c r="R604">
        <f ca="1">YEAR(TODAY())-Table1[[#This Row],[Year Built]]</f>
        <v>65</v>
      </c>
      <c r="S604" t="str">
        <f>IF(Table1[[#This Row],[Days on Market]] &lt; 30,"Fast",IF(Table1[[#This Row],[Days on Market]]&lt;= 90,"Average", "Slow"))</f>
        <v>Average</v>
      </c>
      <c r="T604" t="str">
        <f>IF(Table1[[#This Row],[Price2]]&lt;500000,"Affordable",IF(Table1[[#This Row],[Price2]]&lt;1000000,"Mid range","Luxury"))</f>
        <v>Affordable</v>
      </c>
    </row>
    <row r="605" spans="1:20" x14ac:dyDescent="0.35">
      <c r="A605" s="3">
        <v>406159</v>
      </c>
      <c r="B605" s="2" t="s">
        <v>22</v>
      </c>
      <c r="C605">
        <v>14892</v>
      </c>
      <c r="D605" s="2" t="s">
        <v>23</v>
      </c>
      <c r="E605">
        <v>1</v>
      </c>
      <c r="F605">
        <v>1</v>
      </c>
      <c r="G605" s="4">
        <f>VALUE(SUBSTITUTE(SUBSTITUTE(Table1[[#This Row],[Price]],"$",""),",",""))</f>
        <v>406159</v>
      </c>
      <c r="H605" s="1">
        <f>Table1[[#This Row],[Price2]]/Table1[[#This Row],[Area]]</f>
        <v>160.34701934465062</v>
      </c>
      <c r="I605">
        <v>2533</v>
      </c>
      <c r="J605">
        <v>1971</v>
      </c>
      <c r="K605">
        <v>40</v>
      </c>
      <c r="L605" t="s">
        <v>19</v>
      </c>
      <c r="M605" t="s">
        <v>838</v>
      </c>
      <c r="N605" s="2" t="s">
        <v>3029</v>
      </c>
      <c r="O605" t="s">
        <v>3030</v>
      </c>
      <c r="P605" t="s">
        <v>26</v>
      </c>
      <c r="Q605">
        <v>160.34701934465062</v>
      </c>
      <c r="R605">
        <f ca="1">YEAR(TODAY())-Table1[[#This Row],[Year Built]]</f>
        <v>55</v>
      </c>
      <c r="S605" t="str">
        <f>IF(Table1[[#This Row],[Days on Market]] &lt; 30,"Fast",IF(Table1[[#This Row],[Days on Market]]&lt;= 90,"Average", "Slow"))</f>
        <v>Average</v>
      </c>
      <c r="T605" t="str">
        <f>IF(Table1[[#This Row],[Price2]]&lt;500000,"Affordable",IF(Table1[[#This Row],[Price2]]&lt;1000000,"Mid range","Luxury"))</f>
        <v>Affordable</v>
      </c>
    </row>
    <row r="606" spans="1:20" x14ac:dyDescent="0.35">
      <c r="A606" s="3">
        <v>406192</v>
      </c>
      <c r="B606" s="2" t="s">
        <v>22</v>
      </c>
      <c r="C606">
        <v>44554</v>
      </c>
      <c r="D606" s="2" t="s">
        <v>18</v>
      </c>
      <c r="E606">
        <v>1</v>
      </c>
      <c r="F606">
        <v>2</v>
      </c>
      <c r="G606" s="4">
        <f>VALUE(SUBSTITUTE(SUBSTITUTE(Table1[[#This Row],[Price]],"$",""),",",""))</f>
        <v>406192</v>
      </c>
      <c r="H606" s="1">
        <f>Table1[[#This Row],[Price2]]/Table1[[#This Row],[Area]]</f>
        <v>101.59879939969986</v>
      </c>
      <c r="I606">
        <v>3998</v>
      </c>
      <c r="J606">
        <v>1955</v>
      </c>
      <c r="K606">
        <v>51</v>
      </c>
      <c r="L606" t="s">
        <v>14</v>
      </c>
      <c r="M606" t="s">
        <v>1385</v>
      </c>
      <c r="N606" s="2" t="s">
        <v>3031</v>
      </c>
      <c r="O606" t="s">
        <v>3032</v>
      </c>
      <c r="P606" t="s">
        <v>16</v>
      </c>
      <c r="Q606">
        <v>101.59879939969986</v>
      </c>
      <c r="R606">
        <f ca="1">YEAR(TODAY())-Table1[[#This Row],[Year Built]]</f>
        <v>71</v>
      </c>
      <c r="S606" t="str">
        <f>IF(Table1[[#This Row],[Days on Market]] &lt; 30,"Fast",IF(Table1[[#This Row],[Days on Market]]&lt;= 90,"Average", "Slow"))</f>
        <v>Average</v>
      </c>
      <c r="T606" t="str">
        <f>IF(Table1[[#This Row],[Price2]]&lt;500000,"Affordable",IF(Table1[[#This Row],[Price2]]&lt;1000000,"Mid range","Luxury"))</f>
        <v>Affordable</v>
      </c>
    </row>
    <row r="607" spans="1:20" x14ac:dyDescent="0.35">
      <c r="A607" s="3">
        <v>406535</v>
      </c>
      <c r="B607" s="2" t="s">
        <v>17</v>
      </c>
      <c r="C607">
        <v>33457</v>
      </c>
      <c r="D607" s="2" t="s">
        <v>18</v>
      </c>
      <c r="E607">
        <v>1</v>
      </c>
      <c r="F607">
        <v>2</v>
      </c>
      <c r="G607" s="4">
        <f>VALUE(SUBSTITUTE(SUBSTITUTE(Table1[[#This Row],[Price]],"$",""),",",""))</f>
        <v>406535</v>
      </c>
      <c r="H607" s="1">
        <f>Table1[[#This Row],[Price2]]/Table1[[#This Row],[Area]]</f>
        <v>458.84311512415348</v>
      </c>
      <c r="I607">
        <v>886</v>
      </c>
      <c r="J607">
        <v>1965</v>
      </c>
      <c r="K607">
        <v>33</v>
      </c>
      <c r="L607" t="s">
        <v>40</v>
      </c>
      <c r="M607" t="s">
        <v>472</v>
      </c>
      <c r="N607" s="2" t="s">
        <v>3035</v>
      </c>
      <c r="O607" t="s">
        <v>3036</v>
      </c>
      <c r="P607" t="s">
        <v>26</v>
      </c>
      <c r="Q607">
        <v>458.84311512415348</v>
      </c>
      <c r="R607">
        <f ca="1">YEAR(TODAY())-Table1[[#This Row],[Year Built]]</f>
        <v>61</v>
      </c>
      <c r="S607" t="str">
        <f>IF(Table1[[#This Row],[Days on Market]] &lt; 30,"Fast",IF(Table1[[#This Row],[Days on Market]]&lt;= 90,"Average", "Slow"))</f>
        <v>Average</v>
      </c>
      <c r="T607" t="str">
        <f>IF(Table1[[#This Row],[Price2]]&lt;500000,"Affordable",IF(Table1[[#This Row],[Price2]]&lt;1000000,"Mid range","Luxury"))</f>
        <v>Affordable</v>
      </c>
    </row>
    <row r="608" spans="1:20" x14ac:dyDescent="0.35">
      <c r="A608" s="3">
        <v>406699</v>
      </c>
      <c r="B608" s="2" t="s">
        <v>22</v>
      </c>
      <c r="C608">
        <v>69180</v>
      </c>
      <c r="D608" s="2" t="s">
        <v>23</v>
      </c>
      <c r="E608">
        <v>2</v>
      </c>
      <c r="F608">
        <v>2</v>
      </c>
      <c r="G608" s="4">
        <f>VALUE(SUBSTITUTE(SUBSTITUTE(Table1[[#This Row],[Price]],"$",""),",",""))</f>
        <v>406699</v>
      </c>
      <c r="H608" s="1">
        <f>Table1[[#This Row],[Price2]]/Table1[[#This Row],[Area]]</f>
        <v>466.9334098737084</v>
      </c>
      <c r="I608">
        <v>871</v>
      </c>
      <c r="J608">
        <v>1951</v>
      </c>
      <c r="K608">
        <v>11</v>
      </c>
      <c r="L608" t="s">
        <v>52</v>
      </c>
      <c r="M608" t="s">
        <v>2719</v>
      </c>
      <c r="N608" s="2" t="s">
        <v>3027</v>
      </c>
      <c r="O608" t="s">
        <v>3028</v>
      </c>
      <c r="P608" t="s">
        <v>16</v>
      </c>
      <c r="Q608">
        <v>466.9334098737084</v>
      </c>
      <c r="R608">
        <f ca="1">YEAR(TODAY())-Table1[[#This Row],[Year Built]]</f>
        <v>75</v>
      </c>
      <c r="S608" t="str">
        <f>IF(Table1[[#This Row],[Days on Market]] &lt; 30,"Fast",IF(Table1[[#This Row],[Days on Market]]&lt;= 90,"Average", "Slow"))</f>
        <v>Fast</v>
      </c>
      <c r="T608" t="str">
        <f>IF(Table1[[#This Row],[Price2]]&lt;500000,"Affordable",IF(Table1[[#This Row],[Price2]]&lt;1000000,"Mid range","Luxury"))</f>
        <v>Affordable</v>
      </c>
    </row>
    <row r="609" spans="1:20" x14ac:dyDescent="0.35">
      <c r="A609" s="3">
        <v>407981</v>
      </c>
      <c r="B609" s="2" t="s">
        <v>27</v>
      </c>
      <c r="C609">
        <v>31427</v>
      </c>
      <c r="D609" s="2" t="s">
        <v>29</v>
      </c>
      <c r="E609">
        <v>1</v>
      </c>
      <c r="F609">
        <v>1</v>
      </c>
      <c r="G609" s="4">
        <f>VALUE(SUBSTITUTE(SUBSTITUTE(Table1[[#This Row],[Price]],"$",""),",",""))</f>
        <v>407981</v>
      </c>
      <c r="H609" s="1">
        <f>Table1[[#This Row],[Price2]]/Table1[[#This Row],[Area]]</f>
        <v>125.10916896657467</v>
      </c>
      <c r="I609">
        <v>3261</v>
      </c>
      <c r="J609">
        <v>2008</v>
      </c>
      <c r="K609">
        <v>100</v>
      </c>
      <c r="L609" t="s">
        <v>14</v>
      </c>
      <c r="M609" t="s">
        <v>1565</v>
      </c>
      <c r="N609" s="2" t="s">
        <v>3027</v>
      </c>
      <c r="O609" t="s">
        <v>3028</v>
      </c>
      <c r="P609" t="s">
        <v>21</v>
      </c>
      <c r="Q609">
        <v>125.10916896657467</v>
      </c>
      <c r="R609">
        <f ca="1">YEAR(TODAY())-Table1[[#This Row],[Year Built]]</f>
        <v>18</v>
      </c>
      <c r="S609" t="str">
        <f>IF(Table1[[#This Row],[Days on Market]] &lt; 30,"Fast",IF(Table1[[#This Row],[Days on Market]]&lt;= 90,"Average", "Slow"))</f>
        <v>Slow</v>
      </c>
      <c r="T609" t="str">
        <f>IF(Table1[[#This Row],[Price2]]&lt;500000,"Affordable",IF(Table1[[#This Row],[Price2]]&lt;1000000,"Mid range","Luxury"))</f>
        <v>Affordable</v>
      </c>
    </row>
    <row r="610" spans="1:20" x14ac:dyDescent="0.35">
      <c r="A610" s="3">
        <v>408518</v>
      </c>
      <c r="B610" s="2" t="s">
        <v>17</v>
      </c>
      <c r="C610">
        <v>87522</v>
      </c>
      <c r="D610" s="2" t="s">
        <v>35</v>
      </c>
      <c r="E610">
        <v>1</v>
      </c>
      <c r="F610">
        <v>3</v>
      </c>
      <c r="G610" s="4">
        <f>VALUE(SUBSTITUTE(SUBSTITUTE(Table1[[#This Row],[Price]],"$",""),",",""))</f>
        <v>408518</v>
      </c>
      <c r="H610" s="1">
        <f>Table1[[#This Row],[Price2]]/Table1[[#This Row],[Area]]</f>
        <v>354.61631944444446</v>
      </c>
      <c r="I610">
        <v>1152</v>
      </c>
      <c r="J610">
        <v>2012</v>
      </c>
      <c r="K610">
        <v>49</v>
      </c>
      <c r="L610" t="s">
        <v>52</v>
      </c>
      <c r="M610" t="s">
        <v>228</v>
      </c>
      <c r="N610" s="2" t="s">
        <v>3033</v>
      </c>
      <c r="O610" t="s">
        <v>3034</v>
      </c>
      <c r="P610" t="s">
        <v>21</v>
      </c>
      <c r="Q610">
        <v>354.61631944444446</v>
      </c>
      <c r="R610">
        <f ca="1">YEAR(TODAY())-Table1[[#This Row],[Year Built]]</f>
        <v>14</v>
      </c>
      <c r="S610" t="str">
        <f>IF(Table1[[#This Row],[Days on Market]] &lt; 30,"Fast",IF(Table1[[#This Row],[Days on Market]]&lt;= 90,"Average", "Slow"))</f>
        <v>Average</v>
      </c>
      <c r="T610" t="str">
        <f>IF(Table1[[#This Row],[Price2]]&lt;500000,"Affordable",IF(Table1[[#This Row],[Price2]]&lt;1000000,"Mid range","Luxury"))</f>
        <v>Affordable</v>
      </c>
    </row>
    <row r="611" spans="1:20" x14ac:dyDescent="0.35">
      <c r="A611" s="3">
        <v>409046</v>
      </c>
      <c r="B611" s="2" t="s">
        <v>27</v>
      </c>
      <c r="C611">
        <v>10334</v>
      </c>
      <c r="D611" s="2" t="s">
        <v>29</v>
      </c>
      <c r="E611">
        <v>2</v>
      </c>
      <c r="F611">
        <v>2</v>
      </c>
      <c r="G611" s="4">
        <f>VALUE(SUBSTITUTE(SUBSTITUTE(Table1[[#This Row],[Price]],"$",""),",",""))</f>
        <v>409046</v>
      </c>
      <c r="H611" s="1">
        <f>Table1[[#This Row],[Price2]]/Table1[[#This Row],[Area]]</f>
        <v>247.15770392749243</v>
      </c>
      <c r="I611">
        <v>1655</v>
      </c>
      <c r="J611">
        <v>1995</v>
      </c>
      <c r="K611">
        <v>92</v>
      </c>
      <c r="L611" t="s">
        <v>40</v>
      </c>
      <c r="M611" t="s">
        <v>1980</v>
      </c>
      <c r="N611" s="2" t="s">
        <v>3027</v>
      </c>
      <c r="O611" t="s">
        <v>3028</v>
      </c>
      <c r="P611" t="s">
        <v>21</v>
      </c>
      <c r="Q611">
        <v>247.15770392749243</v>
      </c>
      <c r="R611">
        <f ca="1">YEAR(TODAY())-Table1[[#This Row],[Year Built]]</f>
        <v>31</v>
      </c>
      <c r="S611" t="str">
        <f>IF(Table1[[#This Row],[Days on Market]] &lt; 30,"Fast",IF(Table1[[#This Row],[Days on Market]]&lt;= 90,"Average", "Slow"))</f>
        <v>Slow</v>
      </c>
      <c r="T611" t="str">
        <f>IF(Table1[[#This Row],[Price2]]&lt;500000,"Affordable",IF(Table1[[#This Row],[Price2]]&lt;1000000,"Mid range","Luxury"))</f>
        <v>Affordable</v>
      </c>
    </row>
    <row r="612" spans="1:20" x14ac:dyDescent="0.35">
      <c r="A612" s="3">
        <v>409090</v>
      </c>
      <c r="B612" s="2" t="s">
        <v>17</v>
      </c>
      <c r="C612">
        <v>40049</v>
      </c>
      <c r="D612" s="2" t="s">
        <v>29</v>
      </c>
      <c r="E612">
        <v>4</v>
      </c>
      <c r="F612">
        <v>2</v>
      </c>
      <c r="G612" s="4">
        <f>VALUE(SUBSTITUTE(SUBSTITUTE(Table1[[#This Row],[Price]],"$",""),",",""))</f>
        <v>409090</v>
      </c>
      <c r="H612" s="1">
        <f>Table1[[#This Row],[Price2]]/Table1[[#This Row],[Area]]</f>
        <v>136.49983316649983</v>
      </c>
      <c r="I612">
        <v>2997</v>
      </c>
      <c r="J612">
        <v>2000</v>
      </c>
      <c r="K612">
        <v>71</v>
      </c>
      <c r="L612" t="s">
        <v>30</v>
      </c>
      <c r="M612" t="s">
        <v>433</v>
      </c>
      <c r="N612" s="2" t="s">
        <v>3031</v>
      </c>
      <c r="O612" t="s">
        <v>3032</v>
      </c>
      <c r="P612" t="s">
        <v>26</v>
      </c>
      <c r="Q612">
        <v>136.49983316649983</v>
      </c>
      <c r="R612">
        <f ca="1">YEAR(TODAY())-Table1[[#This Row],[Year Built]]</f>
        <v>26</v>
      </c>
      <c r="S612" t="str">
        <f>IF(Table1[[#This Row],[Days on Market]] &lt; 30,"Fast",IF(Table1[[#This Row],[Days on Market]]&lt;= 90,"Average", "Slow"))</f>
        <v>Average</v>
      </c>
      <c r="T612" t="str">
        <f>IF(Table1[[#This Row],[Price2]]&lt;500000,"Affordable",IF(Table1[[#This Row],[Price2]]&lt;1000000,"Mid range","Luxury"))</f>
        <v>Affordable</v>
      </c>
    </row>
    <row r="613" spans="1:20" x14ac:dyDescent="0.35">
      <c r="A613" s="3">
        <v>410142</v>
      </c>
      <c r="B613" s="2" t="s">
        <v>27</v>
      </c>
      <c r="C613">
        <v>16632</v>
      </c>
      <c r="D613" s="2" t="s">
        <v>29</v>
      </c>
      <c r="E613">
        <v>1</v>
      </c>
      <c r="F613">
        <v>1</v>
      </c>
      <c r="G613" s="4">
        <f>VALUE(SUBSTITUTE(SUBSTITUTE(Table1[[#This Row],[Price]],"$",""),",",""))</f>
        <v>410142</v>
      </c>
      <c r="H613" s="1">
        <f>Table1[[#This Row],[Price2]]/Table1[[#This Row],[Area]]</f>
        <v>142.36098576883026</v>
      </c>
      <c r="I613">
        <v>2881</v>
      </c>
      <c r="J613">
        <v>1965</v>
      </c>
      <c r="K613">
        <v>108</v>
      </c>
      <c r="L613" t="s">
        <v>19</v>
      </c>
      <c r="M613" t="s">
        <v>1480</v>
      </c>
      <c r="N613" s="2" t="s">
        <v>3027</v>
      </c>
      <c r="O613" t="s">
        <v>3028</v>
      </c>
      <c r="P613" t="s">
        <v>26</v>
      </c>
      <c r="Q613">
        <v>142.36098576883026</v>
      </c>
      <c r="R613">
        <f ca="1">YEAR(TODAY())-Table1[[#This Row],[Year Built]]</f>
        <v>61</v>
      </c>
      <c r="S613" t="str">
        <f>IF(Table1[[#This Row],[Days on Market]] &lt; 30,"Fast",IF(Table1[[#This Row],[Days on Market]]&lt;= 90,"Average", "Slow"))</f>
        <v>Slow</v>
      </c>
      <c r="T613" t="str">
        <f>IF(Table1[[#This Row],[Price2]]&lt;500000,"Affordable",IF(Table1[[#This Row],[Price2]]&lt;1000000,"Mid range","Luxury"))</f>
        <v>Affordable</v>
      </c>
    </row>
    <row r="614" spans="1:20" x14ac:dyDescent="0.35">
      <c r="A614" s="3">
        <v>410437</v>
      </c>
      <c r="B614" s="2" t="s">
        <v>22</v>
      </c>
      <c r="C614">
        <v>44942</v>
      </c>
      <c r="D614" s="2" t="s">
        <v>13</v>
      </c>
      <c r="E614">
        <v>6</v>
      </c>
      <c r="F614">
        <v>2</v>
      </c>
      <c r="G614" s="4">
        <f>VALUE(SUBSTITUTE(SUBSTITUTE(Table1[[#This Row],[Price]],"$",""),",",""))</f>
        <v>410437</v>
      </c>
      <c r="H614" s="1">
        <f>Table1[[#This Row],[Price2]]/Table1[[#This Row],[Area]]</f>
        <v>158.71500386697602</v>
      </c>
      <c r="I614">
        <v>2586</v>
      </c>
      <c r="J614">
        <v>2008</v>
      </c>
      <c r="K614">
        <v>9</v>
      </c>
      <c r="L614" t="s">
        <v>19</v>
      </c>
      <c r="M614" t="s">
        <v>2660</v>
      </c>
      <c r="N614" s="2" t="s">
        <v>3033</v>
      </c>
      <c r="O614" t="s">
        <v>3034</v>
      </c>
      <c r="P614" t="s">
        <v>26</v>
      </c>
      <c r="Q614">
        <v>158.71500386697602</v>
      </c>
      <c r="R614">
        <f ca="1">YEAR(TODAY())-Table1[[#This Row],[Year Built]]</f>
        <v>18</v>
      </c>
      <c r="S614" t="str">
        <f>IF(Table1[[#This Row],[Days on Market]] &lt; 30,"Fast",IF(Table1[[#This Row],[Days on Market]]&lt;= 90,"Average", "Slow"))</f>
        <v>Fast</v>
      </c>
      <c r="T614" t="str">
        <f>IF(Table1[[#This Row],[Price2]]&lt;500000,"Affordable",IF(Table1[[#This Row],[Price2]]&lt;1000000,"Mid range","Luxury"))</f>
        <v>Affordable</v>
      </c>
    </row>
    <row r="615" spans="1:20" x14ac:dyDescent="0.35">
      <c r="A615" s="3">
        <v>410666</v>
      </c>
      <c r="B615" s="2" t="s">
        <v>17</v>
      </c>
      <c r="C615">
        <v>43311</v>
      </c>
      <c r="D615" s="2" t="s">
        <v>35</v>
      </c>
      <c r="E615">
        <v>2</v>
      </c>
      <c r="F615">
        <v>2</v>
      </c>
      <c r="G615" s="4">
        <f>VALUE(SUBSTITUTE(SUBSTITUTE(Table1[[#This Row],[Price]],"$",""),",",""))</f>
        <v>410666</v>
      </c>
      <c r="H615" s="1">
        <f>Table1[[#This Row],[Price2]]/Table1[[#This Row],[Area]]</f>
        <v>178.0858629661752</v>
      </c>
      <c r="I615">
        <v>2306</v>
      </c>
      <c r="J615">
        <v>1950</v>
      </c>
      <c r="K615">
        <v>2</v>
      </c>
      <c r="L615" t="s">
        <v>14</v>
      </c>
      <c r="M615" t="s">
        <v>1720</v>
      </c>
      <c r="N615" s="2" t="s">
        <v>3033</v>
      </c>
      <c r="O615" t="s">
        <v>3034</v>
      </c>
      <c r="P615" t="s">
        <v>21</v>
      </c>
      <c r="Q615">
        <v>178.0858629661752</v>
      </c>
      <c r="R615">
        <f ca="1">YEAR(TODAY())-Table1[[#This Row],[Year Built]]</f>
        <v>76</v>
      </c>
      <c r="S615" t="str">
        <f>IF(Table1[[#This Row],[Days on Market]] &lt; 30,"Fast",IF(Table1[[#This Row],[Days on Market]]&lt;= 90,"Average", "Slow"))</f>
        <v>Fast</v>
      </c>
      <c r="T615" t="str">
        <f>IF(Table1[[#This Row],[Price2]]&lt;500000,"Affordable",IF(Table1[[#This Row],[Price2]]&lt;1000000,"Mid range","Luxury"))</f>
        <v>Affordable</v>
      </c>
    </row>
    <row r="616" spans="1:20" x14ac:dyDescent="0.35">
      <c r="A616" s="3">
        <v>410680</v>
      </c>
      <c r="B616" s="2" t="s">
        <v>22</v>
      </c>
      <c r="C616">
        <v>87840</v>
      </c>
      <c r="D616" s="2" t="s">
        <v>13</v>
      </c>
      <c r="E616">
        <v>1</v>
      </c>
      <c r="F616">
        <v>1</v>
      </c>
      <c r="G616" s="4">
        <f>VALUE(SUBSTITUTE(SUBSTITUTE(Table1[[#This Row],[Price]],"$",""),",",""))</f>
        <v>410680</v>
      </c>
      <c r="H616" s="1">
        <f>Table1[[#This Row],[Price2]]/Table1[[#This Row],[Area]]</f>
        <v>257.15716969317469</v>
      </c>
      <c r="I616">
        <v>1597</v>
      </c>
      <c r="J616">
        <v>2021</v>
      </c>
      <c r="K616">
        <v>111</v>
      </c>
      <c r="L616" t="s">
        <v>40</v>
      </c>
      <c r="M616" t="s">
        <v>354</v>
      </c>
      <c r="N616" s="2" t="s">
        <v>3031</v>
      </c>
      <c r="O616" t="s">
        <v>3032</v>
      </c>
      <c r="P616" t="s">
        <v>21</v>
      </c>
      <c r="Q616">
        <v>257.15716969317469</v>
      </c>
      <c r="R616">
        <f ca="1">YEAR(TODAY())-Table1[[#This Row],[Year Built]]</f>
        <v>5</v>
      </c>
      <c r="S616" t="str">
        <f>IF(Table1[[#This Row],[Days on Market]] &lt; 30,"Fast",IF(Table1[[#This Row],[Days on Market]]&lt;= 90,"Average", "Slow"))</f>
        <v>Slow</v>
      </c>
      <c r="T616" t="str">
        <f>IF(Table1[[#This Row],[Price2]]&lt;500000,"Affordable",IF(Table1[[#This Row],[Price2]]&lt;1000000,"Mid range","Luxury"))</f>
        <v>Affordable</v>
      </c>
    </row>
    <row r="617" spans="1:20" x14ac:dyDescent="0.35">
      <c r="A617" s="3">
        <v>410698</v>
      </c>
      <c r="B617" s="2" t="s">
        <v>27</v>
      </c>
      <c r="C617">
        <v>71350</v>
      </c>
      <c r="D617" s="2" t="s">
        <v>29</v>
      </c>
      <c r="E617">
        <v>2</v>
      </c>
      <c r="F617">
        <v>4</v>
      </c>
      <c r="G617" s="4">
        <f>VALUE(SUBSTITUTE(SUBSTITUTE(Table1[[#This Row],[Price]],"$",""),",",""))</f>
        <v>410698</v>
      </c>
      <c r="H617" s="1">
        <f>Table1[[#This Row],[Price2]]/Table1[[#This Row],[Area]]</f>
        <v>130.38031746031746</v>
      </c>
      <c r="I617">
        <v>3150</v>
      </c>
      <c r="J617">
        <v>1982</v>
      </c>
      <c r="K617">
        <v>77</v>
      </c>
      <c r="L617" t="s">
        <v>14</v>
      </c>
      <c r="M617" t="s">
        <v>1283</v>
      </c>
      <c r="N617" s="2" t="s">
        <v>3031</v>
      </c>
      <c r="O617" t="s">
        <v>3032</v>
      </c>
      <c r="P617" t="s">
        <v>26</v>
      </c>
      <c r="Q617">
        <v>130.38031746031746</v>
      </c>
      <c r="R617">
        <f ca="1">YEAR(TODAY())-Table1[[#This Row],[Year Built]]</f>
        <v>44</v>
      </c>
      <c r="S617" t="str">
        <f>IF(Table1[[#This Row],[Days on Market]] &lt; 30,"Fast",IF(Table1[[#This Row],[Days on Market]]&lt;= 90,"Average", "Slow"))</f>
        <v>Average</v>
      </c>
      <c r="T617" t="str">
        <f>IF(Table1[[#This Row],[Price2]]&lt;500000,"Affordable",IF(Table1[[#This Row],[Price2]]&lt;1000000,"Mid range","Luxury"))</f>
        <v>Affordable</v>
      </c>
    </row>
    <row r="618" spans="1:20" x14ac:dyDescent="0.35">
      <c r="A618" s="3">
        <v>411851</v>
      </c>
      <c r="B618" s="2" t="s">
        <v>27</v>
      </c>
      <c r="C618">
        <v>75253</v>
      </c>
      <c r="D618" s="2" t="s">
        <v>18</v>
      </c>
      <c r="E618">
        <v>3</v>
      </c>
      <c r="F618">
        <v>1</v>
      </c>
      <c r="G618" s="4">
        <f>VALUE(SUBSTITUTE(SUBSTITUTE(Table1[[#This Row],[Price]],"$",""),",",""))</f>
        <v>411851</v>
      </c>
      <c r="H618" s="1">
        <f>Table1[[#This Row],[Price2]]/Table1[[#This Row],[Area]]</f>
        <v>477.23174971031284</v>
      </c>
      <c r="I618">
        <v>863</v>
      </c>
      <c r="J618">
        <v>2015</v>
      </c>
      <c r="K618">
        <v>83</v>
      </c>
      <c r="L618" t="s">
        <v>30</v>
      </c>
      <c r="M618" t="s">
        <v>790</v>
      </c>
      <c r="N618" s="2" t="s">
        <v>3029</v>
      </c>
      <c r="O618" t="s">
        <v>3030</v>
      </c>
      <c r="P618" t="s">
        <v>16</v>
      </c>
      <c r="Q618">
        <v>477.23174971031284</v>
      </c>
      <c r="R618">
        <f ca="1">YEAR(TODAY())-Table1[[#This Row],[Year Built]]</f>
        <v>11</v>
      </c>
      <c r="S618" t="str">
        <f>IF(Table1[[#This Row],[Days on Market]] &lt; 30,"Fast",IF(Table1[[#This Row],[Days on Market]]&lt;= 90,"Average", "Slow"))</f>
        <v>Average</v>
      </c>
      <c r="T618" t="str">
        <f>IF(Table1[[#This Row],[Price2]]&lt;500000,"Affordable",IF(Table1[[#This Row],[Price2]]&lt;1000000,"Mid range","Luxury"))</f>
        <v>Affordable</v>
      </c>
    </row>
    <row r="619" spans="1:20" x14ac:dyDescent="0.35">
      <c r="A619" s="3">
        <v>413748</v>
      </c>
      <c r="B619" s="2" t="s">
        <v>27</v>
      </c>
      <c r="C619">
        <v>54046</v>
      </c>
      <c r="D619" s="2" t="s">
        <v>29</v>
      </c>
      <c r="E619">
        <v>4</v>
      </c>
      <c r="F619">
        <v>4</v>
      </c>
      <c r="G619" s="4">
        <f>VALUE(SUBSTITUTE(SUBSTITUTE(Table1[[#This Row],[Price]],"$",""),",",""))</f>
        <v>413748</v>
      </c>
      <c r="H619" s="1">
        <f>Table1[[#This Row],[Price2]]/Table1[[#This Row],[Area]]</f>
        <v>233.75593220338982</v>
      </c>
      <c r="I619">
        <v>1770</v>
      </c>
      <c r="J619">
        <v>1983</v>
      </c>
      <c r="K619">
        <v>75</v>
      </c>
      <c r="L619" t="s">
        <v>30</v>
      </c>
      <c r="M619" t="s">
        <v>2458</v>
      </c>
      <c r="N619" s="2" t="s">
        <v>3033</v>
      </c>
      <c r="O619" t="s">
        <v>3034</v>
      </c>
      <c r="P619" t="s">
        <v>21</v>
      </c>
      <c r="Q619">
        <v>233.75593220338982</v>
      </c>
      <c r="R619">
        <f ca="1">YEAR(TODAY())-Table1[[#This Row],[Year Built]]</f>
        <v>43</v>
      </c>
      <c r="S619" t="str">
        <f>IF(Table1[[#This Row],[Days on Market]] &lt; 30,"Fast",IF(Table1[[#This Row],[Days on Market]]&lt;= 90,"Average", "Slow"))</f>
        <v>Average</v>
      </c>
      <c r="T619" t="str">
        <f>IF(Table1[[#This Row],[Price2]]&lt;500000,"Affordable",IF(Table1[[#This Row],[Price2]]&lt;1000000,"Mid range","Luxury"))</f>
        <v>Affordable</v>
      </c>
    </row>
    <row r="620" spans="1:20" x14ac:dyDescent="0.35">
      <c r="A620" s="3">
        <v>414018</v>
      </c>
      <c r="B620" s="2" t="s">
        <v>22</v>
      </c>
      <c r="C620">
        <v>77410</v>
      </c>
      <c r="D620" s="2" t="s">
        <v>13</v>
      </c>
      <c r="E620">
        <v>1</v>
      </c>
      <c r="F620">
        <v>3</v>
      </c>
      <c r="G620" s="4">
        <f>VALUE(SUBSTITUTE(SUBSTITUTE(Table1[[#This Row],[Price]],"$",""),",",""))</f>
        <v>414018</v>
      </c>
      <c r="H620" s="1">
        <f>Table1[[#This Row],[Price2]]/Table1[[#This Row],[Area]]</f>
        <v>180.63612565445027</v>
      </c>
      <c r="I620">
        <v>2292</v>
      </c>
      <c r="J620">
        <v>2001</v>
      </c>
      <c r="K620">
        <v>103</v>
      </c>
      <c r="L620" t="s">
        <v>19</v>
      </c>
      <c r="M620" t="s">
        <v>788</v>
      </c>
      <c r="N620" s="2" t="s">
        <v>3033</v>
      </c>
      <c r="O620" t="s">
        <v>3034</v>
      </c>
      <c r="P620" t="s">
        <v>21</v>
      </c>
      <c r="Q620">
        <v>180.63612565445027</v>
      </c>
      <c r="R620">
        <f ca="1">YEAR(TODAY())-Table1[[#This Row],[Year Built]]</f>
        <v>25</v>
      </c>
      <c r="S620" t="str">
        <f>IF(Table1[[#This Row],[Days on Market]] &lt; 30,"Fast",IF(Table1[[#This Row],[Days on Market]]&lt;= 90,"Average", "Slow"))</f>
        <v>Slow</v>
      </c>
      <c r="T620" t="str">
        <f>IF(Table1[[#This Row],[Price2]]&lt;500000,"Affordable",IF(Table1[[#This Row],[Price2]]&lt;1000000,"Mid range","Luxury"))</f>
        <v>Affordable</v>
      </c>
    </row>
    <row r="621" spans="1:20" x14ac:dyDescent="0.35">
      <c r="A621" s="3">
        <v>414153</v>
      </c>
      <c r="B621" s="2" t="s">
        <v>12</v>
      </c>
      <c r="C621">
        <v>64992</v>
      </c>
      <c r="D621" s="2" t="s">
        <v>35</v>
      </c>
      <c r="E621">
        <v>1</v>
      </c>
      <c r="F621">
        <v>4</v>
      </c>
      <c r="G621" s="4">
        <f>VALUE(SUBSTITUTE(SUBSTITUTE(Table1[[#This Row],[Price]],"$",""),",",""))</f>
        <v>414153</v>
      </c>
      <c r="H621" s="1">
        <f>Table1[[#This Row],[Price2]]/Table1[[#This Row],[Area]]</f>
        <v>388.87605633802815</v>
      </c>
      <c r="I621">
        <v>1065</v>
      </c>
      <c r="J621">
        <v>1956</v>
      </c>
      <c r="K621">
        <v>113</v>
      </c>
      <c r="L621" t="s">
        <v>40</v>
      </c>
      <c r="M621" t="s">
        <v>237</v>
      </c>
      <c r="N621" s="2" t="s">
        <v>3027</v>
      </c>
      <c r="O621" t="s">
        <v>3028</v>
      </c>
      <c r="P621" t="s">
        <v>21</v>
      </c>
      <c r="Q621">
        <v>388.87605633802815</v>
      </c>
      <c r="R621">
        <f ca="1">YEAR(TODAY())-Table1[[#This Row],[Year Built]]</f>
        <v>70</v>
      </c>
      <c r="S621" t="str">
        <f>IF(Table1[[#This Row],[Days on Market]] &lt; 30,"Fast",IF(Table1[[#This Row],[Days on Market]]&lt;= 90,"Average", "Slow"))</f>
        <v>Slow</v>
      </c>
      <c r="T621" t="str">
        <f>IF(Table1[[#This Row],[Price2]]&lt;500000,"Affordable",IF(Table1[[#This Row],[Price2]]&lt;1000000,"Mid range","Luxury"))</f>
        <v>Affordable</v>
      </c>
    </row>
    <row r="622" spans="1:20" x14ac:dyDescent="0.35">
      <c r="A622" s="3">
        <v>414754</v>
      </c>
      <c r="B622" s="2" t="s">
        <v>17</v>
      </c>
      <c r="C622">
        <v>86532</v>
      </c>
      <c r="D622" s="2" t="s">
        <v>13</v>
      </c>
      <c r="E622">
        <v>5</v>
      </c>
      <c r="F622">
        <v>2</v>
      </c>
      <c r="G622" s="4">
        <f>VALUE(SUBSTITUTE(SUBSTITUTE(Table1[[#This Row],[Price]],"$",""),",",""))</f>
        <v>414754</v>
      </c>
      <c r="H622" s="1">
        <f>Table1[[#This Row],[Price2]]/Table1[[#This Row],[Area]]</f>
        <v>214.67598343685299</v>
      </c>
      <c r="I622">
        <v>1932</v>
      </c>
      <c r="J622">
        <v>1984</v>
      </c>
      <c r="K622">
        <v>110</v>
      </c>
      <c r="L622" t="s">
        <v>52</v>
      </c>
      <c r="M622" t="s">
        <v>1872</v>
      </c>
      <c r="N622" s="2" t="s">
        <v>3029</v>
      </c>
      <c r="O622" t="s">
        <v>3030</v>
      </c>
      <c r="P622" t="s">
        <v>26</v>
      </c>
      <c r="Q622">
        <v>214.67598343685299</v>
      </c>
      <c r="R622">
        <f ca="1">YEAR(TODAY())-Table1[[#This Row],[Year Built]]</f>
        <v>42</v>
      </c>
      <c r="S622" t="str">
        <f>IF(Table1[[#This Row],[Days on Market]] &lt; 30,"Fast",IF(Table1[[#This Row],[Days on Market]]&lt;= 90,"Average", "Slow"))</f>
        <v>Slow</v>
      </c>
      <c r="T622" t="str">
        <f>IF(Table1[[#This Row],[Price2]]&lt;500000,"Affordable",IF(Table1[[#This Row],[Price2]]&lt;1000000,"Mid range","Luxury"))</f>
        <v>Affordable</v>
      </c>
    </row>
    <row r="623" spans="1:20" x14ac:dyDescent="0.35">
      <c r="A623" s="3">
        <v>414961</v>
      </c>
      <c r="B623" s="2" t="s">
        <v>17</v>
      </c>
      <c r="C623">
        <v>41056</v>
      </c>
      <c r="D623" s="2" t="s">
        <v>18</v>
      </c>
      <c r="E623">
        <v>4</v>
      </c>
      <c r="F623">
        <v>4</v>
      </c>
      <c r="G623" s="4">
        <f>VALUE(SUBSTITUTE(SUBSTITUTE(Table1[[#This Row],[Price]],"$",""),",",""))</f>
        <v>414961</v>
      </c>
      <c r="H623" s="1">
        <f>Table1[[#This Row],[Price2]]/Table1[[#This Row],[Area]]</f>
        <v>226.50709606986899</v>
      </c>
      <c r="I623">
        <v>1832</v>
      </c>
      <c r="J623">
        <v>1987</v>
      </c>
      <c r="K623">
        <v>6</v>
      </c>
      <c r="L623" t="s">
        <v>30</v>
      </c>
      <c r="M623" t="s">
        <v>928</v>
      </c>
      <c r="N623" s="2" t="s">
        <v>3035</v>
      </c>
      <c r="O623" t="s">
        <v>3036</v>
      </c>
      <c r="P623" t="s">
        <v>26</v>
      </c>
      <c r="Q623">
        <v>226.50709606986899</v>
      </c>
      <c r="R623">
        <f ca="1">YEAR(TODAY())-Table1[[#This Row],[Year Built]]</f>
        <v>39</v>
      </c>
      <c r="S623" t="str">
        <f>IF(Table1[[#This Row],[Days on Market]] &lt; 30,"Fast",IF(Table1[[#This Row],[Days on Market]]&lt;= 90,"Average", "Slow"))</f>
        <v>Fast</v>
      </c>
      <c r="T623" t="str">
        <f>IF(Table1[[#This Row],[Price2]]&lt;500000,"Affordable",IF(Table1[[#This Row],[Price2]]&lt;1000000,"Mid range","Luxury"))</f>
        <v>Affordable</v>
      </c>
    </row>
    <row r="624" spans="1:20" x14ac:dyDescent="0.35">
      <c r="A624" s="3">
        <v>415528</v>
      </c>
      <c r="B624" s="2" t="s">
        <v>22</v>
      </c>
      <c r="C624">
        <v>50616</v>
      </c>
      <c r="D624" s="2" t="s">
        <v>29</v>
      </c>
      <c r="E624">
        <v>2</v>
      </c>
      <c r="F624">
        <v>2</v>
      </c>
      <c r="G624" s="4">
        <f>VALUE(SUBSTITUTE(SUBSTITUTE(Table1[[#This Row],[Price]],"$",""),",",""))</f>
        <v>415528</v>
      </c>
      <c r="H624" s="1">
        <f>Table1[[#This Row],[Price2]]/Table1[[#This Row],[Area]]</f>
        <v>213.52929085303185</v>
      </c>
      <c r="I624">
        <v>1946</v>
      </c>
      <c r="J624">
        <v>1998</v>
      </c>
      <c r="K624">
        <v>21</v>
      </c>
      <c r="L624" t="s">
        <v>14</v>
      </c>
      <c r="M624" t="s">
        <v>1186</v>
      </c>
      <c r="N624" s="2" t="s">
        <v>3035</v>
      </c>
      <c r="O624" t="s">
        <v>3036</v>
      </c>
      <c r="P624" t="s">
        <v>26</v>
      </c>
      <c r="Q624">
        <v>213.52929085303185</v>
      </c>
      <c r="R624">
        <f ca="1">YEAR(TODAY())-Table1[[#This Row],[Year Built]]</f>
        <v>28</v>
      </c>
      <c r="S624" t="str">
        <f>IF(Table1[[#This Row],[Days on Market]] &lt; 30,"Fast",IF(Table1[[#This Row],[Days on Market]]&lt;= 90,"Average", "Slow"))</f>
        <v>Fast</v>
      </c>
      <c r="T624" t="str">
        <f>IF(Table1[[#This Row],[Price2]]&lt;500000,"Affordable",IF(Table1[[#This Row],[Price2]]&lt;1000000,"Mid range","Luxury"))</f>
        <v>Affordable</v>
      </c>
    </row>
    <row r="625" spans="1:20" x14ac:dyDescent="0.35">
      <c r="A625" s="3">
        <v>415590</v>
      </c>
      <c r="B625" s="2" t="s">
        <v>22</v>
      </c>
      <c r="C625">
        <v>61851</v>
      </c>
      <c r="D625" s="2" t="s">
        <v>35</v>
      </c>
      <c r="E625">
        <v>2</v>
      </c>
      <c r="F625">
        <v>4</v>
      </c>
      <c r="G625" s="4">
        <f>VALUE(SUBSTITUTE(SUBSTITUTE(Table1[[#This Row],[Price]],"$",""),",",""))</f>
        <v>415590</v>
      </c>
      <c r="H625" s="1">
        <f>Table1[[#This Row],[Price2]]/Table1[[#This Row],[Area]]</f>
        <v>506.8170731707317</v>
      </c>
      <c r="I625">
        <v>820</v>
      </c>
      <c r="J625">
        <v>1958</v>
      </c>
      <c r="K625">
        <v>43</v>
      </c>
      <c r="L625" t="s">
        <v>19</v>
      </c>
      <c r="M625" t="s">
        <v>240</v>
      </c>
      <c r="N625" s="2" t="s">
        <v>3029</v>
      </c>
      <c r="O625" t="s">
        <v>3030</v>
      </c>
      <c r="P625" t="s">
        <v>16</v>
      </c>
      <c r="Q625">
        <v>506.8170731707317</v>
      </c>
      <c r="R625">
        <f ca="1">YEAR(TODAY())-Table1[[#This Row],[Year Built]]</f>
        <v>68</v>
      </c>
      <c r="S625" t="str">
        <f>IF(Table1[[#This Row],[Days on Market]] &lt; 30,"Fast",IF(Table1[[#This Row],[Days on Market]]&lt;= 90,"Average", "Slow"))</f>
        <v>Average</v>
      </c>
      <c r="T625" t="str">
        <f>IF(Table1[[#This Row],[Price2]]&lt;500000,"Affordable",IF(Table1[[#This Row],[Price2]]&lt;1000000,"Mid range","Luxury"))</f>
        <v>Affordable</v>
      </c>
    </row>
    <row r="626" spans="1:20" x14ac:dyDescent="0.35">
      <c r="A626" s="3">
        <v>416409</v>
      </c>
      <c r="B626" s="2" t="s">
        <v>12</v>
      </c>
      <c r="C626">
        <v>29963</v>
      </c>
      <c r="D626" s="2" t="s">
        <v>35</v>
      </c>
      <c r="E626">
        <v>5</v>
      </c>
      <c r="F626">
        <v>2</v>
      </c>
      <c r="G626" s="4">
        <f>VALUE(SUBSTITUTE(SUBSTITUTE(Table1[[#This Row],[Price]],"$",""),",",""))</f>
        <v>416409</v>
      </c>
      <c r="H626" s="1">
        <f>Table1[[#This Row],[Price2]]/Table1[[#This Row],[Area]]</f>
        <v>211.26788432267884</v>
      </c>
      <c r="I626">
        <v>1971</v>
      </c>
      <c r="J626">
        <v>1977</v>
      </c>
      <c r="K626">
        <v>71</v>
      </c>
      <c r="L626" t="s">
        <v>19</v>
      </c>
      <c r="M626" t="s">
        <v>2776</v>
      </c>
      <c r="N626" s="2" t="s">
        <v>3031</v>
      </c>
      <c r="O626" t="s">
        <v>3032</v>
      </c>
      <c r="P626" t="s">
        <v>21</v>
      </c>
      <c r="Q626">
        <v>211.26788432267884</v>
      </c>
      <c r="R626">
        <f ca="1">YEAR(TODAY())-Table1[[#This Row],[Year Built]]</f>
        <v>49</v>
      </c>
      <c r="S626" t="str">
        <f>IF(Table1[[#This Row],[Days on Market]] &lt; 30,"Fast",IF(Table1[[#This Row],[Days on Market]]&lt;= 90,"Average", "Slow"))</f>
        <v>Average</v>
      </c>
      <c r="T626" t="str">
        <f>IF(Table1[[#This Row],[Price2]]&lt;500000,"Affordable",IF(Table1[[#This Row],[Price2]]&lt;1000000,"Mid range","Luxury"))</f>
        <v>Affordable</v>
      </c>
    </row>
    <row r="627" spans="1:20" x14ac:dyDescent="0.35">
      <c r="A627" s="3">
        <v>416436</v>
      </c>
      <c r="B627" s="2" t="s">
        <v>27</v>
      </c>
      <c r="C627">
        <v>37076</v>
      </c>
      <c r="D627" s="2" t="s">
        <v>23</v>
      </c>
      <c r="E627">
        <v>6</v>
      </c>
      <c r="F627">
        <v>4</v>
      </c>
      <c r="G627" s="4">
        <f>VALUE(SUBSTITUTE(SUBSTITUTE(Table1[[#This Row],[Price]],"$",""),",",""))</f>
        <v>416436</v>
      </c>
      <c r="H627" s="1">
        <f>Table1[[#This Row],[Price2]]/Table1[[#This Row],[Area]]</f>
        <v>322.31888544891643</v>
      </c>
      <c r="I627">
        <v>1292</v>
      </c>
      <c r="J627">
        <v>1959</v>
      </c>
      <c r="K627">
        <v>7</v>
      </c>
      <c r="L627" t="s">
        <v>14</v>
      </c>
      <c r="M627" t="s">
        <v>2841</v>
      </c>
      <c r="N627" s="2" t="s">
        <v>3031</v>
      </c>
      <c r="O627" t="s">
        <v>3032</v>
      </c>
      <c r="P627" t="s">
        <v>26</v>
      </c>
      <c r="Q627">
        <v>322.31888544891643</v>
      </c>
      <c r="R627">
        <f ca="1">YEAR(TODAY())-Table1[[#This Row],[Year Built]]</f>
        <v>67</v>
      </c>
      <c r="S627" t="str">
        <f>IF(Table1[[#This Row],[Days on Market]] &lt; 30,"Fast",IF(Table1[[#This Row],[Days on Market]]&lt;= 90,"Average", "Slow"))</f>
        <v>Fast</v>
      </c>
      <c r="T627" t="str">
        <f>IF(Table1[[#This Row],[Price2]]&lt;500000,"Affordable",IF(Table1[[#This Row],[Price2]]&lt;1000000,"Mid range","Luxury"))</f>
        <v>Affordable</v>
      </c>
    </row>
    <row r="628" spans="1:20" x14ac:dyDescent="0.35">
      <c r="A628" s="3">
        <v>417279</v>
      </c>
      <c r="B628" s="2" t="s">
        <v>22</v>
      </c>
      <c r="C628">
        <v>91575</v>
      </c>
      <c r="D628" s="2" t="s">
        <v>13</v>
      </c>
      <c r="E628">
        <v>3</v>
      </c>
      <c r="F628">
        <v>3</v>
      </c>
      <c r="G628" s="4">
        <f>VALUE(SUBSTITUTE(SUBSTITUTE(Table1[[#This Row],[Price]],"$",""),",",""))</f>
        <v>417279</v>
      </c>
      <c r="H628" s="1">
        <f>Table1[[#This Row],[Price2]]/Table1[[#This Row],[Area]]</f>
        <v>368.29567519858784</v>
      </c>
      <c r="I628">
        <v>1133</v>
      </c>
      <c r="J628">
        <v>1994</v>
      </c>
      <c r="K628">
        <v>69</v>
      </c>
      <c r="L628" t="s">
        <v>30</v>
      </c>
      <c r="M628" t="s">
        <v>1031</v>
      </c>
      <c r="N628" s="2" t="s">
        <v>3027</v>
      </c>
      <c r="O628" t="s">
        <v>3028</v>
      </c>
      <c r="P628" t="s">
        <v>16</v>
      </c>
      <c r="Q628">
        <v>368.29567519858784</v>
      </c>
      <c r="R628">
        <f ca="1">YEAR(TODAY())-Table1[[#This Row],[Year Built]]</f>
        <v>32</v>
      </c>
      <c r="S628" t="str">
        <f>IF(Table1[[#This Row],[Days on Market]] &lt; 30,"Fast",IF(Table1[[#This Row],[Days on Market]]&lt;= 90,"Average", "Slow"))</f>
        <v>Average</v>
      </c>
      <c r="T628" t="str">
        <f>IF(Table1[[#This Row],[Price2]]&lt;500000,"Affordable",IF(Table1[[#This Row],[Price2]]&lt;1000000,"Mid range","Luxury"))</f>
        <v>Affordable</v>
      </c>
    </row>
    <row r="629" spans="1:20" x14ac:dyDescent="0.35">
      <c r="A629" s="3">
        <v>417290</v>
      </c>
      <c r="B629" s="2" t="s">
        <v>17</v>
      </c>
      <c r="C629">
        <v>33202</v>
      </c>
      <c r="D629" s="2" t="s">
        <v>35</v>
      </c>
      <c r="E629">
        <v>3</v>
      </c>
      <c r="F629">
        <v>3</v>
      </c>
      <c r="G629" s="4">
        <f>VALUE(SUBSTITUTE(SUBSTITUTE(Table1[[#This Row],[Price]],"$",""),",",""))</f>
        <v>417290</v>
      </c>
      <c r="H629" s="1">
        <f>Table1[[#This Row],[Price2]]/Table1[[#This Row],[Area]]</f>
        <v>175.77506318449875</v>
      </c>
      <c r="I629">
        <v>2374</v>
      </c>
      <c r="J629">
        <v>1950</v>
      </c>
      <c r="K629">
        <v>46</v>
      </c>
      <c r="L629" t="s">
        <v>14</v>
      </c>
      <c r="M629" t="s">
        <v>191</v>
      </c>
      <c r="N629" s="2" t="s">
        <v>3031</v>
      </c>
      <c r="O629" t="s">
        <v>3032</v>
      </c>
      <c r="P629" t="s">
        <v>21</v>
      </c>
      <c r="Q629">
        <v>175.77506318449875</v>
      </c>
      <c r="R629">
        <f ca="1">YEAR(TODAY())-Table1[[#This Row],[Year Built]]</f>
        <v>76</v>
      </c>
      <c r="S629" t="str">
        <f>IF(Table1[[#This Row],[Days on Market]] &lt; 30,"Fast",IF(Table1[[#This Row],[Days on Market]]&lt;= 90,"Average", "Slow"))</f>
        <v>Average</v>
      </c>
      <c r="T629" t="str">
        <f>IF(Table1[[#This Row],[Price2]]&lt;500000,"Affordable",IF(Table1[[#This Row],[Price2]]&lt;1000000,"Mid range","Luxury"))</f>
        <v>Affordable</v>
      </c>
    </row>
    <row r="630" spans="1:20" x14ac:dyDescent="0.35">
      <c r="A630" s="3">
        <v>417293</v>
      </c>
      <c r="B630" s="2" t="s">
        <v>27</v>
      </c>
      <c r="C630">
        <v>30794</v>
      </c>
      <c r="D630" s="2" t="s">
        <v>18</v>
      </c>
      <c r="E630">
        <v>5</v>
      </c>
      <c r="F630">
        <v>1</v>
      </c>
      <c r="G630" s="4">
        <f>VALUE(SUBSTITUTE(SUBSTITUTE(Table1[[#This Row],[Price]],"$",""),",",""))</f>
        <v>417293</v>
      </c>
      <c r="H630" s="1">
        <f>Table1[[#This Row],[Price2]]/Table1[[#This Row],[Area]]</f>
        <v>226.54343105320305</v>
      </c>
      <c r="I630">
        <v>1842</v>
      </c>
      <c r="J630">
        <v>1995</v>
      </c>
      <c r="K630">
        <v>117</v>
      </c>
      <c r="L630" t="s">
        <v>40</v>
      </c>
      <c r="M630" t="s">
        <v>1255</v>
      </c>
      <c r="N630" s="2" t="s">
        <v>3027</v>
      </c>
      <c r="O630" t="s">
        <v>3028</v>
      </c>
      <c r="P630" t="s">
        <v>21</v>
      </c>
      <c r="Q630">
        <v>226.54343105320305</v>
      </c>
      <c r="R630">
        <f ca="1">YEAR(TODAY())-Table1[[#This Row],[Year Built]]</f>
        <v>31</v>
      </c>
      <c r="S630" t="str">
        <f>IF(Table1[[#This Row],[Days on Market]] &lt; 30,"Fast",IF(Table1[[#This Row],[Days on Market]]&lt;= 90,"Average", "Slow"))</f>
        <v>Slow</v>
      </c>
      <c r="T630" t="str">
        <f>IF(Table1[[#This Row],[Price2]]&lt;500000,"Affordable",IF(Table1[[#This Row],[Price2]]&lt;1000000,"Mid range","Luxury"))</f>
        <v>Affordable</v>
      </c>
    </row>
    <row r="631" spans="1:20" x14ac:dyDescent="0.35">
      <c r="A631" s="3">
        <v>417545</v>
      </c>
      <c r="B631" s="2" t="s">
        <v>34</v>
      </c>
      <c r="C631">
        <v>86638</v>
      </c>
      <c r="D631" s="2" t="s">
        <v>35</v>
      </c>
      <c r="E631">
        <v>4</v>
      </c>
      <c r="F631">
        <v>4</v>
      </c>
      <c r="G631" s="4">
        <f>VALUE(SUBSTITUTE(SUBSTITUTE(Table1[[#This Row],[Price]],"$",""),",",""))</f>
        <v>417545</v>
      </c>
      <c r="H631" s="1">
        <f>Table1[[#This Row],[Price2]]/Table1[[#This Row],[Area]]</f>
        <v>208.35578842315368</v>
      </c>
      <c r="I631">
        <v>2004</v>
      </c>
      <c r="J631">
        <v>2014</v>
      </c>
      <c r="K631">
        <v>66</v>
      </c>
      <c r="L631" t="s">
        <v>19</v>
      </c>
      <c r="M631" t="s">
        <v>1287</v>
      </c>
      <c r="N631" s="2" t="s">
        <v>3029</v>
      </c>
      <c r="O631" t="s">
        <v>3030</v>
      </c>
      <c r="P631" t="s">
        <v>26</v>
      </c>
      <c r="Q631">
        <v>208.35578842315368</v>
      </c>
      <c r="R631">
        <f ca="1">YEAR(TODAY())-Table1[[#This Row],[Year Built]]</f>
        <v>12</v>
      </c>
      <c r="S631" t="str">
        <f>IF(Table1[[#This Row],[Days on Market]] &lt; 30,"Fast",IF(Table1[[#This Row],[Days on Market]]&lt;= 90,"Average", "Slow"))</f>
        <v>Average</v>
      </c>
      <c r="T631" t="str">
        <f>IF(Table1[[#This Row],[Price2]]&lt;500000,"Affordable",IF(Table1[[#This Row],[Price2]]&lt;1000000,"Mid range","Luxury"))</f>
        <v>Affordable</v>
      </c>
    </row>
    <row r="632" spans="1:20" x14ac:dyDescent="0.35">
      <c r="A632" s="3">
        <v>417718</v>
      </c>
      <c r="B632" s="2" t="s">
        <v>17</v>
      </c>
      <c r="C632">
        <v>56423</v>
      </c>
      <c r="D632" s="2" t="s">
        <v>13</v>
      </c>
      <c r="E632">
        <v>5</v>
      </c>
      <c r="F632">
        <v>4</v>
      </c>
      <c r="G632" s="4">
        <f>VALUE(SUBSTITUTE(SUBSTITUTE(Table1[[#This Row],[Price]],"$",""),",",""))</f>
        <v>417718</v>
      </c>
      <c r="H632" s="1">
        <f>Table1[[#This Row],[Price2]]/Table1[[#This Row],[Area]]</f>
        <v>227.39139902014153</v>
      </c>
      <c r="I632">
        <v>1837</v>
      </c>
      <c r="J632">
        <v>1965</v>
      </c>
      <c r="K632">
        <v>110</v>
      </c>
      <c r="L632" t="s">
        <v>14</v>
      </c>
      <c r="M632" t="s">
        <v>847</v>
      </c>
      <c r="N632" s="2" t="s">
        <v>3035</v>
      </c>
      <c r="O632" t="s">
        <v>3036</v>
      </c>
      <c r="P632" t="s">
        <v>26</v>
      </c>
      <c r="Q632">
        <v>227.39139902014153</v>
      </c>
      <c r="R632">
        <f ca="1">YEAR(TODAY())-Table1[[#This Row],[Year Built]]</f>
        <v>61</v>
      </c>
      <c r="S632" t="str">
        <f>IF(Table1[[#This Row],[Days on Market]] &lt; 30,"Fast",IF(Table1[[#This Row],[Days on Market]]&lt;= 90,"Average", "Slow"))</f>
        <v>Slow</v>
      </c>
      <c r="T632" t="str">
        <f>IF(Table1[[#This Row],[Price2]]&lt;500000,"Affordable",IF(Table1[[#This Row],[Price2]]&lt;1000000,"Mid range","Luxury"))</f>
        <v>Affordable</v>
      </c>
    </row>
    <row r="633" spans="1:20" x14ac:dyDescent="0.35">
      <c r="A633" s="3">
        <v>418426</v>
      </c>
      <c r="B633" s="2" t="s">
        <v>12</v>
      </c>
      <c r="C633">
        <v>93305</v>
      </c>
      <c r="D633" s="2" t="s">
        <v>13</v>
      </c>
      <c r="E633">
        <v>2</v>
      </c>
      <c r="F633">
        <v>1</v>
      </c>
      <c r="G633" s="4">
        <f>VALUE(SUBSTITUTE(SUBSTITUTE(Table1[[#This Row],[Price]],"$",""),",",""))</f>
        <v>418426</v>
      </c>
      <c r="H633" s="1">
        <f>Table1[[#This Row],[Price2]]/Table1[[#This Row],[Area]]</f>
        <v>343.81758422350043</v>
      </c>
      <c r="I633">
        <v>1217</v>
      </c>
      <c r="J633">
        <v>1969</v>
      </c>
      <c r="K633">
        <v>73</v>
      </c>
      <c r="L633" t="s">
        <v>14</v>
      </c>
      <c r="M633" t="s">
        <v>2356</v>
      </c>
      <c r="N633" s="2" t="s">
        <v>3029</v>
      </c>
      <c r="O633" t="s">
        <v>3030</v>
      </c>
      <c r="P633" t="s">
        <v>26</v>
      </c>
      <c r="Q633">
        <v>343.81758422350043</v>
      </c>
      <c r="R633">
        <f ca="1">YEAR(TODAY())-Table1[[#This Row],[Year Built]]</f>
        <v>57</v>
      </c>
      <c r="S633" t="str">
        <f>IF(Table1[[#This Row],[Days on Market]] &lt; 30,"Fast",IF(Table1[[#This Row],[Days on Market]]&lt;= 90,"Average", "Slow"))</f>
        <v>Average</v>
      </c>
      <c r="T633" t="str">
        <f>IF(Table1[[#This Row],[Price2]]&lt;500000,"Affordable",IF(Table1[[#This Row],[Price2]]&lt;1000000,"Mid range","Luxury"))</f>
        <v>Affordable</v>
      </c>
    </row>
    <row r="634" spans="1:20" x14ac:dyDescent="0.35">
      <c r="A634" s="3">
        <v>419698</v>
      </c>
      <c r="B634" s="2" t="s">
        <v>12</v>
      </c>
      <c r="C634">
        <v>11546</v>
      </c>
      <c r="D634" s="2" t="s">
        <v>13</v>
      </c>
      <c r="E634">
        <v>1</v>
      </c>
      <c r="F634">
        <v>1</v>
      </c>
      <c r="G634" s="4">
        <f>VALUE(SUBSTITUTE(SUBSTITUTE(Table1[[#This Row],[Price]],"$",""),",",""))</f>
        <v>419698</v>
      </c>
      <c r="H634" s="1">
        <f>Table1[[#This Row],[Price2]]/Table1[[#This Row],[Area]]</f>
        <v>129.13784615384614</v>
      </c>
      <c r="I634">
        <v>3250</v>
      </c>
      <c r="J634">
        <v>1963</v>
      </c>
      <c r="K634">
        <v>13</v>
      </c>
      <c r="L634" t="s">
        <v>40</v>
      </c>
      <c r="M634" t="s">
        <v>1399</v>
      </c>
      <c r="N634" s="2" t="s">
        <v>3033</v>
      </c>
      <c r="O634" t="s">
        <v>3034</v>
      </c>
      <c r="P634" t="s">
        <v>21</v>
      </c>
      <c r="Q634">
        <v>129.13784615384614</v>
      </c>
      <c r="R634">
        <f ca="1">YEAR(TODAY())-Table1[[#This Row],[Year Built]]</f>
        <v>63</v>
      </c>
      <c r="S634" t="str">
        <f>IF(Table1[[#This Row],[Days on Market]] &lt; 30,"Fast",IF(Table1[[#This Row],[Days on Market]]&lt;= 90,"Average", "Slow"))</f>
        <v>Fast</v>
      </c>
      <c r="T634" t="str">
        <f>IF(Table1[[#This Row],[Price2]]&lt;500000,"Affordable",IF(Table1[[#This Row],[Price2]]&lt;1000000,"Mid range","Luxury"))</f>
        <v>Affordable</v>
      </c>
    </row>
    <row r="635" spans="1:20" x14ac:dyDescent="0.35">
      <c r="A635" s="3">
        <v>420055</v>
      </c>
      <c r="B635" s="2" t="s">
        <v>17</v>
      </c>
      <c r="C635">
        <v>82261</v>
      </c>
      <c r="D635" s="2" t="s">
        <v>18</v>
      </c>
      <c r="E635">
        <v>3</v>
      </c>
      <c r="F635">
        <v>1</v>
      </c>
      <c r="G635" s="4">
        <f>VALUE(SUBSTITUTE(SUBSTITUTE(Table1[[#This Row],[Price]],"$",""),",",""))</f>
        <v>420055</v>
      </c>
      <c r="H635" s="1">
        <f>Table1[[#This Row],[Price2]]/Table1[[#This Row],[Area]]</f>
        <v>146.00451859575946</v>
      </c>
      <c r="I635">
        <v>2877</v>
      </c>
      <c r="J635">
        <v>1999</v>
      </c>
      <c r="K635">
        <v>25</v>
      </c>
      <c r="L635" t="s">
        <v>52</v>
      </c>
      <c r="M635" t="s">
        <v>1202</v>
      </c>
      <c r="N635" s="2" t="s">
        <v>3035</v>
      </c>
      <c r="O635" t="s">
        <v>3036</v>
      </c>
      <c r="P635" t="s">
        <v>26</v>
      </c>
      <c r="Q635">
        <v>146.00451859575946</v>
      </c>
      <c r="R635">
        <f ca="1">YEAR(TODAY())-Table1[[#This Row],[Year Built]]</f>
        <v>27</v>
      </c>
      <c r="S635" t="str">
        <f>IF(Table1[[#This Row],[Days on Market]] &lt; 30,"Fast",IF(Table1[[#This Row],[Days on Market]]&lt;= 90,"Average", "Slow"))</f>
        <v>Fast</v>
      </c>
      <c r="T635" t="str">
        <f>IF(Table1[[#This Row],[Price2]]&lt;500000,"Affordable",IF(Table1[[#This Row],[Price2]]&lt;1000000,"Mid range","Luxury"))</f>
        <v>Affordable</v>
      </c>
    </row>
    <row r="636" spans="1:20" x14ac:dyDescent="0.35">
      <c r="A636" s="3">
        <v>420770</v>
      </c>
      <c r="B636" s="2" t="s">
        <v>12</v>
      </c>
      <c r="C636">
        <v>13373</v>
      </c>
      <c r="D636" s="2" t="s">
        <v>35</v>
      </c>
      <c r="E636">
        <v>5</v>
      </c>
      <c r="F636">
        <v>2</v>
      </c>
      <c r="G636" s="4">
        <f>VALUE(SUBSTITUTE(SUBSTITUTE(Table1[[#This Row],[Price]],"$",""),",",""))</f>
        <v>420770</v>
      </c>
      <c r="H636" s="1">
        <f>Table1[[#This Row],[Price2]]/Table1[[#This Row],[Area]]</f>
        <v>147.53506311360448</v>
      </c>
      <c r="I636">
        <v>2852</v>
      </c>
      <c r="J636">
        <v>1950</v>
      </c>
      <c r="K636">
        <v>110</v>
      </c>
      <c r="L636" t="s">
        <v>40</v>
      </c>
      <c r="M636" t="s">
        <v>2285</v>
      </c>
      <c r="N636" s="2" t="s">
        <v>3035</v>
      </c>
      <c r="O636" t="s">
        <v>3036</v>
      </c>
      <c r="P636" t="s">
        <v>26</v>
      </c>
      <c r="Q636">
        <v>147.53506311360448</v>
      </c>
      <c r="R636">
        <f ca="1">YEAR(TODAY())-Table1[[#This Row],[Year Built]]</f>
        <v>76</v>
      </c>
      <c r="S636" t="str">
        <f>IF(Table1[[#This Row],[Days on Market]] &lt; 30,"Fast",IF(Table1[[#This Row],[Days on Market]]&lt;= 90,"Average", "Slow"))</f>
        <v>Slow</v>
      </c>
      <c r="T636" t="str">
        <f>IF(Table1[[#This Row],[Price2]]&lt;500000,"Affordable",IF(Table1[[#This Row],[Price2]]&lt;1000000,"Mid range","Luxury"))</f>
        <v>Affordable</v>
      </c>
    </row>
    <row r="637" spans="1:20" x14ac:dyDescent="0.35">
      <c r="A637" s="3">
        <v>421154</v>
      </c>
      <c r="B637" s="2" t="s">
        <v>17</v>
      </c>
      <c r="C637">
        <v>40098</v>
      </c>
      <c r="D637" s="2" t="s">
        <v>35</v>
      </c>
      <c r="E637">
        <v>2</v>
      </c>
      <c r="F637">
        <v>3</v>
      </c>
      <c r="G637" s="4">
        <f>VALUE(SUBSTITUTE(SUBSTITUTE(Table1[[#This Row],[Price]],"$",""),",",""))</f>
        <v>421154</v>
      </c>
      <c r="H637" s="1">
        <f>Table1[[#This Row],[Price2]]/Table1[[#This Row],[Area]]</f>
        <v>292.46805555555557</v>
      </c>
      <c r="I637">
        <v>1440</v>
      </c>
      <c r="J637">
        <v>2009</v>
      </c>
      <c r="K637">
        <v>20</v>
      </c>
      <c r="L637" t="s">
        <v>30</v>
      </c>
      <c r="M637" t="s">
        <v>591</v>
      </c>
      <c r="N637" s="2" t="s">
        <v>3029</v>
      </c>
      <c r="O637" t="s">
        <v>3030</v>
      </c>
      <c r="P637" t="s">
        <v>26</v>
      </c>
      <c r="Q637">
        <v>292.46805555555557</v>
      </c>
      <c r="R637">
        <f ca="1">YEAR(TODAY())-Table1[[#This Row],[Year Built]]</f>
        <v>17</v>
      </c>
      <c r="S637" t="str">
        <f>IF(Table1[[#This Row],[Days on Market]] &lt; 30,"Fast",IF(Table1[[#This Row],[Days on Market]]&lt;= 90,"Average", "Slow"))</f>
        <v>Fast</v>
      </c>
      <c r="T637" t="str">
        <f>IF(Table1[[#This Row],[Price2]]&lt;500000,"Affordable",IF(Table1[[#This Row],[Price2]]&lt;1000000,"Mid range","Luxury"))</f>
        <v>Affordable</v>
      </c>
    </row>
    <row r="638" spans="1:20" x14ac:dyDescent="0.35">
      <c r="A638" s="3">
        <v>421366</v>
      </c>
      <c r="B638" s="2" t="s">
        <v>12</v>
      </c>
      <c r="C638">
        <v>34088</v>
      </c>
      <c r="D638" s="2" t="s">
        <v>23</v>
      </c>
      <c r="E638">
        <v>3</v>
      </c>
      <c r="F638">
        <v>4</v>
      </c>
      <c r="G638" s="4">
        <f>VALUE(SUBSTITUTE(SUBSTITUTE(Table1[[#This Row],[Price]],"$",""),",",""))</f>
        <v>421366</v>
      </c>
      <c r="H638" s="1">
        <f>Table1[[#This Row],[Price2]]/Table1[[#This Row],[Area]]</f>
        <v>603.67621776504302</v>
      </c>
      <c r="I638">
        <v>698</v>
      </c>
      <c r="J638">
        <v>1992</v>
      </c>
      <c r="K638">
        <v>99</v>
      </c>
      <c r="L638" t="s">
        <v>14</v>
      </c>
      <c r="M638" t="s">
        <v>2437</v>
      </c>
      <c r="N638" s="2" t="s">
        <v>3031</v>
      </c>
      <c r="O638" t="s">
        <v>3032</v>
      </c>
      <c r="P638" t="s">
        <v>16</v>
      </c>
      <c r="Q638">
        <v>603.67621776504302</v>
      </c>
      <c r="R638">
        <f ca="1">YEAR(TODAY())-Table1[[#This Row],[Year Built]]</f>
        <v>34</v>
      </c>
      <c r="S638" t="str">
        <f>IF(Table1[[#This Row],[Days on Market]] &lt; 30,"Fast",IF(Table1[[#This Row],[Days on Market]]&lt;= 90,"Average", "Slow"))</f>
        <v>Slow</v>
      </c>
      <c r="T638" t="str">
        <f>IF(Table1[[#This Row],[Price2]]&lt;500000,"Affordable",IF(Table1[[#This Row],[Price2]]&lt;1000000,"Mid range","Luxury"))</f>
        <v>Affordable</v>
      </c>
    </row>
    <row r="639" spans="1:20" x14ac:dyDescent="0.35">
      <c r="A639" s="3">
        <v>421606</v>
      </c>
      <c r="B639" s="2" t="s">
        <v>22</v>
      </c>
      <c r="C639">
        <v>20074</v>
      </c>
      <c r="D639" s="2" t="s">
        <v>29</v>
      </c>
      <c r="E639">
        <v>6</v>
      </c>
      <c r="F639">
        <v>1</v>
      </c>
      <c r="G639" s="4">
        <f>VALUE(SUBSTITUTE(SUBSTITUTE(Table1[[#This Row],[Price]],"$",""),",",""))</f>
        <v>421606</v>
      </c>
      <c r="H639" s="1">
        <f>Table1[[#This Row],[Price2]]/Table1[[#This Row],[Area]]</f>
        <v>179.78933901918975</v>
      </c>
      <c r="I639">
        <v>2345</v>
      </c>
      <c r="J639">
        <v>2009</v>
      </c>
      <c r="K639">
        <v>22</v>
      </c>
      <c r="L639" t="s">
        <v>19</v>
      </c>
      <c r="M639" t="s">
        <v>254</v>
      </c>
      <c r="N639" s="2" t="s">
        <v>3029</v>
      </c>
      <c r="O639" t="s">
        <v>3030</v>
      </c>
      <c r="P639" t="s">
        <v>16</v>
      </c>
      <c r="Q639">
        <v>179.78933901918975</v>
      </c>
      <c r="R639">
        <f ca="1">YEAR(TODAY())-Table1[[#This Row],[Year Built]]</f>
        <v>17</v>
      </c>
      <c r="S639" t="str">
        <f>IF(Table1[[#This Row],[Days on Market]] &lt; 30,"Fast",IF(Table1[[#This Row],[Days on Market]]&lt;= 90,"Average", "Slow"))</f>
        <v>Fast</v>
      </c>
      <c r="T639" t="str">
        <f>IF(Table1[[#This Row],[Price2]]&lt;500000,"Affordable",IF(Table1[[#This Row],[Price2]]&lt;1000000,"Mid range","Luxury"))</f>
        <v>Affordable</v>
      </c>
    </row>
    <row r="640" spans="1:20" x14ac:dyDescent="0.35">
      <c r="A640" s="3">
        <v>422369</v>
      </c>
      <c r="B640" s="2" t="s">
        <v>17</v>
      </c>
      <c r="C640">
        <v>89639</v>
      </c>
      <c r="D640" s="2" t="s">
        <v>29</v>
      </c>
      <c r="E640">
        <v>5</v>
      </c>
      <c r="F640">
        <v>4</v>
      </c>
      <c r="G640" s="4">
        <f>VALUE(SUBSTITUTE(SUBSTITUTE(Table1[[#This Row],[Price]],"$",""),",",""))</f>
        <v>422369</v>
      </c>
      <c r="H640" s="1">
        <f>Table1[[#This Row],[Price2]]/Table1[[#This Row],[Area]]</f>
        <v>151.44101828612406</v>
      </c>
      <c r="I640">
        <v>2789</v>
      </c>
      <c r="J640">
        <v>1991</v>
      </c>
      <c r="K640">
        <v>82</v>
      </c>
      <c r="L640" t="s">
        <v>40</v>
      </c>
      <c r="M640" t="s">
        <v>1135</v>
      </c>
      <c r="N640" s="2" t="s">
        <v>3029</v>
      </c>
      <c r="O640" t="s">
        <v>3030</v>
      </c>
      <c r="P640" t="s">
        <v>16</v>
      </c>
      <c r="Q640">
        <v>151.44101828612406</v>
      </c>
      <c r="R640">
        <f ca="1">YEAR(TODAY())-Table1[[#This Row],[Year Built]]</f>
        <v>35</v>
      </c>
      <c r="S640" t="str">
        <f>IF(Table1[[#This Row],[Days on Market]] &lt; 30,"Fast",IF(Table1[[#This Row],[Days on Market]]&lt;= 90,"Average", "Slow"))</f>
        <v>Average</v>
      </c>
      <c r="T640" t="str">
        <f>IF(Table1[[#This Row],[Price2]]&lt;500000,"Affordable",IF(Table1[[#This Row],[Price2]]&lt;1000000,"Mid range","Luxury"))</f>
        <v>Affordable</v>
      </c>
    </row>
    <row r="641" spans="1:20" x14ac:dyDescent="0.35">
      <c r="A641" s="3">
        <v>422789</v>
      </c>
      <c r="B641" s="2" t="s">
        <v>17</v>
      </c>
      <c r="C641">
        <v>71252</v>
      </c>
      <c r="D641" s="2" t="s">
        <v>35</v>
      </c>
      <c r="E641">
        <v>6</v>
      </c>
      <c r="F641">
        <v>3</v>
      </c>
      <c r="G641" s="4">
        <f>VALUE(SUBSTITUTE(SUBSTITUTE(Table1[[#This Row],[Price]],"$",""),",",""))</f>
        <v>422789</v>
      </c>
      <c r="H641" s="1">
        <f>Table1[[#This Row],[Price2]]/Table1[[#This Row],[Area]]</f>
        <v>139.71877065432915</v>
      </c>
      <c r="I641">
        <v>3026</v>
      </c>
      <c r="J641">
        <v>1971</v>
      </c>
      <c r="K641">
        <v>107</v>
      </c>
      <c r="L641" t="s">
        <v>40</v>
      </c>
      <c r="M641" t="s">
        <v>2513</v>
      </c>
      <c r="N641" s="2" t="s">
        <v>3027</v>
      </c>
      <c r="O641" t="s">
        <v>3028</v>
      </c>
      <c r="P641" t="s">
        <v>21</v>
      </c>
      <c r="Q641">
        <v>139.71877065432915</v>
      </c>
      <c r="R641">
        <f ca="1">YEAR(TODAY())-Table1[[#This Row],[Year Built]]</f>
        <v>55</v>
      </c>
      <c r="S641" t="str">
        <f>IF(Table1[[#This Row],[Days on Market]] &lt; 30,"Fast",IF(Table1[[#This Row],[Days on Market]]&lt;= 90,"Average", "Slow"))</f>
        <v>Slow</v>
      </c>
      <c r="T641" t="str">
        <f>IF(Table1[[#This Row],[Price2]]&lt;500000,"Affordable",IF(Table1[[#This Row],[Price2]]&lt;1000000,"Mid range","Luxury"))</f>
        <v>Affordable</v>
      </c>
    </row>
    <row r="642" spans="1:20" x14ac:dyDescent="0.35">
      <c r="A642" s="3">
        <v>422841</v>
      </c>
      <c r="B642" s="2" t="s">
        <v>12</v>
      </c>
      <c r="C642">
        <v>14696</v>
      </c>
      <c r="D642" s="2" t="s">
        <v>29</v>
      </c>
      <c r="E642">
        <v>3</v>
      </c>
      <c r="F642">
        <v>4</v>
      </c>
      <c r="G642" s="4">
        <f>VALUE(SUBSTITUTE(SUBSTITUTE(Table1[[#This Row],[Price]],"$",""),",",""))</f>
        <v>422841</v>
      </c>
      <c r="H642" s="1">
        <f>Table1[[#This Row],[Price2]]/Table1[[#This Row],[Area]]</f>
        <v>281.51864181091878</v>
      </c>
      <c r="I642">
        <v>1502</v>
      </c>
      <c r="J642">
        <v>2002</v>
      </c>
      <c r="K642">
        <v>72</v>
      </c>
      <c r="L642" t="s">
        <v>19</v>
      </c>
      <c r="M642" t="s">
        <v>2044</v>
      </c>
      <c r="N642" s="2" t="s">
        <v>3033</v>
      </c>
      <c r="O642" t="s">
        <v>3034</v>
      </c>
      <c r="P642" t="s">
        <v>26</v>
      </c>
      <c r="Q642">
        <v>281.51864181091878</v>
      </c>
      <c r="R642">
        <f ca="1">YEAR(TODAY())-Table1[[#This Row],[Year Built]]</f>
        <v>24</v>
      </c>
      <c r="S642" t="str">
        <f>IF(Table1[[#This Row],[Days on Market]] &lt; 30,"Fast",IF(Table1[[#This Row],[Days on Market]]&lt;= 90,"Average", "Slow"))</f>
        <v>Average</v>
      </c>
      <c r="T642" t="str">
        <f>IF(Table1[[#This Row],[Price2]]&lt;500000,"Affordable",IF(Table1[[#This Row],[Price2]]&lt;1000000,"Mid range","Luxury"))</f>
        <v>Affordable</v>
      </c>
    </row>
    <row r="643" spans="1:20" x14ac:dyDescent="0.35">
      <c r="A643" s="3">
        <v>422981</v>
      </c>
      <c r="B643" s="2" t="s">
        <v>12</v>
      </c>
      <c r="C643">
        <v>87315</v>
      </c>
      <c r="D643" s="2" t="s">
        <v>23</v>
      </c>
      <c r="E643">
        <v>4</v>
      </c>
      <c r="F643">
        <v>3</v>
      </c>
      <c r="G643" s="4">
        <f>VALUE(SUBSTITUTE(SUBSTITUTE(Table1[[#This Row],[Price]],"$",""),",",""))</f>
        <v>422981</v>
      </c>
      <c r="H643" s="1">
        <f>Table1[[#This Row],[Price2]]/Table1[[#This Row],[Area]]</f>
        <v>307.62254545454545</v>
      </c>
      <c r="I643">
        <v>1375</v>
      </c>
      <c r="J643">
        <v>1983</v>
      </c>
      <c r="K643">
        <v>9</v>
      </c>
      <c r="L643" t="s">
        <v>52</v>
      </c>
      <c r="M643" t="s">
        <v>709</v>
      </c>
      <c r="N643" s="2" t="s">
        <v>3029</v>
      </c>
      <c r="O643" t="s">
        <v>3030</v>
      </c>
      <c r="P643" t="s">
        <v>16</v>
      </c>
      <c r="Q643">
        <v>307.62254545454545</v>
      </c>
      <c r="R643">
        <f ca="1">YEAR(TODAY())-Table1[[#This Row],[Year Built]]</f>
        <v>43</v>
      </c>
      <c r="S643" t="str">
        <f>IF(Table1[[#This Row],[Days on Market]] &lt; 30,"Fast",IF(Table1[[#This Row],[Days on Market]]&lt;= 90,"Average", "Slow"))</f>
        <v>Fast</v>
      </c>
      <c r="T643" t="str">
        <f>IF(Table1[[#This Row],[Price2]]&lt;500000,"Affordable",IF(Table1[[#This Row],[Price2]]&lt;1000000,"Mid range","Luxury"))</f>
        <v>Affordable</v>
      </c>
    </row>
    <row r="644" spans="1:20" x14ac:dyDescent="0.35">
      <c r="A644" s="3">
        <v>423192</v>
      </c>
      <c r="B644" s="2" t="s">
        <v>34</v>
      </c>
      <c r="C644">
        <v>96180</v>
      </c>
      <c r="D644" s="2" t="s">
        <v>13</v>
      </c>
      <c r="E644">
        <v>1</v>
      </c>
      <c r="F644">
        <v>2</v>
      </c>
      <c r="G644" s="4">
        <f>VALUE(SUBSTITUTE(SUBSTITUTE(Table1[[#This Row],[Price]],"$",""),",",""))</f>
        <v>423192</v>
      </c>
      <c r="H644" s="1">
        <f>Table1[[#This Row],[Price2]]/Table1[[#This Row],[Area]]</f>
        <v>474.96296296296299</v>
      </c>
      <c r="I644">
        <v>891</v>
      </c>
      <c r="J644">
        <v>1982</v>
      </c>
      <c r="K644">
        <v>36</v>
      </c>
      <c r="L644" t="s">
        <v>19</v>
      </c>
      <c r="M644" t="s">
        <v>1364</v>
      </c>
      <c r="N644" s="2" t="s">
        <v>3031</v>
      </c>
      <c r="O644" t="s">
        <v>3032</v>
      </c>
      <c r="P644" t="s">
        <v>26</v>
      </c>
      <c r="Q644">
        <v>474.96296296296299</v>
      </c>
      <c r="R644">
        <f ca="1">YEAR(TODAY())-Table1[[#This Row],[Year Built]]</f>
        <v>44</v>
      </c>
      <c r="S644" t="str">
        <f>IF(Table1[[#This Row],[Days on Market]] &lt; 30,"Fast",IF(Table1[[#This Row],[Days on Market]]&lt;= 90,"Average", "Slow"))</f>
        <v>Average</v>
      </c>
      <c r="T644" t="str">
        <f>IF(Table1[[#This Row],[Price2]]&lt;500000,"Affordable",IF(Table1[[#This Row],[Price2]]&lt;1000000,"Mid range","Luxury"))</f>
        <v>Affordable</v>
      </c>
    </row>
    <row r="645" spans="1:20" x14ac:dyDescent="0.35">
      <c r="A645" s="3">
        <v>423257</v>
      </c>
      <c r="B645" s="2" t="s">
        <v>34</v>
      </c>
      <c r="C645">
        <v>46034</v>
      </c>
      <c r="D645" s="2" t="s">
        <v>35</v>
      </c>
      <c r="E645">
        <v>6</v>
      </c>
      <c r="F645">
        <v>1</v>
      </c>
      <c r="G645" s="4">
        <f>VALUE(SUBSTITUTE(SUBSTITUTE(Table1[[#This Row],[Price]],"$",""),",",""))</f>
        <v>423257</v>
      </c>
      <c r="H645" s="1">
        <f>Table1[[#This Row],[Price2]]/Table1[[#This Row],[Area]]</f>
        <v>109.59528741584671</v>
      </c>
      <c r="I645">
        <v>3862</v>
      </c>
      <c r="J645">
        <v>1982</v>
      </c>
      <c r="K645">
        <v>95</v>
      </c>
      <c r="L645" t="s">
        <v>19</v>
      </c>
      <c r="M645" t="s">
        <v>1025</v>
      </c>
      <c r="N645" s="2" t="s">
        <v>3033</v>
      </c>
      <c r="O645" t="s">
        <v>3034</v>
      </c>
      <c r="P645" t="s">
        <v>16</v>
      </c>
      <c r="Q645">
        <v>109.59528741584671</v>
      </c>
      <c r="R645">
        <f ca="1">YEAR(TODAY())-Table1[[#This Row],[Year Built]]</f>
        <v>44</v>
      </c>
      <c r="S645" t="str">
        <f>IF(Table1[[#This Row],[Days on Market]] &lt; 30,"Fast",IF(Table1[[#This Row],[Days on Market]]&lt;= 90,"Average", "Slow"))</f>
        <v>Slow</v>
      </c>
      <c r="T645" t="str">
        <f>IF(Table1[[#This Row],[Price2]]&lt;500000,"Affordable",IF(Table1[[#This Row],[Price2]]&lt;1000000,"Mid range","Luxury"))</f>
        <v>Affordable</v>
      </c>
    </row>
    <row r="646" spans="1:20" x14ac:dyDescent="0.35">
      <c r="A646" s="3">
        <v>423673</v>
      </c>
      <c r="B646" s="2" t="s">
        <v>12</v>
      </c>
      <c r="C646">
        <v>76522</v>
      </c>
      <c r="D646" s="2" t="s">
        <v>35</v>
      </c>
      <c r="E646">
        <v>1</v>
      </c>
      <c r="F646">
        <v>1</v>
      </c>
      <c r="G646" s="4">
        <f>VALUE(SUBSTITUTE(SUBSTITUTE(Table1[[#This Row],[Price]],"$",""),",",""))</f>
        <v>423673</v>
      </c>
      <c r="H646" s="1">
        <f>Table1[[#This Row],[Price2]]/Table1[[#This Row],[Area]]</f>
        <v>148.3968476357268</v>
      </c>
      <c r="I646">
        <v>2855</v>
      </c>
      <c r="J646">
        <v>1971</v>
      </c>
      <c r="K646">
        <v>54</v>
      </c>
      <c r="L646" t="s">
        <v>40</v>
      </c>
      <c r="M646" t="s">
        <v>2906</v>
      </c>
      <c r="N646" s="2" t="s">
        <v>3033</v>
      </c>
      <c r="O646" t="s">
        <v>3034</v>
      </c>
      <c r="P646" t="s">
        <v>21</v>
      </c>
      <c r="Q646">
        <v>148.3968476357268</v>
      </c>
      <c r="R646">
        <f ca="1">YEAR(TODAY())-Table1[[#This Row],[Year Built]]</f>
        <v>55</v>
      </c>
      <c r="S646" t="str">
        <f>IF(Table1[[#This Row],[Days on Market]] &lt; 30,"Fast",IF(Table1[[#This Row],[Days on Market]]&lt;= 90,"Average", "Slow"))</f>
        <v>Average</v>
      </c>
      <c r="T646" t="str">
        <f>IF(Table1[[#This Row],[Price2]]&lt;500000,"Affordable",IF(Table1[[#This Row],[Price2]]&lt;1000000,"Mid range","Luxury"))</f>
        <v>Affordable</v>
      </c>
    </row>
    <row r="647" spans="1:20" x14ac:dyDescent="0.35">
      <c r="A647" s="3">
        <v>423729</v>
      </c>
      <c r="B647" s="2" t="s">
        <v>34</v>
      </c>
      <c r="C647">
        <v>60302</v>
      </c>
      <c r="D647" s="2" t="s">
        <v>18</v>
      </c>
      <c r="E647">
        <v>2</v>
      </c>
      <c r="F647">
        <v>1</v>
      </c>
      <c r="G647" s="4">
        <f>VALUE(SUBSTITUTE(SUBSTITUTE(Table1[[#This Row],[Price]],"$",""),",",""))</f>
        <v>423729</v>
      </c>
      <c r="H647" s="1">
        <f>Table1[[#This Row],[Price2]]/Table1[[#This Row],[Area]]</f>
        <v>528.34039900249377</v>
      </c>
      <c r="I647">
        <v>802</v>
      </c>
      <c r="J647">
        <v>1988</v>
      </c>
      <c r="K647">
        <v>48</v>
      </c>
      <c r="L647" t="s">
        <v>40</v>
      </c>
      <c r="M647" t="s">
        <v>1828</v>
      </c>
      <c r="N647" s="2" t="s">
        <v>3027</v>
      </c>
      <c r="O647" t="s">
        <v>3028</v>
      </c>
      <c r="P647" t="s">
        <v>21</v>
      </c>
      <c r="Q647">
        <v>528.34039900249377</v>
      </c>
      <c r="R647">
        <f ca="1">YEAR(TODAY())-Table1[[#This Row],[Year Built]]</f>
        <v>38</v>
      </c>
      <c r="S647" t="str">
        <f>IF(Table1[[#This Row],[Days on Market]] &lt; 30,"Fast",IF(Table1[[#This Row],[Days on Market]]&lt;= 90,"Average", "Slow"))</f>
        <v>Average</v>
      </c>
      <c r="T647" t="str">
        <f>IF(Table1[[#This Row],[Price2]]&lt;500000,"Affordable",IF(Table1[[#This Row],[Price2]]&lt;1000000,"Mid range","Luxury"))</f>
        <v>Affordable</v>
      </c>
    </row>
    <row r="648" spans="1:20" x14ac:dyDescent="0.35">
      <c r="A648" s="3">
        <v>423783</v>
      </c>
      <c r="B648" s="2" t="s">
        <v>27</v>
      </c>
      <c r="C648">
        <v>96388</v>
      </c>
      <c r="D648" s="2" t="s">
        <v>18</v>
      </c>
      <c r="E648">
        <v>2</v>
      </c>
      <c r="F648">
        <v>3</v>
      </c>
      <c r="G648" s="4">
        <f>VALUE(SUBSTITUTE(SUBSTITUTE(Table1[[#This Row],[Price]],"$",""),",",""))</f>
        <v>423783</v>
      </c>
      <c r="H648" s="1">
        <f>Table1[[#This Row],[Price2]]/Table1[[#This Row],[Area]]</f>
        <v>162.36896551724138</v>
      </c>
      <c r="I648">
        <v>2610</v>
      </c>
      <c r="J648">
        <v>1977</v>
      </c>
      <c r="K648">
        <v>34</v>
      </c>
      <c r="L648" t="s">
        <v>19</v>
      </c>
      <c r="M648" t="s">
        <v>492</v>
      </c>
      <c r="N648" s="2" t="s">
        <v>3027</v>
      </c>
      <c r="O648" t="s">
        <v>3028</v>
      </c>
      <c r="P648" t="s">
        <v>16</v>
      </c>
      <c r="Q648">
        <v>162.36896551724138</v>
      </c>
      <c r="R648">
        <f ca="1">YEAR(TODAY())-Table1[[#This Row],[Year Built]]</f>
        <v>49</v>
      </c>
      <c r="S648" t="str">
        <f>IF(Table1[[#This Row],[Days on Market]] &lt; 30,"Fast",IF(Table1[[#This Row],[Days on Market]]&lt;= 90,"Average", "Slow"))</f>
        <v>Average</v>
      </c>
      <c r="T648" t="str">
        <f>IF(Table1[[#This Row],[Price2]]&lt;500000,"Affordable",IF(Table1[[#This Row],[Price2]]&lt;1000000,"Mid range","Luxury"))</f>
        <v>Affordable</v>
      </c>
    </row>
    <row r="649" spans="1:20" x14ac:dyDescent="0.35">
      <c r="A649" s="3">
        <v>424500</v>
      </c>
      <c r="B649" s="2" t="s">
        <v>34</v>
      </c>
      <c r="C649">
        <v>23068</v>
      </c>
      <c r="D649" s="2" t="s">
        <v>18</v>
      </c>
      <c r="E649">
        <v>5</v>
      </c>
      <c r="F649">
        <v>2</v>
      </c>
      <c r="G649" s="4">
        <f>VALUE(SUBSTITUTE(SUBSTITUTE(Table1[[#This Row],[Price]],"$",""),",",""))</f>
        <v>424500</v>
      </c>
      <c r="H649" s="1">
        <f>Table1[[#This Row],[Price2]]/Table1[[#This Row],[Area]]</f>
        <v>228.10317033852766</v>
      </c>
      <c r="I649">
        <v>1861</v>
      </c>
      <c r="J649">
        <v>2021</v>
      </c>
      <c r="K649">
        <v>103</v>
      </c>
      <c r="L649" t="s">
        <v>40</v>
      </c>
      <c r="M649" t="s">
        <v>1179</v>
      </c>
      <c r="N649" s="2" t="s">
        <v>3035</v>
      </c>
      <c r="O649" t="s">
        <v>3036</v>
      </c>
      <c r="P649" t="s">
        <v>26</v>
      </c>
      <c r="Q649">
        <v>228.10317033852766</v>
      </c>
      <c r="R649">
        <f ca="1">YEAR(TODAY())-Table1[[#This Row],[Year Built]]</f>
        <v>5</v>
      </c>
      <c r="S649" t="str">
        <f>IF(Table1[[#This Row],[Days on Market]] &lt; 30,"Fast",IF(Table1[[#This Row],[Days on Market]]&lt;= 90,"Average", "Slow"))</f>
        <v>Slow</v>
      </c>
      <c r="T649" t="str">
        <f>IF(Table1[[#This Row],[Price2]]&lt;500000,"Affordable",IF(Table1[[#This Row],[Price2]]&lt;1000000,"Mid range","Luxury"))</f>
        <v>Affordable</v>
      </c>
    </row>
    <row r="650" spans="1:20" x14ac:dyDescent="0.35">
      <c r="A650" s="3">
        <v>424673</v>
      </c>
      <c r="B650" s="2" t="s">
        <v>22</v>
      </c>
      <c r="C650">
        <v>27614</v>
      </c>
      <c r="D650" s="2" t="s">
        <v>13</v>
      </c>
      <c r="E650">
        <v>4</v>
      </c>
      <c r="F650">
        <v>2</v>
      </c>
      <c r="G650" s="4">
        <f>VALUE(SUBSTITUTE(SUBSTITUTE(Table1[[#This Row],[Price]],"$",""),",",""))</f>
        <v>424673</v>
      </c>
      <c r="H650" s="1">
        <f>Table1[[#This Row],[Price2]]/Table1[[#This Row],[Area]]</f>
        <v>172.35105519480518</v>
      </c>
      <c r="I650">
        <v>2464</v>
      </c>
      <c r="J650">
        <v>1956</v>
      </c>
      <c r="K650">
        <v>20</v>
      </c>
      <c r="L650" t="s">
        <v>19</v>
      </c>
      <c r="M650" t="s">
        <v>1829</v>
      </c>
      <c r="N650" s="2" t="s">
        <v>3033</v>
      </c>
      <c r="O650" t="s">
        <v>3034</v>
      </c>
      <c r="P650" t="s">
        <v>21</v>
      </c>
      <c r="Q650">
        <v>172.35105519480518</v>
      </c>
      <c r="R650">
        <f ca="1">YEAR(TODAY())-Table1[[#This Row],[Year Built]]</f>
        <v>70</v>
      </c>
      <c r="S650" t="str">
        <f>IF(Table1[[#This Row],[Days on Market]] &lt; 30,"Fast",IF(Table1[[#This Row],[Days on Market]]&lt;= 90,"Average", "Slow"))</f>
        <v>Fast</v>
      </c>
      <c r="T650" t="str">
        <f>IF(Table1[[#This Row],[Price2]]&lt;500000,"Affordable",IF(Table1[[#This Row],[Price2]]&lt;1000000,"Mid range","Luxury"))</f>
        <v>Affordable</v>
      </c>
    </row>
    <row r="651" spans="1:20" x14ac:dyDescent="0.35">
      <c r="A651" s="3">
        <v>424766</v>
      </c>
      <c r="B651" s="2" t="s">
        <v>12</v>
      </c>
      <c r="C651">
        <v>33017</v>
      </c>
      <c r="D651" s="2" t="s">
        <v>13</v>
      </c>
      <c r="E651">
        <v>5</v>
      </c>
      <c r="F651">
        <v>3</v>
      </c>
      <c r="G651" s="4">
        <f>VALUE(SUBSTITUTE(SUBSTITUTE(Table1[[#This Row],[Price]],"$",""),",",""))</f>
        <v>424766</v>
      </c>
      <c r="H651" s="1">
        <f>Table1[[#This Row],[Price2]]/Table1[[#This Row],[Area]]</f>
        <v>230.60043431053202</v>
      </c>
      <c r="I651">
        <v>1842</v>
      </c>
      <c r="J651">
        <v>1972</v>
      </c>
      <c r="K651">
        <v>106</v>
      </c>
      <c r="L651" t="s">
        <v>14</v>
      </c>
      <c r="M651" t="s">
        <v>2886</v>
      </c>
      <c r="N651" s="2" t="s">
        <v>3035</v>
      </c>
      <c r="O651" t="s">
        <v>3036</v>
      </c>
      <c r="P651" t="s">
        <v>26</v>
      </c>
      <c r="Q651">
        <v>230.60043431053202</v>
      </c>
      <c r="R651">
        <f ca="1">YEAR(TODAY())-Table1[[#This Row],[Year Built]]</f>
        <v>54</v>
      </c>
      <c r="S651" t="str">
        <f>IF(Table1[[#This Row],[Days on Market]] &lt; 30,"Fast",IF(Table1[[#This Row],[Days on Market]]&lt;= 90,"Average", "Slow"))</f>
        <v>Slow</v>
      </c>
      <c r="T651" t="str">
        <f>IF(Table1[[#This Row],[Price2]]&lt;500000,"Affordable",IF(Table1[[#This Row],[Price2]]&lt;1000000,"Mid range","Luxury"))</f>
        <v>Affordable</v>
      </c>
    </row>
    <row r="652" spans="1:20" x14ac:dyDescent="0.35">
      <c r="A652" s="3">
        <v>425156</v>
      </c>
      <c r="B652" s="2" t="s">
        <v>34</v>
      </c>
      <c r="C652">
        <v>68029</v>
      </c>
      <c r="D652" s="2" t="s">
        <v>23</v>
      </c>
      <c r="E652">
        <v>2</v>
      </c>
      <c r="F652">
        <v>3</v>
      </c>
      <c r="G652" s="4">
        <f>VALUE(SUBSTITUTE(SUBSTITUTE(Table1[[#This Row],[Price]],"$",""),",",""))</f>
        <v>425156</v>
      </c>
      <c r="H652" s="1">
        <f>Table1[[#This Row],[Price2]]/Table1[[#This Row],[Area]]</f>
        <v>163.89976869699305</v>
      </c>
      <c r="I652">
        <v>2594</v>
      </c>
      <c r="J652">
        <v>1980</v>
      </c>
      <c r="K652">
        <v>11</v>
      </c>
      <c r="L652" t="s">
        <v>14</v>
      </c>
      <c r="M652" t="s">
        <v>2896</v>
      </c>
      <c r="N652" s="2" t="s">
        <v>3033</v>
      </c>
      <c r="O652" t="s">
        <v>3034</v>
      </c>
      <c r="P652" t="s">
        <v>16</v>
      </c>
      <c r="Q652">
        <v>163.89976869699305</v>
      </c>
      <c r="R652">
        <f ca="1">YEAR(TODAY())-Table1[[#This Row],[Year Built]]</f>
        <v>46</v>
      </c>
      <c r="S652" t="str">
        <f>IF(Table1[[#This Row],[Days on Market]] &lt; 30,"Fast",IF(Table1[[#This Row],[Days on Market]]&lt;= 90,"Average", "Slow"))</f>
        <v>Fast</v>
      </c>
      <c r="T652" t="str">
        <f>IF(Table1[[#This Row],[Price2]]&lt;500000,"Affordable",IF(Table1[[#This Row],[Price2]]&lt;1000000,"Mid range","Luxury"))</f>
        <v>Affordable</v>
      </c>
    </row>
    <row r="653" spans="1:20" x14ac:dyDescent="0.35">
      <c r="A653" s="3">
        <v>426197</v>
      </c>
      <c r="B653" s="2" t="s">
        <v>22</v>
      </c>
      <c r="C653">
        <v>67091</v>
      </c>
      <c r="D653" s="2" t="s">
        <v>18</v>
      </c>
      <c r="E653">
        <v>4</v>
      </c>
      <c r="F653">
        <v>4</v>
      </c>
      <c r="G653" s="4">
        <f>VALUE(SUBSTITUTE(SUBSTITUTE(Table1[[#This Row],[Price]],"$",""),",",""))</f>
        <v>426197</v>
      </c>
      <c r="H653" s="1">
        <f>Table1[[#This Row],[Price2]]/Table1[[#This Row],[Area]]</f>
        <v>476.1977653631285</v>
      </c>
      <c r="I653">
        <v>895</v>
      </c>
      <c r="J653">
        <v>2006</v>
      </c>
      <c r="K653">
        <v>55</v>
      </c>
      <c r="L653" t="s">
        <v>14</v>
      </c>
      <c r="M653" t="s">
        <v>1195</v>
      </c>
      <c r="N653" s="2" t="s">
        <v>3035</v>
      </c>
      <c r="O653" t="s">
        <v>3036</v>
      </c>
      <c r="P653" t="s">
        <v>21</v>
      </c>
      <c r="Q653">
        <v>476.1977653631285</v>
      </c>
      <c r="R653">
        <f ca="1">YEAR(TODAY())-Table1[[#This Row],[Year Built]]</f>
        <v>20</v>
      </c>
      <c r="S653" t="str">
        <f>IF(Table1[[#This Row],[Days on Market]] &lt; 30,"Fast",IF(Table1[[#This Row],[Days on Market]]&lt;= 90,"Average", "Slow"))</f>
        <v>Average</v>
      </c>
      <c r="T653" t="str">
        <f>IF(Table1[[#This Row],[Price2]]&lt;500000,"Affordable",IF(Table1[[#This Row],[Price2]]&lt;1000000,"Mid range","Luxury"))</f>
        <v>Affordable</v>
      </c>
    </row>
    <row r="654" spans="1:20" x14ac:dyDescent="0.35">
      <c r="A654" s="3">
        <v>426337</v>
      </c>
      <c r="B654" s="2" t="s">
        <v>34</v>
      </c>
      <c r="C654">
        <v>64707</v>
      </c>
      <c r="D654" s="2" t="s">
        <v>13</v>
      </c>
      <c r="E654">
        <v>3</v>
      </c>
      <c r="F654">
        <v>1</v>
      </c>
      <c r="G654" s="4">
        <f>VALUE(SUBSTITUTE(SUBSTITUTE(Table1[[#This Row],[Price]],"$",""),",",""))</f>
        <v>426337</v>
      </c>
      <c r="H654" s="1">
        <f>Table1[[#This Row],[Price2]]/Table1[[#This Row],[Area]]</f>
        <v>110.42139342139342</v>
      </c>
      <c r="I654">
        <v>3861</v>
      </c>
      <c r="J654">
        <v>1968</v>
      </c>
      <c r="K654">
        <v>115</v>
      </c>
      <c r="L654" t="s">
        <v>52</v>
      </c>
      <c r="M654" t="s">
        <v>1729</v>
      </c>
      <c r="N654" s="2" t="s">
        <v>3029</v>
      </c>
      <c r="O654" t="s">
        <v>3030</v>
      </c>
      <c r="P654" t="s">
        <v>26</v>
      </c>
      <c r="Q654">
        <v>110.42139342139342</v>
      </c>
      <c r="R654">
        <f ca="1">YEAR(TODAY())-Table1[[#This Row],[Year Built]]</f>
        <v>58</v>
      </c>
      <c r="S654" t="str">
        <f>IF(Table1[[#This Row],[Days on Market]] &lt; 30,"Fast",IF(Table1[[#This Row],[Days on Market]]&lt;= 90,"Average", "Slow"))</f>
        <v>Slow</v>
      </c>
      <c r="T654" t="str">
        <f>IF(Table1[[#This Row],[Price2]]&lt;500000,"Affordable",IF(Table1[[#This Row],[Price2]]&lt;1000000,"Mid range","Luxury"))</f>
        <v>Affordable</v>
      </c>
    </row>
    <row r="655" spans="1:20" x14ac:dyDescent="0.35">
      <c r="A655" s="3">
        <v>426442</v>
      </c>
      <c r="B655" s="2" t="s">
        <v>17</v>
      </c>
      <c r="C655">
        <v>40814</v>
      </c>
      <c r="D655" s="2" t="s">
        <v>18</v>
      </c>
      <c r="E655">
        <v>5</v>
      </c>
      <c r="F655">
        <v>2</v>
      </c>
      <c r="G655" s="4">
        <f>VALUE(SUBSTITUTE(SUBSTITUTE(Table1[[#This Row],[Price]],"$",""),",",""))</f>
        <v>426442</v>
      </c>
      <c r="H655" s="1">
        <f>Table1[[#This Row],[Price2]]/Table1[[#This Row],[Area]]</f>
        <v>244.94083859850662</v>
      </c>
      <c r="I655">
        <v>1741</v>
      </c>
      <c r="J655">
        <v>1986</v>
      </c>
      <c r="K655">
        <v>112</v>
      </c>
      <c r="L655" t="s">
        <v>19</v>
      </c>
      <c r="M655" t="s">
        <v>827</v>
      </c>
      <c r="N655" s="2" t="s">
        <v>3031</v>
      </c>
      <c r="O655" t="s">
        <v>3032</v>
      </c>
      <c r="P655" t="s">
        <v>26</v>
      </c>
      <c r="Q655">
        <v>244.94083859850662</v>
      </c>
      <c r="R655">
        <f ca="1">YEAR(TODAY())-Table1[[#This Row],[Year Built]]</f>
        <v>40</v>
      </c>
      <c r="S655" t="str">
        <f>IF(Table1[[#This Row],[Days on Market]] &lt; 30,"Fast",IF(Table1[[#This Row],[Days on Market]]&lt;= 90,"Average", "Slow"))</f>
        <v>Slow</v>
      </c>
      <c r="T655" t="str">
        <f>IF(Table1[[#This Row],[Price2]]&lt;500000,"Affordable",IF(Table1[[#This Row],[Price2]]&lt;1000000,"Mid range","Luxury"))</f>
        <v>Affordable</v>
      </c>
    </row>
    <row r="656" spans="1:20" x14ac:dyDescent="0.35">
      <c r="A656" s="3">
        <v>427572</v>
      </c>
      <c r="B656" s="2" t="s">
        <v>34</v>
      </c>
      <c r="C656">
        <v>47035</v>
      </c>
      <c r="D656" s="2" t="s">
        <v>23</v>
      </c>
      <c r="E656">
        <v>3</v>
      </c>
      <c r="F656">
        <v>1</v>
      </c>
      <c r="G656" s="4">
        <f>VALUE(SUBSTITUTE(SUBSTITUTE(Table1[[#This Row],[Price]],"$",""),",",""))</f>
        <v>427572</v>
      </c>
      <c r="H656" s="1">
        <f>Table1[[#This Row],[Price2]]/Table1[[#This Row],[Area]]</f>
        <v>108.52081218274111</v>
      </c>
      <c r="I656">
        <v>3940</v>
      </c>
      <c r="J656">
        <v>1986</v>
      </c>
      <c r="K656">
        <v>9</v>
      </c>
      <c r="L656" t="s">
        <v>14</v>
      </c>
      <c r="M656" t="s">
        <v>422</v>
      </c>
      <c r="N656" s="2" t="s">
        <v>3035</v>
      </c>
      <c r="O656" t="s">
        <v>3036</v>
      </c>
      <c r="P656" t="s">
        <v>16</v>
      </c>
      <c r="Q656">
        <v>108.52081218274111</v>
      </c>
      <c r="R656">
        <f ca="1">YEAR(TODAY())-Table1[[#This Row],[Year Built]]</f>
        <v>40</v>
      </c>
      <c r="S656" t="str">
        <f>IF(Table1[[#This Row],[Days on Market]] &lt; 30,"Fast",IF(Table1[[#This Row],[Days on Market]]&lt;= 90,"Average", "Slow"))</f>
        <v>Fast</v>
      </c>
      <c r="T656" t="str">
        <f>IF(Table1[[#This Row],[Price2]]&lt;500000,"Affordable",IF(Table1[[#This Row],[Price2]]&lt;1000000,"Mid range","Luxury"))</f>
        <v>Affordable</v>
      </c>
    </row>
    <row r="657" spans="1:20" x14ac:dyDescent="0.35">
      <c r="A657" s="3">
        <v>429050</v>
      </c>
      <c r="B657" s="2" t="s">
        <v>12</v>
      </c>
      <c r="C657">
        <v>89790</v>
      </c>
      <c r="D657" s="2" t="s">
        <v>13</v>
      </c>
      <c r="E657">
        <v>1</v>
      </c>
      <c r="F657">
        <v>2</v>
      </c>
      <c r="G657" s="4">
        <f>VALUE(SUBSTITUTE(SUBSTITUTE(Table1[[#This Row],[Price]],"$",""),",",""))</f>
        <v>429050</v>
      </c>
      <c r="H657" s="1">
        <f>Table1[[#This Row],[Price2]]/Table1[[#This Row],[Area]]</f>
        <v>205.38535184298706</v>
      </c>
      <c r="I657">
        <v>2089</v>
      </c>
      <c r="J657">
        <v>2015</v>
      </c>
      <c r="K657">
        <v>66</v>
      </c>
      <c r="L657" t="s">
        <v>19</v>
      </c>
      <c r="M657" t="s">
        <v>292</v>
      </c>
      <c r="N657" s="2" t="s">
        <v>3029</v>
      </c>
      <c r="O657" t="s">
        <v>3030</v>
      </c>
      <c r="P657" t="s">
        <v>26</v>
      </c>
      <c r="Q657">
        <v>205.38535184298706</v>
      </c>
      <c r="R657">
        <f ca="1">YEAR(TODAY())-Table1[[#This Row],[Year Built]]</f>
        <v>11</v>
      </c>
      <c r="S657" t="str">
        <f>IF(Table1[[#This Row],[Days on Market]] &lt; 30,"Fast",IF(Table1[[#This Row],[Days on Market]]&lt;= 90,"Average", "Slow"))</f>
        <v>Average</v>
      </c>
      <c r="T657" t="str">
        <f>IF(Table1[[#This Row],[Price2]]&lt;500000,"Affordable",IF(Table1[[#This Row],[Price2]]&lt;1000000,"Mid range","Luxury"))</f>
        <v>Affordable</v>
      </c>
    </row>
    <row r="658" spans="1:20" x14ac:dyDescent="0.35">
      <c r="A658" s="3">
        <v>429291</v>
      </c>
      <c r="B658" s="2" t="s">
        <v>17</v>
      </c>
      <c r="C658">
        <v>30885</v>
      </c>
      <c r="D658" s="2" t="s">
        <v>35</v>
      </c>
      <c r="E658">
        <v>3</v>
      </c>
      <c r="F658">
        <v>3</v>
      </c>
      <c r="G658" s="4">
        <f>VALUE(SUBSTITUTE(SUBSTITUTE(Table1[[#This Row],[Price]],"$",""),",",""))</f>
        <v>429291</v>
      </c>
      <c r="H658" s="1">
        <f>Table1[[#This Row],[Price2]]/Table1[[#This Row],[Area]]</f>
        <v>283.7349636483807</v>
      </c>
      <c r="I658">
        <v>1513</v>
      </c>
      <c r="J658">
        <v>2007</v>
      </c>
      <c r="K658">
        <v>77</v>
      </c>
      <c r="L658" t="s">
        <v>40</v>
      </c>
      <c r="M658" t="s">
        <v>2730</v>
      </c>
      <c r="N658" s="2" t="s">
        <v>3035</v>
      </c>
      <c r="O658" t="s">
        <v>3036</v>
      </c>
      <c r="P658" t="s">
        <v>16</v>
      </c>
      <c r="Q658">
        <v>283.7349636483807</v>
      </c>
      <c r="R658">
        <f ca="1">YEAR(TODAY())-Table1[[#This Row],[Year Built]]</f>
        <v>19</v>
      </c>
      <c r="S658" t="str">
        <f>IF(Table1[[#This Row],[Days on Market]] &lt; 30,"Fast",IF(Table1[[#This Row],[Days on Market]]&lt;= 90,"Average", "Slow"))</f>
        <v>Average</v>
      </c>
      <c r="T658" t="str">
        <f>IF(Table1[[#This Row],[Price2]]&lt;500000,"Affordable",IF(Table1[[#This Row],[Price2]]&lt;1000000,"Mid range","Luxury"))</f>
        <v>Affordable</v>
      </c>
    </row>
    <row r="659" spans="1:20" x14ac:dyDescent="0.35">
      <c r="A659" s="3">
        <v>429828</v>
      </c>
      <c r="B659" s="2" t="s">
        <v>22</v>
      </c>
      <c r="C659">
        <v>98635</v>
      </c>
      <c r="D659" s="2" t="s">
        <v>23</v>
      </c>
      <c r="E659">
        <v>6</v>
      </c>
      <c r="F659">
        <v>4</v>
      </c>
      <c r="G659" s="4">
        <f>VALUE(SUBSTITUTE(SUBSTITUTE(Table1[[#This Row],[Price]],"$",""),",",""))</f>
        <v>429828</v>
      </c>
      <c r="H659" s="1">
        <f>Table1[[#This Row],[Price2]]/Table1[[#This Row],[Area]]</f>
        <v>427.68955223880596</v>
      </c>
      <c r="I659">
        <v>1005</v>
      </c>
      <c r="J659">
        <v>1974</v>
      </c>
      <c r="K659">
        <v>114</v>
      </c>
      <c r="L659" t="s">
        <v>19</v>
      </c>
      <c r="M659" t="s">
        <v>1731</v>
      </c>
      <c r="N659" s="2" t="s">
        <v>3031</v>
      </c>
      <c r="O659" t="s">
        <v>3032</v>
      </c>
      <c r="P659" t="s">
        <v>21</v>
      </c>
      <c r="Q659">
        <v>427.68955223880596</v>
      </c>
      <c r="R659">
        <f ca="1">YEAR(TODAY())-Table1[[#This Row],[Year Built]]</f>
        <v>52</v>
      </c>
      <c r="S659" t="str">
        <f>IF(Table1[[#This Row],[Days on Market]] &lt; 30,"Fast",IF(Table1[[#This Row],[Days on Market]]&lt;= 90,"Average", "Slow"))</f>
        <v>Slow</v>
      </c>
      <c r="T659" t="str">
        <f>IF(Table1[[#This Row],[Price2]]&lt;500000,"Affordable",IF(Table1[[#This Row],[Price2]]&lt;1000000,"Mid range","Luxury"))</f>
        <v>Affordable</v>
      </c>
    </row>
    <row r="660" spans="1:20" x14ac:dyDescent="0.35">
      <c r="A660" s="3">
        <v>430345</v>
      </c>
      <c r="B660" s="2" t="s">
        <v>34</v>
      </c>
      <c r="C660">
        <v>34458</v>
      </c>
      <c r="D660" s="2" t="s">
        <v>13</v>
      </c>
      <c r="E660">
        <v>2</v>
      </c>
      <c r="F660">
        <v>1</v>
      </c>
      <c r="G660" s="4">
        <f>VALUE(SUBSTITUTE(SUBSTITUTE(Table1[[#This Row],[Price]],"$",""),",",""))</f>
        <v>430345</v>
      </c>
      <c r="H660" s="1">
        <f>Table1[[#This Row],[Price2]]/Table1[[#This Row],[Area]]</f>
        <v>111.1715319039008</v>
      </c>
      <c r="I660">
        <v>3871</v>
      </c>
      <c r="J660">
        <v>1990</v>
      </c>
      <c r="K660">
        <v>44</v>
      </c>
      <c r="L660" t="s">
        <v>19</v>
      </c>
      <c r="M660" t="s">
        <v>201</v>
      </c>
      <c r="N660" s="2" t="s">
        <v>3035</v>
      </c>
      <c r="O660" t="s">
        <v>3036</v>
      </c>
      <c r="P660" t="s">
        <v>21</v>
      </c>
      <c r="Q660">
        <v>111.1715319039008</v>
      </c>
      <c r="R660">
        <f ca="1">YEAR(TODAY())-Table1[[#This Row],[Year Built]]</f>
        <v>36</v>
      </c>
      <c r="S660" t="str">
        <f>IF(Table1[[#This Row],[Days on Market]] &lt; 30,"Fast",IF(Table1[[#This Row],[Days on Market]]&lt;= 90,"Average", "Slow"))</f>
        <v>Average</v>
      </c>
      <c r="T660" t="str">
        <f>IF(Table1[[#This Row],[Price2]]&lt;500000,"Affordable",IF(Table1[[#This Row],[Price2]]&lt;1000000,"Mid range","Luxury"))</f>
        <v>Affordable</v>
      </c>
    </row>
    <row r="661" spans="1:20" x14ac:dyDescent="0.35">
      <c r="A661" s="3">
        <v>430954</v>
      </c>
      <c r="B661" s="2" t="s">
        <v>27</v>
      </c>
      <c r="C661">
        <v>18835</v>
      </c>
      <c r="D661" s="2" t="s">
        <v>35</v>
      </c>
      <c r="E661">
        <v>6</v>
      </c>
      <c r="F661">
        <v>4</v>
      </c>
      <c r="G661" s="4">
        <f>VALUE(SUBSTITUTE(SUBSTITUTE(Table1[[#This Row],[Price]],"$",""),",",""))</f>
        <v>430954</v>
      </c>
      <c r="H661" s="1">
        <f>Table1[[#This Row],[Price2]]/Table1[[#This Row],[Area]]</f>
        <v>564.07591623036649</v>
      </c>
      <c r="I661">
        <v>764</v>
      </c>
      <c r="J661">
        <v>1975</v>
      </c>
      <c r="K661">
        <v>3</v>
      </c>
      <c r="L661" t="s">
        <v>52</v>
      </c>
      <c r="M661" t="s">
        <v>221</v>
      </c>
      <c r="N661" s="2" t="s">
        <v>3027</v>
      </c>
      <c r="O661" t="s">
        <v>3028</v>
      </c>
      <c r="P661" t="s">
        <v>26</v>
      </c>
      <c r="Q661">
        <v>564.07591623036649</v>
      </c>
      <c r="R661">
        <f ca="1">YEAR(TODAY())-Table1[[#This Row],[Year Built]]</f>
        <v>51</v>
      </c>
      <c r="S661" t="str">
        <f>IF(Table1[[#This Row],[Days on Market]] &lt; 30,"Fast",IF(Table1[[#This Row],[Days on Market]]&lt;= 90,"Average", "Slow"))</f>
        <v>Fast</v>
      </c>
      <c r="T661" t="str">
        <f>IF(Table1[[#This Row],[Price2]]&lt;500000,"Affordable",IF(Table1[[#This Row],[Price2]]&lt;1000000,"Mid range","Luxury"))</f>
        <v>Affordable</v>
      </c>
    </row>
    <row r="662" spans="1:20" x14ac:dyDescent="0.35">
      <c r="A662" s="3">
        <v>431030</v>
      </c>
      <c r="B662" s="2" t="s">
        <v>27</v>
      </c>
      <c r="C662">
        <v>84052</v>
      </c>
      <c r="D662" s="2" t="s">
        <v>29</v>
      </c>
      <c r="E662">
        <v>2</v>
      </c>
      <c r="F662">
        <v>2</v>
      </c>
      <c r="G662" s="4">
        <f>VALUE(SUBSTITUTE(SUBSTITUTE(Table1[[#This Row],[Price]],"$",""),",",""))</f>
        <v>431030</v>
      </c>
      <c r="H662" s="1">
        <f>Table1[[#This Row],[Price2]]/Table1[[#This Row],[Area]]</f>
        <v>146.21099050203529</v>
      </c>
      <c r="I662">
        <v>2948</v>
      </c>
      <c r="J662">
        <v>1992</v>
      </c>
      <c r="K662">
        <v>6</v>
      </c>
      <c r="L662" t="s">
        <v>30</v>
      </c>
      <c r="M662" t="s">
        <v>1638</v>
      </c>
      <c r="N662" s="2" t="s">
        <v>3035</v>
      </c>
      <c r="O662" t="s">
        <v>3036</v>
      </c>
      <c r="P662" t="s">
        <v>16</v>
      </c>
      <c r="Q662">
        <v>146.21099050203529</v>
      </c>
      <c r="R662">
        <f ca="1">YEAR(TODAY())-Table1[[#This Row],[Year Built]]</f>
        <v>34</v>
      </c>
      <c r="S662" t="str">
        <f>IF(Table1[[#This Row],[Days on Market]] &lt; 30,"Fast",IF(Table1[[#This Row],[Days on Market]]&lt;= 90,"Average", "Slow"))</f>
        <v>Fast</v>
      </c>
      <c r="T662" t="str">
        <f>IF(Table1[[#This Row],[Price2]]&lt;500000,"Affordable",IF(Table1[[#This Row],[Price2]]&lt;1000000,"Mid range","Luxury"))</f>
        <v>Affordable</v>
      </c>
    </row>
    <row r="663" spans="1:20" x14ac:dyDescent="0.35">
      <c r="A663" s="3">
        <v>431967</v>
      </c>
      <c r="B663" s="2" t="s">
        <v>34</v>
      </c>
      <c r="C663">
        <v>79165</v>
      </c>
      <c r="D663" s="2" t="s">
        <v>35</v>
      </c>
      <c r="E663">
        <v>5</v>
      </c>
      <c r="F663">
        <v>3</v>
      </c>
      <c r="G663" s="4">
        <f>VALUE(SUBSTITUTE(SUBSTITUTE(Table1[[#This Row],[Price]],"$",""),",",""))</f>
        <v>431967</v>
      </c>
      <c r="H663" s="1">
        <f>Table1[[#This Row],[Price2]]/Table1[[#This Row],[Area]]</f>
        <v>150.98462076197134</v>
      </c>
      <c r="I663">
        <v>2861</v>
      </c>
      <c r="J663">
        <v>2002</v>
      </c>
      <c r="K663">
        <v>101</v>
      </c>
      <c r="L663" t="s">
        <v>30</v>
      </c>
      <c r="M663" t="s">
        <v>901</v>
      </c>
      <c r="N663" s="2" t="s">
        <v>3027</v>
      </c>
      <c r="O663" t="s">
        <v>3028</v>
      </c>
      <c r="P663" t="s">
        <v>21</v>
      </c>
      <c r="Q663">
        <v>150.98462076197134</v>
      </c>
      <c r="R663">
        <f ca="1">YEAR(TODAY())-Table1[[#This Row],[Year Built]]</f>
        <v>24</v>
      </c>
      <c r="S663" t="str">
        <f>IF(Table1[[#This Row],[Days on Market]] &lt; 30,"Fast",IF(Table1[[#This Row],[Days on Market]]&lt;= 90,"Average", "Slow"))</f>
        <v>Slow</v>
      </c>
      <c r="T663" t="str">
        <f>IF(Table1[[#This Row],[Price2]]&lt;500000,"Affordable",IF(Table1[[#This Row],[Price2]]&lt;1000000,"Mid range","Luxury"))</f>
        <v>Affordable</v>
      </c>
    </row>
    <row r="664" spans="1:20" x14ac:dyDescent="0.35">
      <c r="A664" s="3">
        <v>433189</v>
      </c>
      <c r="B664" s="2" t="s">
        <v>34</v>
      </c>
      <c r="C664">
        <v>88715</v>
      </c>
      <c r="D664" s="2" t="s">
        <v>23</v>
      </c>
      <c r="E664">
        <v>6</v>
      </c>
      <c r="F664">
        <v>4</v>
      </c>
      <c r="G664" s="4">
        <f>VALUE(SUBSTITUTE(SUBSTITUTE(Table1[[#This Row],[Price]],"$",""),",",""))</f>
        <v>433189</v>
      </c>
      <c r="H664" s="1">
        <f>Table1[[#This Row],[Price2]]/Table1[[#This Row],[Area]]</f>
        <v>367.42069550466499</v>
      </c>
      <c r="I664">
        <v>1179</v>
      </c>
      <c r="J664">
        <v>1966</v>
      </c>
      <c r="K664">
        <v>43</v>
      </c>
      <c r="L664" t="s">
        <v>52</v>
      </c>
      <c r="M664" t="s">
        <v>1013</v>
      </c>
      <c r="N664" s="2" t="s">
        <v>3027</v>
      </c>
      <c r="O664" t="s">
        <v>3028</v>
      </c>
      <c r="P664" t="s">
        <v>21</v>
      </c>
      <c r="Q664">
        <v>367.42069550466499</v>
      </c>
      <c r="R664">
        <f ca="1">YEAR(TODAY())-Table1[[#This Row],[Year Built]]</f>
        <v>60</v>
      </c>
      <c r="S664" t="str">
        <f>IF(Table1[[#This Row],[Days on Market]] &lt; 30,"Fast",IF(Table1[[#This Row],[Days on Market]]&lt;= 90,"Average", "Slow"))</f>
        <v>Average</v>
      </c>
      <c r="T664" t="str">
        <f>IF(Table1[[#This Row],[Price2]]&lt;500000,"Affordable",IF(Table1[[#This Row],[Price2]]&lt;1000000,"Mid range","Luxury"))</f>
        <v>Affordable</v>
      </c>
    </row>
    <row r="665" spans="1:20" x14ac:dyDescent="0.35">
      <c r="A665" s="3">
        <v>433253</v>
      </c>
      <c r="B665" s="2" t="s">
        <v>12</v>
      </c>
      <c r="C665">
        <v>21216</v>
      </c>
      <c r="D665" s="2" t="s">
        <v>23</v>
      </c>
      <c r="E665">
        <v>3</v>
      </c>
      <c r="F665">
        <v>4</v>
      </c>
      <c r="G665" s="4">
        <f>VALUE(SUBSTITUTE(SUBSTITUTE(Table1[[#This Row],[Price]],"$",""),",",""))</f>
        <v>433253</v>
      </c>
      <c r="H665" s="1">
        <f>Table1[[#This Row],[Price2]]/Table1[[#This Row],[Area]]</f>
        <v>112.38728923476005</v>
      </c>
      <c r="I665">
        <v>3855</v>
      </c>
      <c r="J665">
        <v>1967</v>
      </c>
      <c r="K665">
        <v>115</v>
      </c>
      <c r="L665" t="s">
        <v>30</v>
      </c>
      <c r="M665" t="s">
        <v>859</v>
      </c>
      <c r="N665" s="2" t="s">
        <v>3033</v>
      </c>
      <c r="O665" t="s">
        <v>3034</v>
      </c>
      <c r="P665" t="s">
        <v>26</v>
      </c>
      <c r="Q665">
        <v>112.38728923476005</v>
      </c>
      <c r="R665">
        <f ca="1">YEAR(TODAY())-Table1[[#This Row],[Year Built]]</f>
        <v>59</v>
      </c>
      <c r="S665" t="str">
        <f>IF(Table1[[#This Row],[Days on Market]] &lt; 30,"Fast",IF(Table1[[#This Row],[Days on Market]]&lt;= 90,"Average", "Slow"))</f>
        <v>Slow</v>
      </c>
      <c r="T665" t="str">
        <f>IF(Table1[[#This Row],[Price2]]&lt;500000,"Affordable",IF(Table1[[#This Row],[Price2]]&lt;1000000,"Mid range","Luxury"))</f>
        <v>Affordable</v>
      </c>
    </row>
    <row r="666" spans="1:20" x14ac:dyDescent="0.35">
      <c r="A666" s="3">
        <v>433833</v>
      </c>
      <c r="B666" s="2" t="s">
        <v>27</v>
      </c>
      <c r="C666">
        <v>27616</v>
      </c>
      <c r="D666" s="2" t="s">
        <v>35</v>
      </c>
      <c r="E666">
        <v>2</v>
      </c>
      <c r="F666">
        <v>2</v>
      </c>
      <c r="G666" s="4">
        <f>VALUE(SUBSTITUTE(SUBSTITUTE(Table1[[#This Row],[Price]],"$",""),",",""))</f>
        <v>433833</v>
      </c>
      <c r="H666" s="1">
        <f>Table1[[#This Row],[Price2]]/Table1[[#This Row],[Area]]</f>
        <v>192.13153232949512</v>
      </c>
      <c r="I666">
        <v>2258</v>
      </c>
      <c r="J666">
        <v>1994</v>
      </c>
      <c r="K666">
        <v>32</v>
      </c>
      <c r="L666" t="s">
        <v>52</v>
      </c>
      <c r="M666" t="s">
        <v>2908</v>
      </c>
      <c r="N666" s="2" t="s">
        <v>3033</v>
      </c>
      <c r="O666" t="s">
        <v>3034</v>
      </c>
      <c r="P666" t="s">
        <v>26</v>
      </c>
      <c r="Q666">
        <v>192.13153232949512</v>
      </c>
      <c r="R666">
        <f ca="1">YEAR(TODAY())-Table1[[#This Row],[Year Built]]</f>
        <v>32</v>
      </c>
      <c r="S666" t="str">
        <f>IF(Table1[[#This Row],[Days on Market]] &lt; 30,"Fast",IF(Table1[[#This Row],[Days on Market]]&lt;= 90,"Average", "Slow"))</f>
        <v>Average</v>
      </c>
      <c r="T666" t="str">
        <f>IF(Table1[[#This Row],[Price2]]&lt;500000,"Affordable",IF(Table1[[#This Row],[Price2]]&lt;1000000,"Mid range","Luxury"))</f>
        <v>Affordable</v>
      </c>
    </row>
    <row r="667" spans="1:20" x14ac:dyDescent="0.35">
      <c r="A667" s="3">
        <v>434016</v>
      </c>
      <c r="B667" s="2" t="s">
        <v>12</v>
      </c>
      <c r="C667">
        <v>25867</v>
      </c>
      <c r="D667" s="2" t="s">
        <v>13</v>
      </c>
      <c r="E667">
        <v>1</v>
      </c>
      <c r="F667">
        <v>3</v>
      </c>
      <c r="G667" s="4">
        <f>VALUE(SUBSTITUTE(SUBSTITUTE(Table1[[#This Row],[Price]],"$",""),",",""))</f>
        <v>434016</v>
      </c>
      <c r="H667" s="1">
        <f>Table1[[#This Row],[Price2]]/Table1[[#This Row],[Area]]</f>
        <v>137.47735191637631</v>
      </c>
      <c r="I667">
        <v>3157</v>
      </c>
      <c r="J667">
        <v>2010</v>
      </c>
      <c r="K667">
        <v>4</v>
      </c>
      <c r="L667" t="s">
        <v>40</v>
      </c>
      <c r="M667" t="s">
        <v>789</v>
      </c>
      <c r="N667" s="2" t="s">
        <v>3033</v>
      </c>
      <c r="O667" t="s">
        <v>3034</v>
      </c>
      <c r="P667" t="s">
        <v>16</v>
      </c>
      <c r="Q667">
        <v>137.47735191637631</v>
      </c>
      <c r="R667">
        <f ca="1">YEAR(TODAY())-Table1[[#This Row],[Year Built]]</f>
        <v>16</v>
      </c>
      <c r="S667" t="str">
        <f>IF(Table1[[#This Row],[Days on Market]] &lt; 30,"Fast",IF(Table1[[#This Row],[Days on Market]]&lt;= 90,"Average", "Slow"))</f>
        <v>Fast</v>
      </c>
      <c r="T667" t="str">
        <f>IF(Table1[[#This Row],[Price2]]&lt;500000,"Affordable",IF(Table1[[#This Row],[Price2]]&lt;1000000,"Mid range","Luxury"))</f>
        <v>Affordable</v>
      </c>
    </row>
    <row r="668" spans="1:20" x14ac:dyDescent="0.35">
      <c r="A668" s="3">
        <v>434210</v>
      </c>
      <c r="B668" s="2" t="s">
        <v>22</v>
      </c>
      <c r="C668">
        <v>35587</v>
      </c>
      <c r="D668" s="2" t="s">
        <v>29</v>
      </c>
      <c r="E668">
        <v>1</v>
      </c>
      <c r="F668">
        <v>4</v>
      </c>
      <c r="G668" s="4">
        <f>VALUE(SUBSTITUTE(SUBSTITUTE(Table1[[#This Row],[Price]],"$",""),",",""))</f>
        <v>434210</v>
      </c>
      <c r="H668" s="1">
        <f>Table1[[#This Row],[Price2]]/Table1[[#This Row],[Area]]</f>
        <v>179.35150764147048</v>
      </c>
      <c r="I668">
        <v>2421</v>
      </c>
      <c r="J668">
        <v>1959</v>
      </c>
      <c r="K668">
        <v>16</v>
      </c>
      <c r="L668" t="s">
        <v>19</v>
      </c>
      <c r="M668" t="s">
        <v>2655</v>
      </c>
      <c r="N668" s="2" t="s">
        <v>3027</v>
      </c>
      <c r="O668" t="s">
        <v>3028</v>
      </c>
      <c r="P668" t="s">
        <v>26</v>
      </c>
      <c r="Q668">
        <v>179.35150764147048</v>
      </c>
      <c r="R668">
        <f ca="1">YEAR(TODAY())-Table1[[#This Row],[Year Built]]</f>
        <v>67</v>
      </c>
      <c r="S668" t="str">
        <f>IF(Table1[[#This Row],[Days on Market]] &lt; 30,"Fast",IF(Table1[[#This Row],[Days on Market]]&lt;= 90,"Average", "Slow"))</f>
        <v>Fast</v>
      </c>
      <c r="T668" t="str">
        <f>IF(Table1[[#This Row],[Price2]]&lt;500000,"Affordable",IF(Table1[[#This Row],[Price2]]&lt;1000000,"Mid range","Luxury"))</f>
        <v>Affordable</v>
      </c>
    </row>
    <row r="669" spans="1:20" x14ac:dyDescent="0.35">
      <c r="A669" s="3">
        <v>434921</v>
      </c>
      <c r="B669" s="2" t="s">
        <v>27</v>
      </c>
      <c r="C669">
        <v>94803</v>
      </c>
      <c r="D669" s="2" t="s">
        <v>13</v>
      </c>
      <c r="E669">
        <v>2</v>
      </c>
      <c r="F669">
        <v>3</v>
      </c>
      <c r="G669" s="4">
        <f>VALUE(SUBSTITUTE(SUBSTITUTE(Table1[[#This Row],[Price]],"$",""),",",""))</f>
        <v>434921</v>
      </c>
      <c r="H669" s="1">
        <f>Table1[[#This Row],[Price2]]/Table1[[#This Row],[Area]]</f>
        <v>175.44211375554659</v>
      </c>
      <c r="I669">
        <v>2479</v>
      </c>
      <c r="J669">
        <v>1986</v>
      </c>
      <c r="K669">
        <v>38</v>
      </c>
      <c r="L669" t="s">
        <v>52</v>
      </c>
      <c r="M669" t="s">
        <v>716</v>
      </c>
      <c r="N669" s="2" t="s">
        <v>3031</v>
      </c>
      <c r="O669" t="s">
        <v>3032</v>
      </c>
      <c r="P669" t="s">
        <v>26</v>
      </c>
      <c r="Q669">
        <v>175.44211375554659</v>
      </c>
      <c r="R669">
        <f ca="1">YEAR(TODAY())-Table1[[#This Row],[Year Built]]</f>
        <v>40</v>
      </c>
      <c r="S669" t="str">
        <f>IF(Table1[[#This Row],[Days on Market]] &lt; 30,"Fast",IF(Table1[[#This Row],[Days on Market]]&lt;= 90,"Average", "Slow"))</f>
        <v>Average</v>
      </c>
      <c r="T669" t="str">
        <f>IF(Table1[[#This Row],[Price2]]&lt;500000,"Affordable",IF(Table1[[#This Row],[Price2]]&lt;1000000,"Mid range","Luxury"))</f>
        <v>Affordable</v>
      </c>
    </row>
    <row r="670" spans="1:20" x14ac:dyDescent="0.35">
      <c r="A670" s="3">
        <v>435007</v>
      </c>
      <c r="B670" s="2" t="s">
        <v>12</v>
      </c>
      <c r="C670">
        <v>56099</v>
      </c>
      <c r="D670" s="2" t="s">
        <v>29</v>
      </c>
      <c r="E670">
        <v>1</v>
      </c>
      <c r="F670">
        <v>3</v>
      </c>
      <c r="G670" s="4">
        <f>VALUE(SUBSTITUTE(SUBSTITUTE(Table1[[#This Row],[Price]],"$",""),",",""))</f>
        <v>435007</v>
      </c>
      <c r="H670" s="1">
        <f>Table1[[#This Row],[Price2]]/Table1[[#This Row],[Area]]</f>
        <v>218.37700803212851</v>
      </c>
      <c r="I670">
        <v>1992</v>
      </c>
      <c r="J670">
        <v>2012</v>
      </c>
      <c r="K670">
        <v>108</v>
      </c>
      <c r="L670" t="s">
        <v>30</v>
      </c>
      <c r="M670" t="s">
        <v>1411</v>
      </c>
      <c r="N670" s="2" t="s">
        <v>3029</v>
      </c>
      <c r="O670" t="s">
        <v>3030</v>
      </c>
      <c r="P670" t="s">
        <v>26</v>
      </c>
      <c r="Q670">
        <v>218.37700803212851</v>
      </c>
      <c r="R670">
        <f ca="1">YEAR(TODAY())-Table1[[#This Row],[Year Built]]</f>
        <v>14</v>
      </c>
      <c r="S670" t="str">
        <f>IF(Table1[[#This Row],[Days on Market]] &lt; 30,"Fast",IF(Table1[[#This Row],[Days on Market]]&lt;= 90,"Average", "Slow"))</f>
        <v>Slow</v>
      </c>
      <c r="T670" t="str">
        <f>IF(Table1[[#This Row],[Price2]]&lt;500000,"Affordable",IF(Table1[[#This Row],[Price2]]&lt;1000000,"Mid range","Luxury"))</f>
        <v>Affordable</v>
      </c>
    </row>
    <row r="671" spans="1:20" x14ac:dyDescent="0.35">
      <c r="A671" s="3">
        <v>435555</v>
      </c>
      <c r="B671" s="2" t="s">
        <v>27</v>
      </c>
      <c r="C671">
        <v>17654</v>
      </c>
      <c r="D671" s="2" t="s">
        <v>35</v>
      </c>
      <c r="E671">
        <v>2</v>
      </c>
      <c r="F671">
        <v>2</v>
      </c>
      <c r="G671" s="4">
        <f>VALUE(SUBSTITUTE(SUBSTITUTE(Table1[[#This Row],[Price]],"$",""),",",""))</f>
        <v>435555</v>
      </c>
      <c r="H671" s="1">
        <f>Table1[[#This Row],[Price2]]/Table1[[#This Row],[Area]]</f>
        <v>181.25468164794009</v>
      </c>
      <c r="I671">
        <v>2403</v>
      </c>
      <c r="J671">
        <v>1955</v>
      </c>
      <c r="K671">
        <v>18</v>
      </c>
      <c r="L671" t="s">
        <v>40</v>
      </c>
      <c r="M671" t="s">
        <v>94</v>
      </c>
      <c r="N671" s="2" t="s">
        <v>3035</v>
      </c>
      <c r="O671" t="s">
        <v>3036</v>
      </c>
      <c r="P671" t="s">
        <v>26</v>
      </c>
      <c r="Q671">
        <v>181.25468164794009</v>
      </c>
      <c r="R671">
        <f ca="1">YEAR(TODAY())-Table1[[#This Row],[Year Built]]</f>
        <v>71</v>
      </c>
      <c r="S671" t="str">
        <f>IF(Table1[[#This Row],[Days on Market]] &lt; 30,"Fast",IF(Table1[[#This Row],[Days on Market]]&lt;= 90,"Average", "Slow"))</f>
        <v>Fast</v>
      </c>
      <c r="T671" t="str">
        <f>IF(Table1[[#This Row],[Price2]]&lt;500000,"Affordable",IF(Table1[[#This Row],[Price2]]&lt;1000000,"Mid range","Luxury"))</f>
        <v>Affordable</v>
      </c>
    </row>
    <row r="672" spans="1:20" x14ac:dyDescent="0.35">
      <c r="A672" s="3">
        <v>435821</v>
      </c>
      <c r="B672" s="2" t="s">
        <v>12</v>
      </c>
      <c r="C672">
        <v>97907</v>
      </c>
      <c r="D672" s="2" t="s">
        <v>18</v>
      </c>
      <c r="E672">
        <v>4</v>
      </c>
      <c r="F672">
        <v>4</v>
      </c>
      <c r="G672" s="4">
        <f>VALUE(SUBSTITUTE(SUBSTITUTE(Table1[[#This Row],[Price]],"$",""),",",""))</f>
        <v>435821</v>
      </c>
      <c r="H672" s="1">
        <f>Table1[[#This Row],[Price2]]/Table1[[#This Row],[Area]]</f>
        <v>141.68433029908974</v>
      </c>
      <c r="I672">
        <v>3076</v>
      </c>
      <c r="J672">
        <v>1993</v>
      </c>
      <c r="K672">
        <v>19</v>
      </c>
      <c r="L672" t="s">
        <v>19</v>
      </c>
      <c r="M672" t="s">
        <v>1412</v>
      </c>
      <c r="N672" s="2" t="s">
        <v>3033</v>
      </c>
      <c r="O672" t="s">
        <v>3034</v>
      </c>
      <c r="P672" t="s">
        <v>21</v>
      </c>
      <c r="Q672">
        <v>141.68433029908974</v>
      </c>
      <c r="R672">
        <f ca="1">YEAR(TODAY())-Table1[[#This Row],[Year Built]]</f>
        <v>33</v>
      </c>
      <c r="S672" t="str">
        <f>IF(Table1[[#This Row],[Days on Market]] &lt; 30,"Fast",IF(Table1[[#This Row],[Days on Market]]&lt;= 90,"Average", "Slow"))</f>
        <v>Fast</v>
      </c>
      <c r="T672" t="str">
        <f>IF(Table1[[#This Row],[Price2]]&lt;500000,"Affordable",IF(Table1[[#This Row],[Price2]]&lt;1000000,"Mid range","Luxury"))</f>
        <v>Affordable</v>
      </c>
    </row>
    <row r="673" spans="1:20" x14ac:dyDescent="0.35">
      <c r="A673" s="3">
        <v>436022</v>
      </c>
      <c r="B673" s="2" t="s">
        <v>27</v>
      </c>
      <c r="C673">
        <v>28140</v>
      </c>
      <c r="D673" s="2" t="s">
        <v>23</v>
      </c>
      <c r="E673">
        <v>5</v>
      </c>
      <c r="F673">
        <v>3</v>
      </c>
      <c r="G673" s="4">
        <f>VALUE(SUBSTITUTE(SUBSTITUTE(Table1[[#This Row],[Price]],"$",""),",",""))</f>
        <v>436022</v>
      </c>
      <c r="H673" s="1">
        <f>Table1[[#This Row],[Price2]]/Table1[[#This Row],[Area]]</f>
        <v>307.2741367159972</v>
      </c>
      <c r="I673">
        <v>1419</v>
      </c>
      <c r="J673">
        <v>2008</v>
      </c>
      <c r="K673">
        <v>109</v>
      </c>
      <c r="L673" t="s">
        <v>19</v>
      </c>
      <c r="M673" t="s">
        <v>2970</v>
      </c>
      <c r="N673" s="2" t="s">
        <v>3033</v>
      </c>
      <c r="O673" t="s">
        <v>3034</v>
      </c>
      <c r="P673" t="s">
        <v>21</v>
      </c>
      <c r="Q673">
        <v>307.2741367159972</v>
      </c>
      <c r="R673">
        <f ca="1">YEAR(TODAY())-Table1[[#This Row],[Year Built]]</f>
        <v>18</v>
      </c>
      <c r="S673" t="str">
        <f>IF(Table1[[#This Row],[Days on Market]] &lt; 30,"Fast",IF(Table1[[#This Row],[Days on Market]]&lt;= 90,"Average", "Slow"))</f>
        <v>Slow</v>
      </c>
      <c r="T673" t="str">
        <f>IF(Table1[[#This Row],[Price2]]&lt;500000,"Affordable",IF(Table1[[#This Row],[Price2]]&lt;1000000,"Mid range","Luxury"))</f>
        <v>Affordable</v>
      </c>
    </row>
    <row r="674" spans="1:20" x14ac:dyDescent="0.35">
      <c r="A674" s="3">
        <v>436227</v>
      </c>
      <c r="B674" s="2" t="s">
        <v>27</v>
      </c>
      <c r="C674">
        <v>30987</v>
      </c>
      <c r="D674" s="2" t="s">
        <v>23</v>
      </c>
      <c r="E674">
        <v>5</v>
      </c>
      <c r="F674">
        <v>2</v>
      </c>
      <c r="G674" s="4">
        <f>VALUE(SUBSTITUTE(SUBSTITUTE(Table1[[#This Row],[Price]],"$",""),",",""))</f>
        <v>436227</v>
      </c>
      <c r="H674" s="1">
        <f>Table1[[#This Row],[Price2]]/Table1[[#This Row],[Area]]</f>
        <v>495.14982973893302</v>
      </c>
      <c r="I674">
        <v>881</v>
      </c>
      <c r="J674">
        <v>1974</v>
      </c>
      <c r="K674">
        <v>46</v>
      </c>
      <c r="L674" t="s">
        <v>14</v>
      </c>
      <c r="M674" t="s">
        <v>293</v>
      </c>
      <c r="N674" s="2" t="s">
        <v>3035</v>
      </c>
      <c r="O674" t="s">
        <v>3036</v>
      </c>
      <c r="P674" t="s">
        <v>16</v>
      </c>
      <c r="Q674">
        <v>495.14982973893302</v>
      </c>
      <c r="R674">
        <f ca="1">YEAR(TODAY())-Table1[[#This Row],[Year Built]]</f>
        <v>52</v>
      </c>
      <c r="S674" t="str">
        <f>IF(Table1[[#This Row],[Days on Market]] &lt; 30,"Fast",IF(Table1[[#This Row],[Days on Market]]&lt;= 90,"Average", "Slow"))</f>
        <v>Average</v>
      </c>
      <c r="T674" t="str">
        <f>IF(Table1[[#This Row],[Price2]]&lt;500000,"Affordable",IF(Table1[[#This Row],[Price2]]&lt;1000000,"Mid range","Luxury"))</f>
        <v>Affordable</v>
      </c>
    </row>
    <row r="675" spans="1:20" x14ac:dyDescent="0.35">
      <c r="A675" s="3">
        <v>437080</v>
      </c>
      <c r="B675" s="2" t="s">
        <v>27</v>
      </c>
      <c r="C675">
        <v>28489</v>
      </c>
      <c r="D675" s="2" t="s">
        <v>29</v>
      </c>
      <c r="E675">
        <v>5</v>
      </c>
      <c r="F675">
        <v>1</v>
      </c>
      <c r="G675" s="4">
        <f>VALUE(SUBSTITUTE(SUBSTITUTE(Table1[[#This Row],[Price]],"$",""),",",""))</f>
        <v>437080</v>
      </c>
      <c r="H675" s="1">
        <f>Table1[[#This Row],[Price2]]/Table1[[#This Row],[Area]]</f>
        <v>590.64864864864865</v>
      </c>
      <c r="I675">
        <v>740</v>
      </c>
      <c r="J675">
        <v>1969</v>
      </c>
      <c r="K675">
        <v>63</v>
      </c>
      <c r="L675" t="s">
        <v>30</v>
      </c>
      <c r="M675" t="s">
        <v>997</v>
      </c>
      <c r="N675" s="2" t="s">
        <v>3033</v>
      </c>
      <c r="O675" t="s">
        <v>3034</v>
      </c>
      <c r="P675" t="s">
        <v>26</v>
      </c>
      <c r="Q675">
        <v>590.64864864864865</v>
      </c>
      <c r="R675">
        <f ca="1">YEAR(TODAY())-Table1[[#This Row],[Year Built]]</f>
        <v>57</v>
      </c>
      <c r="S675" t="str">
        <f>IF(Table1[[#This Row],[Days on Market]] &lt; 30,"Fast",IF(Table1[[#This Row],[Days on Market]]&lt;= 90,"Average", "Slow"))</f>
        <v>Average</v>
      </c>
      <c r="T675" t="str">
        <f>IF(Table1[[#This Row],[Price2]]&lt;500000,"Affordable",IF(Table1[[#This Row],[Price2]]&lt;1000000,"Mid range","Luxury"))</f>
        <v>Affordable</v>
      </c>
    </row>
    <row r="676" spans="1:20" x14ac:dyDescent="0.35">
      <c r="A676" s="3">
        <v>437137</v>
      </c>
      <c r="B676" s="2" t="s">
        <v>17</v>
      </c>
      <c r="C676">
        <v>78357</v>
      </c>
      <c r="D676" s="2" t="s">
        <v>13</v>
      </c>
      <c r="E676">
        <v>1</v>
      </c>
      <c r="F676">
        <v>2</v>
      </c>
      <c r="G676" s="4">
        <f>VALUE(SUBSTITUTE(SUBSTITUTE(Table1[[#This Row],[Price]],"$",""),",",""))</f>
        <v>437137</v>
      </c>
      <c r="H676" s="1">
        <f>Table1[[#This Row],[Price2]]/Table1[[#This Row],[Area]]</f>
        <v>277.5473015873016</v>
      </c>
      <c r="I676">
        <v>1575</v>
      </c>
      <c r="J676">
        <v>2011</v>
      </c>
      <c r="K676">
        <v>10</v>
      </c>
      <c r="L676" t="s">
        <v>30</v>
      </c>
      <c r="M676" t="s">
        <v>1582</v>
      </c>
      <c r="N676" s="2" t="s">
        <v>3029</v>
      </c>
      <c r="O676" t="s">
        <v>3030</v>
      </c>
      <c r="P676" t="s">
        <v>16</v>
      </c>
      <c r="Q676">
        <v>277.5473015873016</v>
      </c>
      <c r="R676">
        <f ca="1">YEAR(TODAY())-Table1[[#This Row],[Year Built]]</f>
        <v>15</v>
      </c>
      <c r="S676" t="str">
        <f>IF(Table1[[#This Row],[Days on Market]] &lt; 30,"Fast",IF(Table1[[#This Row],[Days on Market]]&lt;= 90,"Average", "Slow"))</f>
        <v>Fast</v>
      </c>
      <c r="T676" t="str">
        <f>IF(Table1[[#This Row],[Price2]]&lt;500000,"Affordable",IF(Table1[[#This Row],[Price2]]&lt;1000000,"Mid range","Luxury"))</f>
        <v>Affordable</v>
      </c>
    </row>
    <row r="677" spans="1:20" x14ac:dyDescent="0.35">
      <c r="A677" s="3">
        <v>437511</v>
      </c>
      <c r="B677" s="2" t="s">
        <v>12</v>
      </c>
      <c r="C677">
        <v>18919</v>
      </c>
      <c r="D677" s="2" t="s">
        <v>23</v>
      </c>
      <c r="E677">
        <v>3</v>
      </c>
      <c r="F677">
        <v>3</v>
      </c>
      <c r="G677" s="4">
        <f>VALUE(SUBSTITUTE(SUBSTITUTE(Table1[[#This Row],[Price]],"$",""),",",""))</f>
        <v>437511</v>
      </c>
      <c r="H677" s="1">
        <f>Table1[[#This Row],[Price2]]/Table1[[#This Row],[Area]]</f>
        <v>138.62832699619773</v>
      </c>
      <c r="I677">
        <v>3156</v>
      </c>
      <c r="J677">
        <v>1963</v>
      </c>
      <c r="K677">
        <v>9</v>
      </c>
      <c r="L677" t="s">
        <v>14</v>
      </c>
      <c r="M677" t="s">
        <v>960</v>
      </c>
      <c r="N677" s="2" t="s">
        <v>3031</v>
      </c>
      <c r="O677" t="s">
        <v>3032</v>
      </c>
      <c r="P677" t="s">
        <v>16</v>
      </c>
      <c r="Q677">
        <v>138.62832699619773</v>
      </c>
      <c r="R677">
        <f ca="1">YEAR(TODAY())-Table1[[#This Row],[Year Built]]</f>
        <v>63</v>
      </c>
      <c r="S677" t="str">
        <f>IF(Table1[[#This Row],[Days on Market]] &lt; 30,"Fast",IF(Table1[[#This Row],[Days on Market]]&lt;= 90,"Average", "Slow"))</f>
        <v>Fast</v>
      </c>
      <c r="T677" t="str">
        <f>IF(Table1[[#This Row],[Price2]]&lt;500000,"Affordable",IF(Table1[[#This Row],[Price2]]&lt;1000000,"Mid range","Luxury"))</f>
        <v>Affordable</v>
      </c>
    </row>
    <row r="678" spans="1:20" x14ac:dyDescent="0.35">
      <c r="A678" s="3">
        <v>437818</v>
      </c>
      <c r="B678" s="2" t="s">
        <v>17</v>
      </c>
      <c r="C678">
        <v>65816</v>
      </c>
      <c r="D678" s="2" t="s">
        <v>23</v>
      </c>
      <c r="E678">
        <v>2</v>
      </c>
      <c r="F678">
        <v>4</v>
      </c>
      <c r="G678" s="4">
        <f>VALUE(SUBSTITUTE(SUBSTITUTE(Table1[[#This Row],[Price]],"$",""),",",""))</f>
        <v>437818</v>
      </c>
      <c r="H678" s="1">
        <f>Table1[[#This Row],[Price2]]/Table1[[#This Row],[Area]]</f>
        <v>143.68821791926484</v>
      </c>
      <c r="I678">
        <v>3047</v>
      </c>
      <c r="J678">
        <v>1980</v>
      </c>
      <c r="K678">
        <v>29</v>
      </c>
      <c r="L678" t="s">
        <v>40</v>
      </c>
      <c r="M678" t="s">
        <v>1332</v>
      </c>
      <c r="N678" s="2" t="s">
        <v>3027</v>
      </c>
      <c r="O678" t="s">
        <v>3028</v>
      </c>
      <c r="P678" t="s">
        <v>21</v>
      </c>
      <c r="Q678">
        <v>143.68821791926484</v>
      </c>
      <c r="R678">
        <f ca="1">YEAR(TODAY())-Table1[[#This Row],[Year Built]]</f>
        <v>46</v>
      </c>
      <c r="S678" t="str">
        <f>IF(Table1[[#This Row],[Days on Market]] &lt; 30,"Fast",IF(Table1[[#This Row],[Days on Market]]&lt;= 90,"Average", "Slow"))</f>
        <v>Fast</v>
      </c>
      <c r="T678" t="str">
        <f>IF(Table1[[#This Row],[Price2]]&lt;500000,"Affordable",IF(Table1[[#This Row],[Price2]]&lt;1000000,"Mid range","Luxury"))</f>
        <v>Affordable</v>
      </c>
    </row>
    <row r="679" spans="1:20" x14ac:dyDescent="0.35">
      <c r="A679" s="3">
        <v>438301</v>
      </c>
      <c r="B679" s="2" t="s">
        <v>34</v>
      </c>
      <c r="C679">
        <v>46345</v>
      </c>
      <c r="D679" s="2" t="s">
        <v>23</v>
      </c>
      <c r="E679">
        <v>2</v>
      </c>
      <c r="F679">
        <v>3</v>
      </c>
      <c r="G679" s="4">
        <f>VALUE(SUBSTITUTE(SUBSTITUTE(Table1[[#This Row],[Price]],"$",""),",",""))</f>
        <v>438301</v>
      </c>
      <c r="H679" s="1">
        <f>Table1[[#This Row],[Price2]]/Table1[[#This Row],[Area]]</f>
        <v>163.66728902165795</v>
      </c>
      <c r="I679">
        <v>2678</v>
      </c>
      <c r="J679">
        <v>2020</v>
      </c>
      <c r="K679">
        <v>93</v>
      </c>
      <c r="L679" t="s">
        <v>40</v>
      </c>
      <c r="M679" t="s">
        <v>1497</v>
      </c>
      <c r="N679" s="2" t="s">
        <v>3027</v>
      </c>
      <c r="O679" t="s">
        <v>3028</v>
      </c>
      <c r="P679" t="s">
        <v>16</v>
      </c>
      <c r="Q679">
        <v>163.66728902165795</v>
      </c>
      <c r="R679">
        <f ca="1">YEAR(TODAY())-Table1[[#This Row],[Year Built]]</f>
        <v>6</v>
      </c>
      <c r="S679" t="str">
        <f>IF(Table1[[#This Row],[Days on Market]] &lt; 30,"Fast",IF(Table1[[#This Row],[Days on Market]]&lt;= 90,"Average", "Slow"))</f>
        <v>Slow</v>
      </c>
      <c r="T679" t="str">
        <f>IF(Table1[[#This Row],[Price2]]&lt;500000,"Affordable",IF(Table1[[#This Row],[Price2]]&lt;1000000,"Mid range","Luxury"))</f>
        <v>Affordable</v>
      </c>
    </row>
    <row r="680" spans="1:20" x14ac:dyDescent="0.35">
      <c r="A680" s="3">
        <v>438591</v>
      </c>
      <c r="B680" s="2" t="s">
        <v>22</v>
      </c>
      <c r="C680">
        <v>60095</v>
      </c>
      <c r="D680" s="2" t="s">
        <v>13</v>
      </c>
      <c r="E680">
        <v>1</v>
      </c>
      <c r="F680">
        <v>2</v>
      </c>
      <c r="G680" s="4">
        <f>VALUE(SUBSTITUTE(SUBSTITUTE(Table1[[#This Row],[Price]],"$",""),",",""))</f>
        <v>438591</v>
      </c>
      <c r="H680" s="1">
        <f>Table1[[#This Row],[Price2]]/Table1[[#This Row],[Area]]</f>
        <v>161.00991189427313</v>
      </c>
      <c r="I680">
        <v>2724</v>
      </c>
      <c r="J680">
        <v>1971</v>
      </c>
      <c r="K680">
        <v>110</v>
      </c>
      <c r="L680" t="s">
        <v>40</v>
      </c>
      <c r="M680" t="s">
        <v>1940</v>
      </c>
      <c r="N680" s="2" t="s">
        <v>3027</v>
      </c>
      <c r="O680" t="s">
        <v>3028</v>
      </c>
      <c r="P680" t="s">
        <v>16</v>
      </c>
      <c r="Q680">
        <v>161.00991189427313</v>
      </c>
      <c r="R680">
        <f ca="1">YEAR(TODAY())-Table1[[#This Row],[Year Built]]</f>
        <v>55</v>
      </c>
      <c r="S680" t="str">
        <f>IF(Table1[[#This Row],[Days on Market]] &lt; 30,"Fast",IF(Table1[[#This Row],[Days on Market]]&lt;= 90,"Average", "Slow"))</f>
        <v>Slow</v>
      </c>
      <c r="T680" t="str">
        <f>IF(Table1[[#This Row],[Price2]]&lt;500000,"Affordable",IF(Table1[[#This Row],[Price2]]&lt;1000000,"Mid range","Luxury"))</f>
        <v>Affordable</v>
      </c>
    </row>
    <row r="681" spans="1:20" x14ac:dyDescent="0.35">
      <c r="A681" s="3">
        <v>439407</v>
      </c>
      <c r="B681" s="2" t="s">
        <v>34</v>
      </c>
      <c r="C681">
        <v>97204</v>
      </c>
      <c r="D681" s="2" t="s">
        <v>18</v>
      </c>
      <c r="E681">
        <v>2</v>
      </c>
      <c r="F681">
        <v>4</v>
      </c>
      <c r="G681" s="4">
        <f>VALUE(SUBSTITUTE(SUBSTITUTE(Table1[[#This Row],[Price]],"$",""),",",""))</f>
        <v>439407</v>
      </c>
      <c r="H681" s="1">
        <f>Table1[[#This Row],[Price2]]/Table1[[#This Row],[Area]]</f>
        <v>157.15557939914163</v>
      </c>
      <c r="I681">
        <v>2796</v>
      </c>
      <c r="J681">
        <v>1969</v>
      </c>
      <c r="K681">
        <v>15</v>
      </c>
      <c r="L681" t="s">
        <v>19</v>
      </c>
      <c r="M681" t="s">
        <v>142</v>
      </c>
      <c r="N681" s="2" t="s">
        <v>3027</v>
      </c>
      <c r="O681" t="s">
        <v>3028</v>
      </c>
      <c r="P681" t="s">
        <v>21</v>
      </c>
      <c r="Q681">
        <v>157.15557939914163</v>
      </c>
      <c r="R681">
        <f ca="1">YEAR(TODAY())-Table1[[#This Row],[Year Built]]</f>
        <v>57</v>
      </c>
      <c r="S681" t="str">
        <f>IF(Table1[[#This Row],[Days on Market]] &lt; 30,"Fast",IF(Table1[[#This Row],[Days on Market]]&lt;= 90,"Average", "Slow"))</f>
        <v>Fast</v>
      </c>
      <c r="T681" t="str">
        <f>IF(Table1[[#This Row],[Price2]]&lt;500000,"Affordable",IF(Table1[[#This Row],[Price2]]&lt;1000000,"Mid range","Luxury"))</f>
        <v>Affordable</v>
      </c>
    </row>
    <row r="682" spans="1:20" x14ac:dyDescent="0.35">
      <c r="A682" s="3">
        <v>440689</v>
      </c>
      <c r="B682" s="2" t="s">
        <v>34</v>
      </c>
      <c r="C682">
        <v>18857</v>
      </c>
      <c r="D682" s="2" t="s">
        <v>13</v>
      </c>
      <c r="E682">
        <v>1</v>
      </c>
      <c r="F682">
        <v>1</v>
      </c>
      <c r="G682" s="4">
        <f>VALUE(SUBSTITUTE(SUBSTITUTE(Table1[[#This Row],[Price]],"$",""),",",""))</f>
        <v>440689</v>
      </c>
      <c r="H682" s="1">
        <f>Table1[[#This Row],[Price2]]/Table1[[#This Row],[Area]]</f>
        <v>287.65600522193211</v>
      </c>
      <c r="I682">
        <v>1532</v>
      </c>
      <c r="J682">
        <v>1981</v>
      </c>
      <c r="K682">
        <v>32</v>
      </c>
      <c r="L682" t="s">
        <v>40</v>
      </c>
      <c r="M682" t="s">
        <v>700</v>
      </c>
      <c r="N682" s="2" t="s">
        <v>3031</v>
      </c>
      <c r="O682" t="s">
        <v>3032</v>
      </c>
      <c r="P682" t="s">
        <v>16</v>
      </c>
      <c r="Q682">
        <v>287.65600522193211</v>
      </c>
      <c r="R682">
        <f ca="1">YEAR(TODAY())-Table1[[#This Row],[Year Built]]</f>
        <v>45</v>
      </c>
      <c r="S682" t="str">
        <f>IF(Table1[[#This Row],[Days on Market]] &lt; 30,"Fast",IF(Table1[[#This Row],[Days on Market]]&lt;= 90,"Average", "Slow"))</f>
        <v>Average</v>
      </c>
      <c r="T682" t="str">
        <f>IF(Table1[[#This Row],[Price2]]&lt;500000,"Affordable",IF(Table1[[#This Row],[Price2]]&lt;1000000,"Mid range","Luxury"))</f>
        <v>Affordable</v>
      </c>
    </row>
    <row r="683" spans="1:20" x14ac:dyDescent="0.35">
      <c r="A683" s="3">
        <v>441126</v>
      </c>
      <c r="B683" s="2" t="s">
        <v>17</v>
      </c>
      <c r="C683">
        <v>87777</v>
      </c>
      <c r="D683" s="2" t="s">
        <v>18</v>
      </c>
      <c r="E683">
        <v>3</v>
      </c>
      <c r="F683">
        <v>4</v>
      </c>
      <c r="G683" s="4">
        <f>VALUE(SUBSTITUTE(SUBSTITUTE(Table1[[#This Row],[Price]],"$",""),",",""))</f>
        <v>441126</v>
      </c>
      <c r="H683" s="1">
        <f>Table1[[#This Row],[Price2]]/Table1[[#This Row],[Area]]</f>
        <v>118.04281509232004</v>
      </c>
      <c r="I683">
        <v>3737</v>
      </c>
      <c r="J683">
        <v>1968</v>
      </c>
      <c r="K683">
        <v>109</v>
      </c>
      <c r="L683" t="s">
        <v>14</v>
      </c>
      <c r="M683" t="s">
        <v>2600</v>
      </c>
      <c r="N683" s="2" t="s">
        <v>3027</v>
      </c>
      <c r="O683" t="s">
        <v>3028</v>
      </c>
      <c r="P683" t="s">
        <v>21</v>
      </c>
      <c r="Q683">
        <v>118.04281509232004</v>
      </c>
      <c r="R683">
        <f ca="1">YEAR(TODAY())-Table1[[#This Row],[Year Built]]</f>
        <v>58</v>
      </c>
      <c r="S683" t="str">
        <f>IF(Table1[[#This Row],[Days on Market]] &lt; 30,"Fast",IF(Table1[[#This Row],[Days on Market]]&lt;= 90,"Average", "Slow"))</f>
        <v>Slow</v>
      </c>
      <c r="T683" t="str">
        <f>IF(Table1[[#This Row],[Price2]]&lt;500000,"Affordable",IF(Table1[[#This Row],[Price2]]&lt;1000000,"Mid range","Luxury"))</f>
        <v>Affordable</v>
      </c>
    </row>
    <row r="684" spans="1:20" x14ac:dyDescent="0.35">
      <c r="A684" s="3">
        <v>441645</v>
      </c>
      <c r="B684" s="2" t="s">
        <v>12</v>
      </c>
      <c r="C684">
        <v>32946</v>
      </c>
      <c r="D684" s="2" t="s">
        <v>13</v>
      </c>
      <c r="E684">
        <v>2</v>
      </c>
      <c r="F684">
        <v>1</v>
      </c>
      <c r="G684" s="4">
        <f>VALUE(SUBSTITUTE(SUBSTITUTE(Table1[[#This Row],[Price]],"$",""),",",""))</f>
        <v>441645</v>
      </c>
      <c r="H684" s="1">
        <f>Table1[[#This Row],[Price2]]/Table1[[#This Row],[Area]]</f>
        <v>118.30833110099115</v>
      </c>
      <c r="I684">
        <v>3733</v>
      </c>
      <c r="J684">
        <v>1960</v>
      </c>
      <c r="K684">
        <v>114</v>
      </c>
      <c r="L684" t="s">
        <v>40</v>
      </c>
      <c r="M684" t="s">
        <v>166</v>
      </c>
      <c r="N684" s="2" t="s">
        <v>3033</v>
      </c>
      <c r="O684" t="s">
        <v>3034</v>
      </c>
      <c r="P684" t="s">
        <v>21</v>
      </c>
      <c r="Q684">
        <v>118.30833110099115</v>
      </c>
      <c r="R684">
        <f ca="1">YEAR(TODAY())-Table1[[#This Row],[Year Built]]</f>
        <v>66</v>
      </c>
      <c r="S684" t="str">
        <f>IF(Table1[[#This Row],[Days on Market]] &lt; 30,"Fast",IF(Table1[[#This Row],[Days on Market]]&lt;= 90,"Average", "Slow"))</f>
        <v>Slow</v>
      </c>
      <c r="T684" t="str">
        <f>IF(Table1[[#This Row],[Price2]]&lt;500000,"Affordable",IF(Table1[[#This Row],[Price2]]&lt;1000000,"Mid range","Luxury"))</f>
        <v>Affordable</v>
      </c>
    </row>
    <row r="685" spans="1:20" x14ac:dyDescent="0.35">
      <c r="A685" s="3">
        <v>442170</v>
      </c>
      <c r="B685" s="2" t="s">
        <v>34</v>
      </c>
      <c r="C685">
        <v>63085</v>
      </c>
      <c r="D685" s="2" t="s">
        <v>13</v>
      </c>
      <c r="E685">
        <v>6</v>
      </c>
      <c r="F685">
        <v>4</v>
      </c>
      <c r="G685" s="4">
        <f>VALUE(SUBSTITUTE(SUBSTITUTE(Table1[[#This Row],[Price]],"$",""),",",""))</f>
        <v>442170</v>
      </c>
      <c r="H685" s="1">
        <f>Table1[[#This Row],[Price2]]/Table1[[#This Row],[Area]]</f>
        <v>268.46994535519127</v>
      </c>
      <c r="I685">
        <v>1647</v>
      </c>
      <c r="J685">
        <v>2008</v>
      </c>
      <c r="K685">
        <v>52</v>
      </c>
      <c r="L685" t="s">
        <v>19</v>
      </c>
      <c r="M685" t="s">
        <v>102</v>
      </c>
      <c r="N685" s="2" t="s">
        <v>3035</v>
      </c>
      <c r="O685" t="s">
        <v>3036</v>
      </c>
      <c r="P685" t="s">
        <v>21</v>
      </c>
      <c r="Q685">
        <v>268.46994535519127</v>
      </c>
      <c r="R685">
        <f ca="1">YEAR(TODAY())-Table1[[#This Row],[Year Built]]</f>
        <v>18</v>
      </c>
      <c r="S685" t="str">
        <f>IF(Table1[[#This Row],[Days on Market]] &lt; 30,"Fast",IF(Table1[[#This Row],[Days on Market]]&lt;= 90,"Average", "Slow"))</f>
        <v>Average</v>
      </c>
      <c r="T685" t="str">
        <f>IF(Table1[[#This Row],[Price2]]&lt;500000,"Affordable",IF(Table1[[#This Row],[Price2]]&lt;1000000,"Mid range","Luxury"))</f>
        <v>Affordable</v>
      </c>
    </row>
    <row r="686" spans="1:20" x14ac:dyDescent="0.35">
      <c r="A686" s="3">
        <v>442260</v>
      </c>
      <c r="B686" s="2" t="s">
        <v>27</v>
      </c>
      <c r="C686">
        <v>70928</v>
      </c>
      <c r="D686" s="2" t="s">
        <v>23</v>
      </c>
      <c r="E686">
        <v>1</v>
      </c>
      <c r="F686">
        <v>2</v>
      </c>
      <c r="G686" s="4">
        <f>VALUE(SUBSTITUTE(SUBSTITUTE(Table1[[#This Row],[Price]],"$",""),",",""))</f>
        <v>442260</v>
      </c>
      <c r="H686" s="1">
        <f>Table1[[#This Row],[Price2]]/Table1[[#This Row],[Area]]</f>
        <v>251.14139693356049</v>
      </c>
      <c r="I686">
        <v>1761</v>
      </c>
      <c r="J686">
        <v>1976</v>
      </c>
      <c r="K686">
        <v>74</v>
      </c>
      <c r="L686" t="s">
        <v>14</v>
      </c>
      <c r="M686" t="s">
        <v>885</v>
      </c>
      <c r="N686" s="2" t="s">
        <v>3035</v>
      </c>
      <c r="O686" t="s">
        <v>3036</v>
      </c>
      <c r="P686" t="s">
        <v>16</v>
      </c>
      <c r="Q686">
        <v>251.14139693356049</v>
      </c>
      <c r="R686">
        <f ca="1">YEAR(TODAY())-Table1[[#This Row],[Year Built]]</f>
        <v>50</v>
      </c>
      <c r="S686" t="str">
        <f>IF(Table1[[#This Row],[Days on Market]] &lt; 30,"Fast",IF(Table1[[#This Row],[Days on Market]]&lt;= 90,"Average", "Slow"))</f>
        <v>Average</v>
      </c>
      <c r="T686" t="str">
        <f>IF(Table1[[#This Row],[Price2]]&lt;500000,"Affordable",IF(Table1[[#This Row],[Price2]]&lt;1000000,"Mid range","Luxury"))</f>
        <v>Affordable</v>
      </c>
    </row>
    <row r="687" spans="1:20" x14ac:dyDescent="0.35">
      <c r="A687" s="3">
        <v>442330</v>
      </c>
      <c r="B687" s="2" t="s">
        <v>34</v>
      </c>
      <c r="C687">
        <v>36990</v>
      </c>
      <c r="D687" s="2" t="s">
        <v>23</v>
      </c>
      <c r="E687">
        <v>5</v>
      </c>
      <c r="F687">
        <v>2</v>
      </c>
      <c r="G687" s="4">
        <f>VALUE(SUBSTITUTE(SUBSTITUTE(Table1[[#This Row],[Price]],"$",""),",",""))</f>
        <v>442330</v>
      </c>
      <c r="H687" s="1">
        <f>Table1[[#This Row],[Price2]]/Table1[[#This Row],[Area]]</f>
        <v>197.73357174787662</v>
      </c>
      <c r="I687">
        <v>2237</v>
      </c>
      <c r="J687">
        <v>2016</v>
      </c>
      <c r="K687">
        <v>50</v>
      </c>
      <c r="L687" t="s">
        <v>30</v>
      </c>
      <c r="M687" t="s">
        <v>2331</v>
      </c>
      <c r="N687" s="2" t="s">
        <v>3033</v>
      </c>
      <c r="O687" t="s">
        <v>3034</v>
      </c>
      <c r="P687" t="s">
        <v>26</v>
      </c>
      <c r="Q687">
        <v>197.73357174787662</v>
      </c>
      <c r="R687">
        <f ca="1">YEAR(TODAY())-Table1[[#This Row],[Year Built]]</f>
        <v>10</v>
      </c>
      <c r="S687" t="str">
        <f>IF(Table1[[#This Row],[Days on Market]] &lt; 30,"Fast",IF(Table1[[#This Row],[Days on Market]]&lt;= 90,"Average", "Slow"))</f>
        <v>Average</v>
      </c>
      <c r="T687" t="str">
        <f>IF(Table1[[#This Row],[Price2]]&lt;500000,"Affordable",IF(Table1[[#This Row],[Price2]]&lt;1000000,"Mid range","Luxury"))</f>
        <v>Affordable</v>
      </c>
    </row>
    <row r="688" spans="1:20" x14ac:dyDescent="0.35">
      <c r="A688" s="3">
        <v>443507</v>
      </c>
      <c r="B688" s="2" t="s">
        <v>17</v>
      </c>
      <c r="C688">
        <v>79704</v>
      </c>
      <c r="D688" s="2" t="s">
        <v>35</v>
      </c>
      <c r="E688">
        <v>2</v>
      </c>
      <c r="F688">
        <v>1</v>
      </c>
      <c r="G688" s="4">
        <f>VALUE(SUBSTITUTE(SUBSTITUTE(Table1[[#This Row],[Price]],"$",""),",",""))</f>
        <v>443507</v>
      </c>
      <c r="H688" s="1">
        <f>Table1[[#This Row],[Price2]]/Table1[[#This Row],[Area]]</f>
        <v>126.1037816320728</v>
      </c>
      <c r="I688">
        <v>3517</v>
      </c>
      <c r="J688">
        <v>1952</v>
      </c>
      <c r="K688">
        <v>111</v>
      </c>
      <c r="L688" t="s">
        <v>40</v>
      </c>
      <c r="M688" t="s">
        <v>1839</v>
      </c>
      <c r="N688" s="2" t="s">
        <v>3035</v>
      </c>
      <c r="O688" t="s">
        <v>3036</v>
      </c>
      <c r="P688" t="s">
        <v>26</v>
      </c>
      <c r="Q688">
        <v>126.1037816320728</v>
      </c>
      <c r="R688">
        <f ca="1">YEAR(TODAY())-Table1[[#This Row],[Year Built]]</f>
        <v>74</v>
      </c>
      <c r="S688" t="str">
        <f>IF(Table1[[#This Row],[Days on Market]] &lt; 30,"Fast",IF(Table1[[#This Row],[Days on Market]]&lt;= 90,"Average", "Slow"))</f>
        <v>Slow</v>
      </c>
      <c r="T688" t="str">
        <f>IF(Table1[[#This Row],[Price2]]&lt;500000,"Affordable",IF(Table1[[#This Row],[Price2]]&lt;1000000,"Mid range","Luxury"))</f>
        <v>Affordable</v>
      </c>
    </row>
    <row r="689" spans="1:20" x14ac:dyDescent="0.35">
      <c r="A689" s="3">
        <v>444483</v>
      </c>
      <c r="B689" s="2" t="s">
        <v>17</v>
      </c>
      <c r="C689">
        <v>17027</v>
      </c>
      <c r="D689" s="2" t="s">
        <v>18</v>
      </c>
      <c r="E689">
        <v>2</v>
      </c>
      <c r="F689">
        <v>2</v>
      </c>
      <c r="G689" s="4">
        <f>VALUE(SUBSTITUTE(SUBSTITUTE(Table1[[#This Row],[Price]],"$",""),",",""))</f>
        <v>444483</v>
      </c>
      <c r="H689" s="1">
        <f>Table1[[#This Row],[Price2]]/Table1[[#This Row],[Area]]</f>
        <v>332.44801795063574</v>
      </c>
      <c r="I689">
        <v>1337</v>
      </c>
      <c r="J689">
        <v>1953</v>
      </c>
      <c r="K689">
        <v>64</v>
      </c>
      <c r="L689" t="s">
        <v>40</v>
      </c>
      <c r="M689" t="s">
        <v>2492</v>
      </c>
      <c r="N689" s="2" t="s">
        <v>3035</v>
      </c>
      <c r="O689" t="s">
        <v>3036</v>
      </c>
      <c r="P689" t="s">
        <v>21</v>
      </c>
      <c r="Q689">
        <v>332.44801795063574</v>
      </c>
      <c r="R689">
        <f ca="1">YEAR(TODAY())-Table1[[#This Row],[Year Built]]</f>
        <v>73</v>
      </c>
      <c r="S689" t="str">
        <f>IF(Table1[[#This Row],[Days on Market]] &lt; 30,"Fast",IF(Table1[[#This Row],[Days on Market]]&lt;= 90,"Average", "Slow"))</f>
        <v>Average</v>
      </c>
      <c r="T689" t="str">
        <f>IF(Table1[[#This Row],[Price2]]&lt;500000,"Affordable",IF(Table1[[#This Row],[Price2]]&lt;1000000,"Mid range","Luxury"))</f>
        <v>Affordable</v>
      </c>
    </row>
    <row r="690" spans="1:20" x14ac:dyDescent="0.35">
      <c r="A690" s="3">
        <v>444640</v>
      </c>
      <c r="B690" s="2" t="s">
        <v>12</v>
      </c>
      <c r="C690">
        <v>58326</v>
      </c>
      <c r="D690" s="2" t="s">
        <v>13</v>
      </c>
      <c r="E690">
        <v>6</v>
      </c>
      <c r="F690">
        <v>2</v>
      </c>
      <c r="G690" s="4">
        <f>VALUE(SUBSTITUTE(SUBSTITUTE(Table1[[#This Row],[Price]],"$",""),",",""))</f>
        <v>444640</v>
      </c>
      <c r="H690" s="1">
        <f>Table1[[#This Row],[Price2]]/Table1[[#This Row],[Area]]</f>
        <v>259.41656942823806</v>
      </c>
      <c r="I690">
        <v>1714</v>
      </c>
      <c r="J690">
        <v>1962</v>
      </c>
      <c r="K690">
        <v>107</v>
      </c>
      <c r="L690" t="s">
        <v>52</v>
      </c>
      <c r="M690" t="s">
        <v>1981</v>
      </c>
      <c r="N690" s="2" t="s">
        <v>3033</v>
      </c>
      <c r="O690" t="s">
        <v>3034</v>
      </c>
      <c r="P690" t="s">
        <v>26</v>
      </c>
      <c r="Q690">
        <v>259.41656942823806</v>
      </c>
      <c r="R690">
        <f ca="1">YEAR(TODAY())-Table1[[#This Row],[Year Built]]</f>
        <v>64</v>
      </c>
      <c r="S690" t="str">
        <f>IF(Table1[[#This Row],[Days on Market]] &lt; 30,"Fast",IF(Table1[[#This Row],[Days on Market]]&lt;= 90,"Average", "Slow"))</f>
        <v>Slow</v>
      </c>
      <c r="T690" t="str">
        <f>IF(Table1[[#This Row],[Price2]]&lt;500000,"Affordable",IF(Table1[[#This Row],[Price2]]&lt;1000000,"Mid range","Luxury"))</f>
        <v>Affordable</v>
      </c>
    </row>
    <row r="691" spans="1:20" x14ac:dyDescent="0.35">
      <c r="A691" s="3">
        <v>444833</v>
      </c>
      <c r="B691" s="2" t="s">
        <v>22</v>
      </c>
      <c r="C691">
        <v>27878</v>
      </c>
      <c r="D691" s="2" t="s">
        <v>23</v>
      </c>
      <c r="E691">
        <v>2</v>
      </c>
      <c r="F691">
        <v>4</v>
      </c>
      <c r="G691" s="4">
        <f>VALUE(SUBSTITUTE(SUBSTITUTE(Table1[[#This Row],[Price]],"$",""),",",""))</f>
        <v>444833</v>
      </c>
      <c r="H691" s="1">
        <f>Table1[[#This Row],[Price2]]/Table1[[#This Row],[Area]]</f>
        <v>156.63133802816901</v>
      </c>
      <c r="I691">
        <v>2840</v>
      </c>
      <c r="J691">
        <v>1997</v>
      </c>
      <c r="K691">
        <v>51</v>
      </c>
      <c r="L691" t="s">
        <v>52</v>
      </c>
      <c r="M691" t="s">
        <v>2946</v>
      </c>
      <c r="N691" s="2" t="s">
        <v>3033</v>
      </c>
      <c r="O691" t="s">
        <v>3034</v>
      </c>
      <c r="P691" t="s">
        <v>26</v>
      </c>
      <c r="Q691">
        <v>156.63133802816901</v>
      </c>
      <c r="R691">
        <f ca="1">YEAR(TODAY())-Table1[[#This Row],[Year Built]]</f>
        <v>29</v>
      </c>
      <c r="S691" t="str">
        <f>IF(Table1[[#This Row],[Days on Market]] &lt; 30,"Fast",IF(Table1[[#This Row],[Days on Market]]&lt;= 90,"Average", "Slow"))</f>
        <v>Average</v>
      </c>
      <c r="T691" t="str">
        <f>IF(Table1[[#This Row],[Price2]]&lt;500000,"Affordable",IF(Table1[[#This Row],[Price2]]&lt;1000000,"Mid range","Luxury"))</f>
        <v>Affordable</v>
      </c>
    </row>
    <row r="692" spans="1:20" x14ac:dyDescent="0.35">
      <c r="A692" s="3">
        <v>444950</v>
      </c>
      <c r="B692" s="2" t="s">
        <v>12</v>
      </c>
      <c r="C692">
        <v>89979</v>
      </c>
      <c r="D692" s="2" t="s">
        <v>23</v>
      </c>
      <c r="E692">
        <v>6</v>
      </c>
      <c r="F692">
        <v>3</v>
      </c>
      <c r="G692" s="4">
        <f>VALUE(SUBSTITUTE(SUBSTITUTE(Table1[[#This Row],[Price]],"$",""),",",""))</f>
        <v>444950</v>
      </c>
      <c r="H692" s="1">
        <f>Table1[[#This Row],[Price2]]/Table1[[#This Row],[Area]]</f>
        <v>695.234375</v>
      </c>
      <c r="I692">
        <v>640</v>
      </c>
      <c r="J692">
        <v>1958</v>
      </c>
      <c r="K692">
        <v>114</v>
      </c>
      <c r="L692" t="s">
        <v>40</v>
      </c>
      <c r="M692" t="s">
        <v>2640</v>
      </c>
      <c r="N692" s="2" t="s">
        <v>3029</v>
      </c>
      <c r="O692" t="s">
        <v>3030</v>
      </c>
      <c r="P692" t="s">
        <v>16</v>
      </c>
      <c r="Q692">
        <v>695.234375</v>
      </c>
      <c r="R692">
        <f ca="1">YEAR(TODAY())-Table1[[#This Row],[Year Built]]</f>
        <v>68</v>
      </c>
      <c r="S692" t="str">
        <f>IF(Table1[[#This Row],[Days on Market]] &lt; 30,"Fast",IF(Table1[[#This Row],[Days on Market]]&lt;= 90,"Average", "Slow"))</f>
        <v>Slow</v>
      </c>
      <c r="T692" t="str">
        <f>IF(Table1[[#This Row],[Price2]]&lt;500000,"Affordable",IF(Table1[[#This Row],[Price2]]&lt;1000000,"Mid range","Luxury"))</f>
        <v>Affordable</v>
      </c>
    </row>
    <row r="693" spans="1:20" x14ac:dyDescent="0.35">
      <c r="A693" s="3">
        <v>445101</v>
      </c>
      <c r="B693" s="2" t="s">
        <v>27</v>
      </c>
      <c r="C693">
        <v>52810</v>
      </c>
      <c r="D693" s="2" t="s">
        <v>13</v>
      </c>
      <c r="E693">
        <v>6</v>
      </c>
      <c r="F693">
        <v>3</v>
      </c>
      <c r="G693" s="4">
        <f>VALUE(SUBSTITUTE(SUBSTITUTE(Table1[[#This Row],[Price]],"$",""),",",""))</f>
        <v>445101</v>
      </c>
      <c r="H693" s="1">
        <f>Table1[[#This Row],[Price2]]/Table1[[#This Row],[Area]]</f>
        <v>274.07697044334975</v>
      </c>
      <c r="I693">
        <v>1624</v>
      </c>
      <c r="J693">
        <v>1975</v>
      </c>
      <c r="K693">
        <v>117</v>
      </c>
      <c r="L693" t="s">
        <v>19</v>
      </c>
      <c r="M693" t="s">
        <v>1256</v>
      </c>
      <c r="N693" s="2" t="s">
        <v>3033</v>
      </c>
      <c r="O693" t="s">
        <v>3034</v>
      </c>
      <c r="P693" t="s">
        <v>21</v>
      </c>
      <c r="Q693">
        <v>274.07697044334975</v>
      </c>
      <c r="R693">
        <f ca="1">YEAR(TODAY())-Table1[[#This Row],[Year Built]]</f>
        <v>51</v>
      </c>
      <c r="S693" t="str">
        <f>IF(Table1[[#This Row],[Days on Market]] &lt; 30,"Fast",IF(Table1[[#This Row],[Days on Market]]&lt;= 90,"Average", "Slow"))</f>
        <v>Slow</v>
      </c>
      <c r="T693" t="str">
        <f>IF(Table1[[#This Row],[Price2]]&lt;500000,"Affordable",IF(Table1[[#This Row],[Price2]]&lt;1000000,"Mid range","Luxury"))</f>
        <v>Affordable</v>
      </c>
    </row>
    <row r="694" spans="1:20" x14ac:dyDescent="0.35">
      <c r="A694" s="3">
        <v>445276</v>
      </c>
      <c r="B694" s="2" t="s">
        <v>12</v>
      </c>
      <c r="C694">
        <v>30325</v>
      </c>
      <c r="D694" s="2" t="s">
        <v>29</v>
      </c>
      <c r="E694">
        <v>2</v>
      </c>
      <c r="F694">
        <v>3</v>
      </c>
      <c r="G694" s="4">
        <f>VALUE(SUBSTITUTE(SUBSTITUTE(Table1[[#This Row],[Price]],"$",""),",",""))</f>
        <v>445276</v>
      </c>
      <c r="H694" s="1">
        <f>Table1[[#This Row],[Price2]]/Table1[[#This Row],[Area]]</f>
        <v>160.45981981981981</v>
      </c>
      <c r="I694">
        <v>2775</v>
      </c>
      <c r="J694">
        <v>1958</v>
      </c>
      <c r="K694">
        <v>89</v>
      </c>
      <c r="L694" t="s">
        <v>14</v>
      </c>
      <c r="M694" t="s">
        <v>2691</v>
      </c>
      <c r="N694" s="2" t="s">
        <v>3031</v>
      </c>
      <c r="O694" t="s">
        <v>3032</v>
      </c>
      <c r="P694" t="s">
        <v>21</v>
      </c>
      <c r="Q694">
        <v>160.45981981981981</v>
      </c>
      <c r="R694">
        <f ca="1">YEAR(TODAY())-Table1[[#This Row],[Year Built]]</f>
        <v>68</v>
      </c>
      <c r="S694" t="str">
        <f>IF(Table1[[#This Row],[Days on Market]] &lt; 30,"Fast",IF(Table1[[#This Row],[Days on Market]]&lt;= 90,"Average", "Slow"))</f>
        <v>Average</v>
      </c>
      <c r="T694" t="str">
        <f>IF(Table1[[#This Row],[Price2]]&lt;500000,"Affordable",IF(Table1[[#This Row],[Price2]]&lt;1000000,"Mid range","Luxury"))</f>
        <v>Affordable</v>
      </c>
    </row>
    <row r="695" spans="1:20" x14ac:dyDescent="0.35">
      <c r="A695" s="3">
        <v>446258</v>
      </c>
      <c r="B695" s="2" t="s">
        <v>27</v>
      </c>
      <c r="C695">
        <v>58433</v>
      </c>
      <c r="D695" s="2" t="s">
        <v>29</v>
      </c>
      <c r="E695">
        <v>5</v>
      </c>
      <c r="F695">
        <v>1</v>
      </c>
      <c r="G695" s="4">
        <f>VALUE(SUBSTITUTE(SUBSTITUTE(Table1[[#This Row],[Price]],"$",""),",",""))</f>
        <v>446258</v>
      </c>
      <c r="H695" s="1">
        <f>Table1[[#This Row],[Price2]]/Table1[[#This Row],[Area]]</f>
        <v>431.58413926499031</v>
      </c>
      <c r="I695">
        <v>1034</v>
      </c>
      <c r="J695">
        <v>1973</v>
      </c>
      <c r="K695">
        <v>43</v>
      </c>
      <c r="L695" t="s">
        <v>52</v>
      </c>
      <c r="M695" t="s">
        <v>560</v>
      </c>
      <c r="N695" s="2" t="s">
        <v>3031</v>
      </c>
      <c r="O695" t="s">
        <v>3032</v>
      </c>
      <c r="P695" t="s">
        <v>21</v>
      </c>
      <c r="Q695">
        <v>431.58413926499031</v>
      </c>
      <c r="R695">
        <f ca="1">YEAR(TODAY())-Table1[[#This Row],[Year Built]]</f>
        <v>53</v>
      </c>
      <c r="S695" t="str">
        <f>IF(Table1[[#This Row],[Days on Market]] &lt; 30,"Fast",IF(Table1[[#This Row],[Days on Market]]&lt;= 90,"Average", "Slow"))</f>
        <v>Average</v>
      </c>
      <c r="T695" t="str">
        <f>IF(Table1[[#This Row],[Price2]]&lt;500000,"Affordable",IF(Table1[[#This Row],[Price2]]&lt;1000000,"Mid range","Luxury"))</f>
        <v>Affordable</v>
      </c>
    </row>
    <row r="696" spans="1:20" x14ac:dyDescent="0.35">
      <c r="A696" s="3">
        <v>446490</v>
      </c>
      <c r="B696" s="2" t="s">
        <v>12</v>
      </c>
      <c r="C696">
        <v>81930</v>
      </c>
      <c r="D696" s="2" t="s">
        <v>29</v>
      </c>
      <c r="E696">
        <v>1</v>
      </c>
      <c r="F696">
        <v>4</v>
      </c>
      <c r="G696" s="4">
        <f>VALUE(SUBSTITUTE(SUBSTITUTE(Table1[[#This Row],[Price]],"$",""),",",""))</f>
        <v>446490</v>
      </c>
      <c r="H696" s="1">
        <f>Table1[[#This Row],[Price2]]/Table1[[#This Row],[Area]]</f>
        <v>217.16439688715954</v>
      </c>
      <c r="I696">
        <v>2056</v>
      </c>
      <c r="J696">
        <v>2022</v>
      </c>
      <c r="K696">
        <v>98</v>
      </c>
      <c r="L696" t="s">
        <v>14</v>
      </c>
      <c r="M696" t="s">
        <v>2851</v>
      </c>
      <c r="N696" s="2" t="s">
        <v>3027</v>
      </c>
      <c r="O696" t="s">
        <v>3028</v>
      </c>
      <c r="P696" t="s">
        <v>21</v>
      </c>
      <c r="Q696">
        <v>217.16439688715954</v>
      </c>
      <c r="R696">
        <f ca="1">YEAR(TODAY())-Table1[[#This Row],[Year Built]]</f>
        <v>4</v>
      </c>
      <c r="S696" t="str">
        <f>IF(Table1[[#This Row],[Days on Market]] &lt; 30,"Fast",IF(Table1[[#This Row],[Days on Market]]&lt;= 90,"Average", "Slow"))</f>
        <v>Slow</v>
      </c>
      <c r="T696" t="str">
        <f>IF(Table1[[#This Row],[Price2]]&lt;500000,"Affordable",IF(Table1[[#This Row],[Price2]]&lt;1000000,"Mid range","Luxury"))</f>
        <v>Affordable</v>
      </c>
    </row>
    <row r="697" spans="1:20" x14ac:dyDescent="0.35">
      <c r="A697" s="3">
        <v>446674</v>
      </c>
      <c r="B697" s="2" t="s">
        <v>27</v>
      </c>
      <c r="C697">
        <v>98485</v>
      </c>
      <c r="D697" s="2" t="s">
        <v>23</v>
      </c>
      <c r="E697">
        <v>3</v>
      </c>
      <c r="F697">
        <v>3</v>
      </c>
      <c r="G697" s="4">
        <f>VALUE(SUBSTITUTE(SUBSTITUTE(Table1[[#This Row],[Price]],"$",""),",",""))</f>
        <v>446674</v>
      </c>
      <c r="H697" s="1">
        <f>Table1[[#This Row],[Price2]]/Table1[[#This Row],[Area]]</f>
        <v>181.57479674796747</v>
      </c>
      <c r="I697">
        <v>2460</v>
      </c>
      <c r="J697">
        <v>1974</v>
      </c>
      <c r="K697">
        <v>4</v>
      </c>
      <c r="L697" t="s">
        <v>52</v>
      </c>
      <c r="M697" t="s">
        <v>1470</v>
      </c>
      <c r="N697" s="2" t="s">
        <v>3027</v>
      </c>
      <c r="O697" t="s">
        <v>3028</v>
      </c>
      <c r="P697" t="s">
        <v>21</v>
      </c>
      <c r="Q697">
        <v>181.57479674796747</v>
      </c>
      <c r="R697">
        <f ca="1">YEAR(TODAY())-Table1[[#This Row],[Year Built]]</f>
        <v>52</v>
      </c>
      <c r="S697" t="str">
        <f>IF(Table1[[#This Row],[Days on Market]] &lt; 30,"Fast",IF(Table1[[#This Row],[Days on Market]]&lt;= 90,"Average", "Slow"))</f>
        <v>Fast</v>
      </c>
      <c r="T697" t="str">
        <f>IF(Table1[[#This Row],[Price2]]&lt;500000,"Affordable",IF(Table1[[#This Row],[Price2]]&lt;1000000,"Mid range","Luxury"))</f>
        <v>Affordable</v>
      </c>
    </row>
    <row r="698" spans="1:20" x14ac:dyDescent="0.35">
      <c r="A698" s="3">
        <v>446902</v>
      </c>
      <c r="B698" s="2" t="s">
        <v>34</v>
      </c>
      <c r="C698">
        <v>66081</v>
      </c>
      <c r="D698" s="2" t="s">
        <v>35</v>
      </c>
      <c r="E698">
        <v>4</v>
      </c>
      <c r="F698">
        <v>4</v>
      </c>
      <c r="G698" s="4">
        <f>VALUE(SUBSTITUTE(SUBSTITUTE(Table1[[#This Row],[Price]],"$",""),",",""))</f>
        <v>446902</v>
      </c>
      <c r="H698" s="1">
        <f>Table1[[#This Row],[Price2]]/Table1[[#This Row],[Area]]</f>
        <v>271.83819951338199</v>
      </c>
      <c r="I698">
        <v>1644</v>
      </c>
      <c r="J698">
        <v>2022</v>
      </c>
      <c r="K698">
        <v>40</v>
      </c>
      <c r="L698" t="s">
        <v>40</v>
      </c>
      <c r="M698" t="s">
        <v>2128</v>
      </c>
      <c r="N698" s="2" t="s">
        <v>3031</v>
      </c>
      <c r="O698" t="s">
        <v>3032</v>
      </c>
      <c r="P698" t="s">
        <v>21</v>
      </c>
      <c r="Q698">
        <v>271.83819951338199</v>
      </c>
      <c r="R698">
        <f ca="1">YEAR(TODAY())-Table1[[#This Row],[Year Built]]</f>
        <v>4</v>
      </c>
      <c r="S698" t="str">
        <f>IF(Table1[[#This Row],[Days on Market]] &lt; 30,"Fast",IF(Table1[[#This Row],[Days on Market]]&lt;= 90,"Average", "Slow"))</f>
        <v>Average</v>
      </c>
      <c r="T698" t="str">
        <f>IF(Table1[[#This Row],[Price2]]&lt;500000,"Affordable",IF(Table1[[#This Row],[Price2]]&lt;1000000,"Mid range","Luxury"))</f>
        <v>Affordable</v>
      </c>
    </row>
    <row r="699" spans="1:20" x14ac:dyDescent="0.35">
      <c r="A699" s="3">
        <v>447706</v>
      </c>
      <c r="B699" s="2" t="s">
        <v>34</v>
      </c>
      <c r="C699">
        <v>79435</v>
      </c>
      <c r="D699" s="2" t="s">
        <v>18</v>
      </c>
      <c r="E699">
        <v>3</v>
      </c>
      <c r="F699">
        <v>2</v>
      </c>
      <c r="G699" s="4">
        <f>VALUE(SUBSTITUTE(SUBSTITUTE(Table1[[#This Row],[Price]],"$",""),",",""))</f>
        <v>447706</v>
      </c>
      <c r="H699" s="1">
        <f>Table1[[#This Row],[Price2]]/Table1[[#This Row],[Area]]</f>
        <v>445.0357852882704</v>
      </c>
      <c r="I699">
        <v>1006</v>
      </c>
      <c r="J699">
        <v>2010</v>
      </c>
      <c r="K699">
        <v>83</v>
      </c>
      <c r="L699" t="s">
        <v>52</v>
      </c>
      <c r="M699" t="s">
        <v>1566</v>
      </c>
      <c r="N699" s="2" t="s">
        <v>3031</v>
      </c>
      <c r="O699" t="s">
        <v>3032</v>
      </c>
      <c r="P699" t="s">
        <v>26</v>
      </c>
      <c r="Q699">
        <v>445.0357852882704</v>
      </c>
      <c r="R699">
        <f ca="1">YEAR(TODAY())-Table1[[#This Row],[Year Built]]</f>
        <v>16</v>
      </c>
      <c r="S699" t="str">
        <f>IF(Table1[[#This Row],[Days on Market]] &lt; 30,"Fast",IF(Table1[[#This Row],[Days on Market]]&lt;= 90,"Average", "Slow"))</f>
        <v>Average</v>
      </c>
      <c r="T699" t="str">
        <f>IF(Table1[[#This Row],[Price2]]&lt;500000,"Affordable",IF(Table1[[#This Row],[Price2]]&lt;1000000,"Mid range","Luxury"))</f>
        <v>Affordable</v>
      </c>
    </row>
    <row r="700" spans="1:20" x14ac:dyDescent="0.35">
      <c r="A700" s="3">
        <v>449307</v>
      </c>
      <c r="B700" s="2" t="s">
        <v>27</v>
      </c>
      <c r="C700">
        <v>69470</v>
      </c>
      <c r="D700" s="2" t="s">
        <v>29</v>
      </c>
      <c r="E700">
        <v>3</v>
      </c>
      <c r="F700">
        <v>3</v>
      </c>
      <c r="G700" s="4">
        <f>VALUE(SUBSTITUTE(SUBSTITUTE(Table1[[#This Row],[Price]],"$",""),",",""))</f>
        <v>449307</v>
      </c>
      <c r="H700" s="1">
        <f>Table1[[#This Row],[Price2]]/Table1[[#This Row],[Area]]</f>
        <v>151.84420412301452</v>
      </c>
      <c r="I700">
        <v>2959</v>
      </c>
      <c r="J700">
        <v>2023</v>
      </c>
      <c r="K700">
        <v>88</v>
      </c>
      <c r="L700" t="s">
        <v>30</v>
      </c>
      <c r="M700" t="s">
        <v>2141</v>
      </c>
      <c r="N700" s="2" t="s">
        <v>3027</v>
      </c>
      <c r="O700" t="s">
        <v>3028</v>
      </c>
      <c r="P700" t="s">
        <v>26</v>
      </c>
      <c r="Q700">
        <v>151.84420412301452</v>
      </c>
      <c r="R700">
        <f ca="1">YEAR(TODAY())-Table1[[#This Row],[Year Built]]</f>
        <v>3</v>
      </c>
      <c r="S700" t="str">
        <f>IF(Table1[[#This Row],[Days on Market]] &lt; 30,"Fast",IF(Table1[[#This Row],[Days on Market]]&lt;= 90,"Average", "Slow"))</f>
        <v>Average</v>
      </c>
      <c r="T700" t="str">
        <f>IF(Table1[[#This Row],[Price2]]&lt;500000,"Affordable",IF(Table1[[#This Row],[Price2]]&lt;1000000,"Mid range","Luxury"))</f>
        <v>Affordable</v>
      </c>
    </row>
    <row r="701" spans="1:20" x14ac:dyDescent="0.35">
      <c r="A701" s="3">
        <v>449429</v>
      </c>
      <c r="B701" s="2" t="s">
        <v>22</v>
      </c>
      <c r="C701">
        <v>14444</v>
      </c>
      <c r="D701" s="2" t="s">
        <v>29</v>
      </c>
      <c r="E701">
        <v>4</v>
      </c>
      <c r="F701">
        <v>4</v>
      </c>
      <c r="G701" s="4">
        <f>VALUE(SUBSTITUTE(SUBSTITUTE(Table1[[#This Row],[Price]],"$",""),",",""))</f>
        <v>449429</v>
      </c>
      <c r="H701" s="1">
        <f>Table1[[#This Row],[Price2]]/Table1[[#This Row],[Area]]</f>
        <v>250.79743303571428</v>
      </c>
      <c r="I701">
        <v>1792</v>
      </c>
      <c r="J701">
        <v>1975</v>
      </c>
      <c r="K701">
        <v>49</v>
      </c>
      <c r="L701" t="s">
        <v>52</v>
      </c>
      <c r="M701" t="s">
        <v>1373</v>
      </c>
      <c r="N701" s="2" t="s">
        <v>3035</v>
      </c>
      <c r="O701" t="s">
        <v>3036</v>
      </c>
      <c r="P701" t="s">
        <v>26</v>
      </c>
      <c r="Q701">
        <v>250.79743303571428</v>
      </c>
      <c r="R701">
        <f ca="1">YEAR(TODAY())-Table1[[#This Row],[Year Built]]</f>
        <v>51</v>
      </c>
      <c r="S701" t="str">
        <f>IF(Table1[[#This Row],[Days on Market]] &lt; 30,"Fast",IF(Table1[[#This Row],[Days on Market]]&lt;= 90,"Average", "Slow"))</f>
        <v>Average</v>
      </c>
      <c r="T701" t="str">
        <f>IF(Table1[[#This Row],[Price2]]&lt;500000,"Affordable",IF(Table1[[#This Row],[Price2]]&lt;1000000,"Mid range","Luxury"))</f>
        <v>Affordable</v>
      </c>
    </row>
    <row r="702" spans="1:20" x14ac:dyDescent="0.35">
      <c r="A702" s="3">
        <v>450515</v>
      </c>
      <c r="B702" s="2" t="s">
        <v>12</v>
      </c>
      <c r="C702">
        <v>56617</v>
      </c>
      <c r="D702" s="2" t="s">
        <v>29</v>
      </c>
      <c r="E702">
        <v>3</v>
      </c>
      <c r="F702">
        <v>4</v>
      </c>
      <c r="G702" s="4">
        <f>VALUE(SUBSTITUTE(SUBSTITUTE(Table1[[#This Row],[Price]],"$",""),",",""))</f>
        <v>450515</v>
      </c>
      <c r="H702" s="1">
        <f>Table1[[#This Row],[Price2]]/Table1[[#This Row],[Area]]</f>
        <v>148.19572368421052</v>
      </c>
      <c r="I702">
        <v>3040</v>
      </c>
      <c r="J702">
        <v>1965</v>
      </c>
      <c r="K702">
        <v>73</v>
      </c>
      <c r="L702" t="s">
        <v>14</v>
      </c>
      <c r="M702" t="s">
        <v>2280</v>
      </c>
      <c r="N702" s="2" t="s">
        <v>3029</v>
      </c>
      <c r="O702" t="s">
        <v>3030</v>
      </c>
      <c r="P702" t="s">
        <v>26</v>
      </c>
      <c r="Q702">
        <v>148.19572368421052</v>
      </c>
      <c r="R702">
        <f ca="1">YEAR(TODAY())-Table1[[#This Row],[Year Built]]</f>
        <v>61</v>
      </c>
      <c r="S702" t="str">
        <f>IF(Table1[[#This Row],[Days on Market]] &lt; 30,"Fast",IF(Table1[[#This Row],[Days on Market]]&lt;= 90,"Average", "Slow"))</f>
        <v>Average</v>
      </c>
      <c r="T702" t="str">
        <f>IF(Table1[[#This Row],[Price2]]&lt;500000,"Affordable",IF(Table1[[#This Row],[Price2]]&lt;1000000,"Mid range","Luxury"))</f>
        <v>Affordable</v>
      </c>
    </row>
    <row r="703" spans="1:20" x14ac:dyDescent="0.35">
      <c r="A703" s="3">
        <v>450700</v>
      </c>
      <c r="B703" s="2" t="s">
        <v>27</v>
      </c>
      <c r="C703">
        <v>72880</v>
      </c>
      <c r="D703" s="2" t="s">
        <v>35</v>
      </c>
      <c r="E703">
        <v>2</v>
      </c>
      <c r="F703">
        <v>2</v>
      </c>
      <c r="G703" s="4">
        <f>VALUE(SUBSTITUTE(SUBSTITUTE(Table1[[#This Row],[Price]],"$",""),",",""))</f>
        <v>450700</v>
      </c>
      <c r="H703" s="1">
        <f>Table1[[#This Row],[Price2]]/Table1[[#This Row],[Area]]</f>
        <v>402.77033065236816</v>
      </c>
      <c r="I703">
        <v>1119</v>
      </c>
      <c r="J703">
        <v>2013</v>
      </c>
      <c r="K703">
        <v>76</v>
      </c>
      <c r="L703" t="s">
        <v>14</v>
      </c>
      <c r="M703" t="s">
        <v>2499</v>
      </c>
      <c r="N703" s="2" t="s">
        <v>3031</v>
      </c>
      <c r="O703" t="s">
        <v>3032</v>
      </c>
      <c r="P703" t="s">
        <v>21</v>
      </c>
      <c r="Q703">
        <v>402.77033065236816</v>
      </c>
      <c r="R703">
        <f ca="1">YEAR(TODAY())-Table1[[#This Row],[Year Built]]</f>
        <v>13</v>
      </c>
      <c r="S703" t="str">
        <f>IF(Table1[[#This Row],[Days on Market]] &lt; 30,"Fast",IF(Table1[[#This Row],[Days on Market]]&lt;= 90,"Average", "Slow"))</f>
        <v>Average</v>
      </c>
      <c r="T703" t="str">
        <f>IF(Table1[[#This Row],[Price2]]&lt;500000,"Affordable",IF(Table1[[#This Row],[Price2]]&lt;1000000,"Mid range","Luxury"))</f>
        <v>Affordable</v>
      </c>
    </row>
    <row r="704" spans="1:20" x14ac:dyDescent="0.35">
      <c r="A704" s="3">
        <v>450730</v>
      </c>
      <c r="B704" s="2" t="s">
        <v>27</v>
      </c>
      <c r="C704">
        <v>70874</v>
      </c>
      <c r="D704" s="2" t="s">
        <v>35</v>
      </c>
      <c r="E704">
        <v>6</v>
      </c>
      <c r="F704">
        <v>2</v>
      </c>
      <c r="G704" s="4">
        <f>VALUE(SUBSTITUTE(SUBSTITUTE(Table1[[#This Row],[Price]],"$",""),",",""))</f>
        <v>450730</v>
      </c>
      <c r="H704" s="1">
        <f>Table1[[#This Row],[Price2]]/Table1[[#This Row],[Area]]</f>
        <v>161.32068718682891</v>
      </c>
      <c r="I704">
        <v>2794</v>
      </c>
      <c r="J704">
        <v>1996</v>
      </c>
      <c r="K704">
        <v>72</v>
      </c>
      <c r="L704" t="s">
        <v>30</v>
      </c>
      <c r="M704" t="s">
        <v>1170</v>
      </c>
      <c r="N704" s="2" t="s">
        <v>3029</v>
      </c>
      <c r="O704" t="s">
        <v>3030</v>
      </c>
      <c r="P704" t="s">
        <v>21</v>
      </c>
      <c r="Q704">
        <v>161.32068718682891</v>
      </c>
      <c r="R704">
        <f ca="1">YEAR(TODAY())-Table1[[#This Row],[Year Built]]</f>
        <v>30</v>
      </c>
      <c r="S704" t="str">
        <f>IF(Table1[[#This Row],[Days on Market]] &lt; 30,"Fast",IF(Table1[[#This Row],[Days on Market]]&lt;= 90,"Average", "Slow"))</f>
        <v>Average</v>
      </c>
      <c r="T704" t="str">
        <f>IF(Table1[[#This Row],[Price2]]&lt;500000,"Affordable",IF(Table1[[#This Row],[Price2]]&lt;1000000,"Mid range","Luxury"))</f>
        <v>Affordable</v>
      </c>
    </row>
    <row r="705" spans="1:20" x14ac:dyDescent="0.35">
      <c r="A705" s="3">
        <v>450784</v>
      </c>
      <c r="B705" s="2" t="s">
        <v>27</v>
      </c>
      <c r="C705">
        <v>14062</v>
      </c>
      <c r="D705" s="2" t="s">
        <v>13</v>
      </c>
      <c r="E705">
        <v>4</v>
      </c>
      <c r="F705">
        <v>2</v>
      </c>
      <c r="G705" s="4">
        <f>VALUE(SUBSTITUTE(SUBSTITUTE(Table1[[#This Row],[Price]],"$",""),",",""))</f>
        <v>450784</v>
      </c>
      <c r="H705" s="1">
        <f>Table1[[#This Row],[Price2]]/Table1[[#This Row],[Area]]</f>
        <v>155.06845545235637</v>
      </c>
      <c r="I705">
        <v>2907</v>
      </c>
      <c r="J705">
        <v>1992</v>
      </c>
      <c r="K705">
        <v>54</v>
      </c>
      <c r="L705" t="s">
        <v>30</v>
      </c>
      <c r="M705" t="s">
        <v>855</v>
      </c>
      <c r="N705" s="2" t="s">
        <v>3031</v>
      </c>
      <c r="O705" t="s">
        <v>3032</v>
      </c>
      <c r="P705" t="s">
        <v>16</v>
      </c>
      <c r="Q705">
        <v>155.06845545235637</v>
      </c>
      <c r="R705">
        <f ca="1">YEAR(TODAY())-Table1[[#This Row],[Year Built]]</f>
        <v>34</v>
      </c>
      <c r="S705" t="str">
        <f>IF(Table1[[#This Row],[Days on Market]] &lt; 30,"Fast",IF(Table1[[#This Row],[Days on Market]]&lt;= 90,"Average", "Slow"))</f>
        <v>Average</v>
      </c>
      <c r="T705" t="str">
        <f>IF(Table1[[#This Row],[Price2]]&lt;500000,"Affordable",IF(Table1[[#This Row],[Price2]]&lt;1000000,"Mid range","Luxury"))</f>
        <v>Affordable</v>
      </c>
    </row>
    <row r="706" spans="1:20" x14ac:dyDescent="0.35">
      <c r="A706" s="3">
        <v>450980</v>
      </c>
      <c r="B706" s="2" t="s">
        <v>22</v>
      </c>
      <c r="C706">
        <v>44660</v>
      </c>
      <c r="D706" s="2" t="s">
        <v>29</v>
      </c>
      <c r="E706">
        <v>3</v>
      </c>
      <c r="F706">
        <v>1</v>
      </c>
      <c r="G706" s="4">
        <f>VALUE(SUBSTITUTE(SUBSTITUTE(Table1[[#This Row],[Price]],"$",""),",",""))</f>
        <v>450980</v>
      </c>
      <c r="H706" s="1">
        <f>Table1[[#This Row],[Price2]]/Table1[[#This Row],[Area]]</f>
        <v>113.68288379127804</v>
      </c>
      <c r="I706">
        <v>3967</v>
      </c>
      <c r="J706">
        <v>2021</v>
      </c>
      <c r="K706">
        <v>53</v>
      </c>
      <c r="L706" t="s">
        <v>52</v>
      </c>
      <c r="M706" t="s">
        <v>1899</v>
      </c>
      <c r="N706" s="2" t="s">
        <v>3031</v>
      </c>
      <c r="O706" t="s">
        <v>3032</v>
      </c>
      <c r="P706" t="s">
        <v>21</v>
      </c>
      <c r="Q706">
        <v>113.68288379127804</v>
      </c>
      <c r="R706">
        <f ca="1">YEAR(TODAY())-Table1[[#This Row],[Year Built]]</f>
        <v>5</v>
      </c>
      <c r="S706" t="str">
        <f>IF(Table1[[#This Row],[Days on Market]] &lt; 30,"Fast",IF(Table1[[#This Row],[Days on Market]]&lt;= 90,"Average", "Slow"))</f>
        <v>Average</v>
      </c>
      <c r="T706" t="str">
        <f>IF(Table1[[#This Row],[Price2]]&lt;500000,"Affordable",IF(Table1[[#This Row],[Price2]]&lt;1000000,"Mid range","Luxury"))</f>
        <v>Affordable</v>
      </c>
    </row>
    <row r="707" spans="1:20" x14ac:dyDescent="0.35">
      <c r="A707" s="3">
        <v>451247</v>
      </c>
      <c r="B707" s="2" t="s">
        <v>34</v>
      </c>
      <c r="C707">
        <v>63514</v>
      </c>
      <c r="D707" s="2" t="s">
        <v>23</v>
      </c>
      <c r="E707">
        <v>1</v>
      </c>
      <c r="F707">
        <v>2</v>
      </c>
      <c r="G707" s="4">
        <f>VALUE(SUBSTITUTE(SUBSTITUTE(Table1[[#This Row],[Price]],"$",""),",",""))</f>
        <v>451247</v>
      </c>
      <c r="H707" s="1">
        <f>Table1[[#This Row],[Price2]]/Table1[[#This Row],[Area]]</f>
        <v>441.10166177908116</v>
      </c>
      <c r="I707">
        <v>1023</v>
      </c>
      <c r="J707">
        <v>2019</v>
      </c>
      <c r="K707">
        <v>63</v>
      </c>
      <c r="L707" t="s">
        <v>52</v>
      </c>
      <c r="M707" t="s">
        <v>657</v>
      </c>
      <c r="N707" s="2" t="s">
        <v>3029</v>
      </c>
      <c r="O707" t="s">
        <v>3030</v>
      </c>
      <c r="P707" t="s">
        <v>16</v>
      </c>
      <c r="Q707">
        <v>441.10166177908116</v>
      </c>
      <c r="R707">
        <f ca="1">YEAR(TODAY())-Table1[[#This Row],[Year Built]]</f>
        <v>7</v>
      </c>
      <c r="S707" t="str">
        <f>IF(Table1[[#This Row],[Days on Market]] &lt; 30,"Fast",IF(Table1[[#This Row],[Days on Market]]&lt;= 90,"Average", "Slow"))</f>
        <v>Average</v>
      </c>
      <c r="T707" t="str">
        <f>IF(Table1[[#This Row],[Price2]]&lt;500000,"Affordable",IF(Table1[[#This Row],[Price2]]&lt;1000000,"Mid range","Luxury"))</f>
        <v>Affordable</v>
      </c>
    </row>
    <row r="708" spans="1:20" x14ac:dyDescent="0.35">
      <c r="A708" s="3">
        <v>451523</v>
      </c>
      <c r="B708" s="2" t="s">
        <v>12</v>
      </c>
      <c r="C708">
        <v>89282</v>
      </c>
      <c r="D708" s="2" t="s">
        <v>23</v>
      </c>
      <c r="E708">
        <v>4</v>
      </c>
      <c r="F708">
        <v>4</v>
      </c>
      <c r="G708" s="4">
        <f>VALUE(SUBSTITUTE(SUBSTITUTE(Table1[[#This Row],[Price]],"$",""),",",""))</f>
        <v>451523</v>
      </c>
      <c r="H708" s="1">
        <f>Table1[[#This Row],[Price2]]/Table1[[#This Row],[Area]]</f>
        <v>380.0698653198653</v>
      </c>
      <c r="I708">
        <v>1188</v>
      </c>
      <c r="J708">
        <v>1969</v>
      </c>
      <c r="K708">
        <v>104</v>
      </c>
      <c r="L708" t="s">
        <v>52</v>
      </c>
      <c r="M708" t="s">
        <v>1803</v>
      </c>
      <c r="N708" s="2" t="s">
        <v>3031</v>
      </c>
      <c r="O708" t="s">
        <v>3032</v>
      </c>
      <c r="P708" t="s">
        <v>21</v>
      </c>
      <c r="Q708">
        <v>380.0698653198653</v>
      </c>
      <c r="R708">
        <f ca="1">YEAR(TODAY())-Table1[[#This Row],[Year Built]]</f>
        <v>57</v>
      </c>
      <c r="S708" t="str">
        <f>IF(Table1[[#This Row],[Days on Market]] &lt; 30,"Fast",IF(Table1[[#This Row],[Days on Market]]&lt;= 90,"Average", "Slow"))</f>
        <v>Slow</v>
      </c>
      <c r="T708" t="str">
        <f>IF(Table1[[#This Row],[Price2]]&lt;500000,"Affordable",IF(Table1[[#This Row],[Price2]]&lt;1000000,"Mid range","Luxury"))</f>
        <v>Affordable</v>
      </c>
    </row>
    <row r="709" spans="1:20" x14ac:dyDescent="0.35">
      <c r="A709" s="3">
        <v>451830</v>
      </c>
      <c r="B709" s="2" t="s">
        <v>12</v>
      </c>
      <c r="C709">
        <v>59147</v>
      </c>
      <c r="D709" s="2" t="s">
        <v>13</v>
      </c>
      <c r="E709">
        <v>6</v>
      </c>
      <c r="F709">
        <v>2</v>
      </c>
      <c r="G709" s="4">
        <f>VALUE(SUBSTITUTE(SUBSTITUTE(Table1[[#This Row],[Price]],"$",""),",",""))</f>
        <v>451830</v>
      </c>
      <c r="H709" s="1">
        <f>Table1[[#This Row],[Price2]]/Table1[[#This Row],[Area]]</f>
        <v>132.11403508771929</v>
      </c>
      <c r="I709">
        <v>3420</v>
      </c>
      <c r="J709">
        <v>1990</v>
      </c>
      <c r="K709">
        <v>86</v>
      </c>
      <c r="L709" t="s">
        <v>19</v>
      </c>
      <c r="M709" t="s">
        <v>725</v>
      </c>
      <c r="N709" s="2" t="s">
        <v>3029</v>
      </c>
      <c r="O709" t="s">
        <v>3030</v>
      </c>
      <c r="P709" t="s">
        <v>21</v>
      </c>
      <c r="Q709">
        <v>132.11403508771929</v>
      </c>
      <c r="R709">
        <f ca="1">YEAR(TODAY())-Table1[[#This Row],[Year Built]]</f>
        <v>36</v>
      </c>
      <c r="S709" t="str">
        <f>IF(Table1[[#This Row],[Days on Market]] &lt; 30,"Fast",IF(Table1[[#This Row],[Days on Market]]&lt;= 90,"Average", "Slow"))</f>
        <v>Average</v>
      </c>
      <c r="T709" t="str">
        <f>IF(Table1[[#This Row],[Price2]]&lt;500000,"Affordable",IF(Table1[[#This Row],[Price2]]&lt;1000000,"Mid range","Luxury"))</f>
        <v>Affordable</v>
      </c>
    </row>
    <row r="710" spans="1:20" x14ac:dyDescent="0.35">
      <c r="A710" s="3">
        <v>451925</v>
      </c>
      <c r="B710" s="2" t="s">
        <v>17</v>
      </c>
      <c r="C710">
        <v>15862</v>
      </c>
      <c r="D710" s="2" t="s">
        <v>13</v>
      </c>
      <c r="E710">
        <v>1</v>
      </c>
      <c r="F710">
        <v>4</v>
      </c>
      <c r="G710" s="4">
        <f>VALUE(SUBSTITUTE(SUBSTITUTE(Table1[[#This Row],[Price]],"$",""),",",""))</f>
        <v>451925</v>
      </c>
      <c r="H710" s="1">
        <f>Table1[[#This Row],[Price2]]/Table1[[#This Row],[Area]]</f>
        <v>287.85031847133757</v>
      </c>
      <c r="I710">
        <v>1570</v>
      </c>
      <c r="J710">
        <v>1974</v>
      </c>
      <c r="K710">
        <v>69</v>
      </c>
      <c r="L710" t="s">
        <v>14</v>
      </c>
      <c r="M710" t="s">
        <v>2877</v>
      </c>
      <c r="N710" s="2" t="s">
        <v>3031</v>
      </c>
      <c r="O710" t="s">
        <v>3032</v>
      </c>
      <c r="P710" t="s">
        <v>21</v>
      </c>
      <c r="Q710">
        <v>287.85031847133757</v>
      </c>
      <c r="R710">
        <f ca="1">YEAR(TODAY())-Table1[[#This Row],[Year Built]]</f>
        <v>52</v>
      </c>
      <c r="S710" t="str">
        <f>IF(Table1[[#This Row],[Days on Market]] &lt; 30,"Fast",IF(Table1[[#This Row],[Days on Market]]&lt;= 90,"Average", "Slow"))</f>
        <v>Average</v>
      </c>
      <c r="T710" t="str">
        <f>IF(Table1[[#This Row],[Price2]]&lt;500000,"Affordable",IF(Table1[[#This Row],[Price2]]&lt;1000000,"Mid range","Luxury"))</f>
        <v>Affordable</v>
      </c>
    </row>
    <row r="711" spans="1:20" x14ac:dyDescent="0.35">
      <c r="A711" s="3">
        <v>453129</v>
      </c>
      <c r="B711" s="2" t="s">
        <v>27</v>
      </c>
      <c r="C711">
        <v>38082</v>
      </c>
      <c r="D711" s="2" t="s">
        <v>35</v>
      </c>
      <c r="E711">
        <v>6</v>
      </c>
      <c r="F711">
        <v>4</v>
      </c>
      <c r="G711" s="4">
        <f>VALUE(SUBSTITUTE(SUBSTITUTE(Table1[[#This Row],[Price]],"$",""),",",""))</f>
        <v>453129</v>
      </c>
      <c r="H711" s="1">
        <f>Table1[[#This Row],[Price2]]/Table1[[#This Row],[Area]]</f>
        <v>183.6017017828201</v>
      </c>
      <c r="I711">
        <v>2468</v>
      </c>
      <c r="J711">
        <v>1950</v>
      </c>
      <c r="K711">
        <v>117</v>
      </c>
      <c r="L711" t="s">
        <v>30</v>
      </c>
      <c r="M711" t="s">
        <v>664</v>
      </c>
      <c r="N711" s="2" t="s">
        <v>3031</v>
      </c>
      <c r="O711" t="s">
        <v>3032</v>
      </c>
      <c r="P711" t="s">
        <v>16</v>
      </c>
      <c r="Q711">
        <v>183.6017017828201</v>
      </c>
      <c r="R711">
        <f ca="1">YEAR(TODAY())-Table1[[#This Row],[Year Built]]</f>
        <v>76</v>
      </c>
      <c r="S711" t="str">
        <f>IF(Table1[[#This Row],[Days on Market]] &lt; 30,"Fast",IF(Table1[[#This Row],[Days on Market]]&lt;= 90,"Average", "Slow"))</f>
        <v>Slow</v>
      </c>
      <c r="T711" t="str">
        <f>IF(Table1[[#This Row],[Price2]]&lt;500000,"Affordable",IF(Table1[[#This Row],[Price2]]&lt;1000000,"Mid range","Luxury"))</f>
        <v>Affordable</v>
      </c>
    </row>
    <row r="712" spans="1:20" x14ac:dyDescent="0.35">
      <c r="A712" s="3">
        <v>453512</v>
      </c>
      <c r="B712" s="2" t="s">
        <v>34</v>
      </c>
      <c r="C712">
        <v>59792</v>
      </c>
      <c r="D712" s="2" t="s">
        <v>35</v>
      </c>
      <c r="E712">
        <v>3</v>
      </c>
      <c r="F712">
        <v>4</v>
      </c>
      <c r="G712" s="4">
        <f>VALUE(SUBSTITUTE(SUBSTITUTE(Table1[[#This Row],[Price]],"$",""),",",""))</f>
        <v>453512</v>
      </c>
      <c r="H712" s="1">
        <f>Table1[[#This Row],[Price2]]/Table1[[#This Row],[Area]]</f>
        <v>113.63367577048359</v>
      </c>
      <c r="I712">
        <v>3991</v>
      </c>
      <c r="J712">
        <v>2014</v>
      </c>
      <c r="K712">
        <v>86</v>
      </c>
      <c r="L712" t="s">
        <v>14</v>
      </c>
      <c r="M712" t="s">
        <v>1691</v>
      </c>
      <c r="N712" s="2" t="s">
        <v>3033</v>
      </c>
      <c r="O712" t="s">
        <v>3034</v>
      </c>
      <c r="P712" t="s">
        <v>21</v>
      </c>
      <c r="Q712">
        <v>113.63367577048359</v>
      </c>
      <c r="R712">
        <f ca="1">YEAR(TODAY())-Table1[[#This Row],[Year Built]]</f>
        <v>12</v>
      </c>
      <c r="S712" t="str">
        <f>IF(Table1[[#This Row],[Days on Market]] &lt; 30,"Fast",IF(Table1[[#This Row],[Days on Market]]&lt;= 90,"Average", "Slow"))</f>
        <v>Average</v>
      </c>
      <c r="T712" t="str">
        <f>IF(Table1[[#This Row],[Price2]]&lt;500000,"Affordable",IF(Table1[[#This Row],[Price2]]&lt;1000000,"Mid range","Luxury"))</f>
        <v>Affordable</v>
      </c>
    </row>
    <row r="713" spans="1:20" x14ac:dyDescent="0.35">
      <c r="A713" s="3">
        <v>453812</v>
      </c>
      <c r="B713" s="2" t="s">
        <v>27</v>
      </c>
      <c r="C713">
        <v>50359</v>
      </c>
      <c r="D713" s="2" t="s">
        <v>18</v>
      </c>
      <c r="E713">
        <v>6</v>
      </c>
      <c r="F713">
        <v>4</v>
      </c>
      <c r="G713" s="4">
        <f>VALUE(SUBSTITUTE(SUBSTITUTE(Table1[[#This Row],[Price]],"$",""),",",""))</f>
        <v>453812</v>
      </c>
      <c r="H713" s="1">
        <f>Table1[[#This Row],[Price2]]/Table1[[#This Row],[Area]]</f>
        <v>366.86499595796283</v>
      </c>
      <c r="I713">
        <v>1237</v>
      </c>
      <c r="J713">
        <v>1986</v>
      </c>
      <c r="K713">
        <v>45</v>
      </c>
      <c r="L713" t="s">
        <v>40</v>
      </c>
      <c r="M713" t="s">
        <v>3003</v>
      </c>
      <c r="N713" s="2" t="s">
        <v>3033</v>
      </c>
      <c r="O713" t="s">
        <v>3034</v>
      </c>
      <c r="P713" t="s">
        <v>16</v>
      </c>
      <c r="Q713">
        <v>366.86499595796283</v>
      </c>
      <c r="R713">
        <f ca="1">YEAR(TODAY())-Table1[[#This Row],[Year Built]]</f>
        <v>40</v>
      </c>
      <c r="S713" t="str">
        <f>IF(Table1[[#This Row],[Days on Market]] &lt; 30,"Fast",IF(Table1[[#This Row],[Days on Market]]&lt;= 90,"Average", "Slow"))</f>
        <v>Average</v>
      </c>
      <c r="T713" t="str">
        <f>IF(Table1[[#This Row],[Price2]]&lt;500000,"Affordable",IF(Table1[[#This Row],[Price2]]&lt;1000000,"Mid range","Luxury"))</f>
        <v>Affordable</v>
      </c>
    </row>
    <row r="714" spans="1:20" x14ac:dyDescent="0.35">
      <c r="A714" s="3">
        <v>453846</v>
      </c>
      <c r="B714" s="2" t="s">
        <v>34</v>
      </c>
      <c r="C714">
        <v>82910</v>
      </c>
      <c r="D714" s="2" t="s">
        <v>13</v>
      </c>
      <c r="E714">
        <v>4</v>
      </c>
      <c r="F714">
        <v>1</v>
      </c>
      <c r="G714" s="4">
        <f>VALUE(SUBSTITUTE(SUBSTITUTE(Table1[[#This Row],[Price]],"$",""),",",""))</f>
        <v>453846</v>
      </c>
      <c r="H714" s="1">
        <f>Table1[[#This Row],[Price2]]/Table1[[#This Row],[Area]]</f>
        <v>127.41325098259405</v>
      </c>
      <c r="I714">
        <v>3562</v>
      </c>
      <c r="J714">
        <v>1998</v>
      </c>
      <c r="K714">
        <v>106</v>
      </c>
      <c r="L714" t="s">
        <v>30</v>
      </c>
      <c r="M714" t="s">
        <v>450</v>
      </c>
      <c r="N714" s="2" t="s">
        <v>3029</v>
      </c>
      <c r="O714" t="s">
        <v>3030</v>
      </c>
      <c r="P714" t="s">
        <v>26</v>
      </c>
      <c r="Q714">
        <v>127.41325098259405</v>
      </c>
      <c r="R714">
        <f ca="1">YEAR(TODAY())-Table1[[#This Row],[Year Built]]</f>
        <v>28</v>
      </c>
      <c r="S714" t="str">
        <f>IF(Table1[[#This Row],[Days on Market]] &lt; 30,"Fast",IF(Table1[[#This Row],[Days on Market]]&lt;= 90,"Average", "Slow"))</f>
        <v>Slow</v>
      </c>
      <c r="T714" t="str">
        <f>IF(Table1[[#This Row],[Price2]]&lt;500000,"Affordable",IF(Table1[[#This Row],[Price2]]&lt;1000000,"Mid range","Luxury"))</f>
        <v>Affordable</v>
      </c>
    </row>
    <row r="715" spans="1:20" x14ac:dyDescent="0.35">
      <c r="A715" s="3">
        <v>454064</v>
      </c>
      <c r="B715" s="2" t="s">
        <v>27</v>
      </c>
      <c r="C715">
        <v>52754</v>
      </c>
      <c r="D715" s="2" t="s">
        <v>18</v>
      </c>
      <c r="E715">
        <v>1</v>
      </c>
      <c r="F715">
        <v>1</v>
      </c>
      <c r="G715" s="4">
        <f>VALUE(SUBSTITUTE(SUBSTITUTE(Table1[[#This Row],[Price]],"$",""),",",""))</f>
        <v>454064</v>
      </c>
      <c r="H715" s="1">
        <f>Table1[[#This Row],[Price2]]/Table1[[#This Row],[Area]]</f>
        <v>125.08650137741047</v>
      </c>
      <c r="I715">
        <v>3630</v>
      </c>
      <c r="J715">
        <v>2005</v>
      </c>
      <c r="K715">
        <v>117</v>
      </c>
      <c r="L715" t="s">
        <v>14</v>
      </c>
      <c r="M715" t="s">
        <v>2663</v>
      </c>
      <c r="N715" s="2" t="s">
        <v>3031</v>
      </c>
      <c r="O715" t="s">
        <v>3032</v>
      </c>
      <c r="P715" t="s">
        <v>26</v>
      </c>
      <c r="Q715">
        <v>125.08650137741047</v>
      </c>
      <c r="R715">
        <f ca="1">YEAR(TODAY())-Table1[[#This Row],[Year Built]]</f>
        <v>21</v>
      </c>
      <c r="S715" t="str">
        <f>IF(Table1[[#This Row],[Days on Market]] &lt; 30,"Fast",IF(Table1[[#This Row],[Days on Market]]&lt;= 90,"Average", "Slow"))</f>
        <v>Slow</v>
      </c>
      <c r="T715" t="str">
        <f>IF(Table1[[#This Row],[Price2]]&lt;500000,"Affordable",IF(Table1[[#This Row],[Price2]]&lt;1000000,"Mid range","Luxury"))</f>
        <v>Affordable</v>
      </c>
    </row>
    <row r="716" spans="1:20" x14ac:dyDescent="0.35">
      <c r="A716" s="3">
        <v>454285</v>
      </c>
      <c r="B716" s="2" t="s">
        <v>27</v>
      </c>
      <c r="C716">
        <v>86802</v>
      </c>
      <c r="D716" s="2" t="s">
        <v>29</v>
      </c>
      <c r="E716">
        <v>2</v>
      </c>
      <c r="F716">
        <v>4</v>
      </c>
      <c r="G716" s="4">
        <f>VALUE(SUBSTITUTE(SUBSTITUTE(Table1[[#This Row],[Price]],"$",""),",",""))</f>
        <v>454285</v>
      </c>
      <c r="H716" s="1">
        <f>Table1[[#This Row],[Price2]]/Table1[[#This Row],[Area]]</f>
        <v>273.0078125</v>
      </c>
      <c r="I716">
        <v>1664</v>
      </c>
      <c r="J716">
        <v>1993</v>
      </c>
      <c r="K716">
        <v>104</v>
      </c>
      <c r="L716" t="s">
        <v>52</v>
      </c>
      <c r="M716" t="s">
        <v>2667</v>
      </c>
      <c r="N716" s="2" t="s">
        <v>3033</v>
      </c>
      <c r="O716" t="s">
        <v>3034</v>
      </c>
      <c r="P716" t="s">
        <v>21</v>
      </c>
      <c r="Q716">
        <v>273.0078125</v>
      </c>
      <c r="R716">
        <f ca="1">YEAR(TODAY())-Table1[[#This Row],[Year Built]]</f>
        <v>33</v>
      </c>
      <c r="S716" t="str">
        <f>IF(Table1[[#This Row],[Days on Market]] &lt; 30,"Fast",IF(Table1[[#This Row],[Days on Market]]&lt;= 90,"Average", "Slow"))</f>
        <v>Slow</v>
      </c>
      <c r="T716" t="str">
        <f>IF(Table1[[#This Row],[Price2]]&lt;500000,"Affordable",IF(Table1[[#This Row],[Price2]]&lt;1000000,"Mid range","Luxury"))</f>
        <v>Affordable</v>
      </c>
    </row>
    <row r="717" spans="1:20" x14ac:dyDescent="0.35">
      <c r="A717" s="3">
        <v>454473</v>
      </c>
      <c r="B717" s="2" t="s">
        <v>17</v>
      </c>
      <c r="C717">
        <v>64486</v>
      </c>
      <c r="D717" s="2" t="s">
        <v>18</v>
      </c>
      <c r="E717">
        <v>5</v>
      </c>
      <c r="F717">
        <v>2</v>
      </c>
      <c r="G717" s="4">
        <f>VALUE(SUBSTITUTE(SUBSTITUTE(Table1[[#This Row],[Price]],"$",""),",",""))</f>
        <v>454473</v>
      </c>
      <c r="H717" s="1">
        <f>Table1[[#This Row],[Price2]]/Table1[[#This Row],[Area]]</f>
        <v>123.06336311941511</v>
      </c>
      <c r="I717">
        <v>3693</v>
      </c>
      <c r="J717">
        <v>1951</v>
      </c>
      <c r="K717">
        <v>87</v>
      </c>
      <c r="L717" t="s">
        <v>19</v>
      </c>
      <c r="M717" t="s">
        <v>126</v>
      </c>
      <c r="N717" s="2" t="s">
        <v>3033</v>
      </c>
      <c r="O717" t="s">
        <v>3034</v>
      </c>
      <c r="P717" t="s">
        <v>16</v>
      </c>
      <c r="Q717">
        <v>123.06336311941511</v>
      </c>
      <c r="R717">
        <f ca="1">YEAR(TODAY())-Table1[[#This Row],[Year Built]]</f>
        <v>75</v>
      </c>
      <c r="S717" t="str">
        <f>IF(Table1[[#This Row],[Days on Market]] &lt; 30,"Fast",IF(Table1[[#This Row],[Days on Market]]&lt;= 90,"Average", "Slow"))</f>
        <v>Average</v>
      </c>
      <c r="T717" t="str">
        <f>IF(Table1[[#This Row],[Price2]]&lt;500000,"Affordable",IF(Table1[[#This Row],[Price2]]&lt;1000000,"Mid range","Luxury"))</f>
        <v>Affordable</v>
      </c>
    </row>
    <row r="718" spans="1:20" x14ac:dyDescent="0.35">
      <c r="A718" s="3">
        <v>454587</v>
      </c>
      <c r="B718" s="2" t="s">
        <v>34</v>
      </c>
      <c r="C718">
        <v>68312</v>
      </c>
      <c r="D718" s="2" t="s">
        <v>23</v>
      </c>
      <c r="E718">
        <v>5</v>
      </c>
      <c r="F718">
        <v>4</v>
      </c>
      <c r="G718" s="4">
        <f>VALUE(SUBSTITUTE(SUBSTITUTE(Table1[[#This Row],[Price]],"$",""),",",""))</f>
        <v>454587</v>
      </c>
      <c r="H718" s="1">
        <f>Table1[[#This Row],[Price2]]/Table1[[#This Row],[Area]]</f>
        <v>152.75100806451613</v>
      </c>
      <c r="I718">
        <v>2976</v>
      </c>
      <c r="J718">
        <v>1980</v>
      </c>
      <c r="K718">
        <v>63</v>
      </c>
      <c r="L718" t="s">
        <v>52</v>
      </c>
      <c r="M718" t="s">
        <v>2052</v>
      </c>
      <c r="N718" s="2" t="s">
        <v>3029</v>
      </c>
      <c r="O718" t="s">
        <v>3030</v>
      </c>
      <c r="P718" t="s">
        <v>16</v>
      </c>
      <c r="Q718">
        <v>152.75100806451613</v>
      </c>
      <c r="R718">
        <f ca="1">YEAR(TODAY())-Table1[[#This Row],[Year Built]]</f>
        <v>46</v>
      </c>
      <c r="S718" t="str">
        <f>IF(Table1[[#This Row],[Days on Market]] &lt; 30,"Fast",IF(Table1[[#This Row],[Days on Market]]&lt;= 90,"Average", "Slow"))</f>
        <v>Average</v>
      </c>
      <c r="T718" t="str">
        <f>IF(Table1[[#This Row],[Price2]]&lt;500000,"Affordable",IF(Table1[[#This Row],[Price2]]&lt;1000000,"Mid range","Luxury"))</f>
        <v>Affordable</v>
      </c>
    </row>
    <row r="719" spans="1:20" x14ac:dyDescent="0.35">
      <c r="A719" s="3">
        <v>455746</v>
      </c>
      <c r="B719" s="2" t="s">
        <v>12</v>
      </c>
      <c r="C719">
        <v>24295</v>
      </c>
      <c r="D719" s="2" t="s">
        <v>23</v>
      </c>
      <c r="E719">
        <v>3</v>
      </c>
      <c r="F719">
        <v>1</v>
      </c>
      <c r="G719" s="4">
        <f>VALUE(SUBSTITUTE(SUBSTITUTE(Table1[[#This Row],[Price]],"$",""),",",""))</f>
        <v>455746</v>
      </c>
      <c r="H719" s="1">
        <f>Table1[[#This Row],[Price2]]/Table1[[#This Row],[Area]]</f>
        <v>524.44879171461446</v>
      </c>
      <c r="I719">
        <v>869</v>
      </c>
      <c r="J719">
        <v>2006</v>
      </c>
      <c r="K719">
        <v>117</v>
      </c>
      <c r="L719" t="s">
        <v>19</v>
      </c>
      <c r="M719" t="s">
        <v>1797</v>
      </c>
      <c r="N719" s="2" t="s">
        <v>3029</v>
      </c>
      <c r="O719" t="s">
        <v>3030</v>
      </c>
      <c r="P719" t="s">
        <v>21</v>
      </c>
      <c r="Q719">
        <v>524.44879171461446</v>
      </c>
      <c r="R719">
        <f ca="1">YEAR(TODAY())-Table1[[#This Row],[Year Built]]</f>
        <v>20</v>
      </c>
      <c r="S719" t="str">
        <f>IF(Table1[[#This Row],[Days on Market]] &lt; 30,"Fast",IF(Table1[[#This Row],[Days on Market]]&lt;= 90,"Average", "Slow"))</f>
        <v>Slow</v>
      </c>
      <c r="T719" t="str">
        <f>IF(Table1[[#This Row],[Price2]]&lt;500000,"Affordable",IF(Table1[[#This Row],[Price2]]&lt;1000000,"Mid range","Luxury"))</f>
        <v>Affordable</v>
      </c>
    </row>
    <row r="720" spans="1:20" x14ac:dyDescent="0.35">
      <c r="A720" s="3">
        <v>455797</v>
      </c>
      <c r="B720" s="2" t="s">
        <v>12</v>
      </c>
      <c r="C720">
        <v>46273</v>
      </c>
      <c r="D720" s="2" t="s">
        <v>18</v>
      </c>
      <c r="E720">
        <v>6</v>
      </c>
      <c r="F720">
        <v>1</v>
      </c>
      <c r="G720" s="4">
        <f>VALUE(SUBSTITUTE(SUBSTITUTE(Table1[[#This Row],[Price]],"$",""),",",""))</f>
        <v>455797</v>
      </c>
      <c r="H720" s="1">
        <f>Table1[[#This Row],[Price2]]/Table1[[#This Row],[Area]]</f>
        <v>579.89440203562344</v>
      </c>
      <c r="I720">
        <v>786</v>
      </c>
      <c r="J720">
        <v>2002</v>
      </c>
      <c r="K720">
        <v>103</v>
      </c>
      <c r="L720" t="s">
        <v>40</v>
      </c>
      <c r="M720" t="s">
        <v>798</v>
      </c>
      <c r="N720" s="2" t="s">
        <v>3029</v>
      </c>
      <c r="O720" t="s">
        <v>3030</v>
      </c>
      <c r="P720" t="s">
        <v>16</v>
      </c>
      <c r="Q720">
        <v>579.89440203562344</v>
      </c>
      <c r="R720">
        <f ca="1">YEAR(TODAY())-Table1[[#This Row],[Year Built]]</f>
        <v>24</v>
      </c>
      <c r="S720" t="str">
        <f>IF(Table1[[#This Row],[Days on Market]] &lt; 30,"Fast",IF(Table1[[#This Row],[Days on Market]]&lt;= 90,"Average", "Slow"))</f>
        <v>Slow</v>
      </c>
      <c r="T720" t="str">
        <f>IF(Table1[[#This Row],[Price2]]&lt;500000,"Affordable",IF(Table1[[#This Row],[Price2]]&lt;1000000,"Mid range","Luxury"))</f>
        <v>Affordable</v>
      </c>
    </row>
    <row r="721" spans="1:20" x14ac:dyDescent="0.35">
      <c r="A721" s="3">
        <v>455913</v>
      </c>
      <c r="B721" s="2" t="s">
        <v>22</v>
      </c>
      <c r="C721">
        <v>78010</v>
      </c>
      <c r="D721" s="2" t="s">
        <v>18</v>
      </c>
      <c r="E721">
        <v>4</v>
      </c>
      <c r="F721">
        <v>1</v>
      </c>
      <c r="G721" s="4">
        <f>VALUE(SUBSTITUTE(SUBSTITUTE(Table1[[#This Row],[Price]],"$",""),",",""))</f>
        <v>455913</v>
      </c>
      <c r="H721" s="1">
        <f>Table1[[#This Row],[Price2]]/Table1[[#This Row],[Area]]</f>
        <v>255.27043673012318</v>
      </c>
      <c r="I721">
        <v>1786</v>
      </c>
      <c r="J721">
        <v>1983</v>
      </c>
      <c r="K721">
        <v>95</v>
      </c>
      <c r="L721" t="s">
        <v>40</v>
      </c>
      <c r="M721" t="s">
        <v>1046</v>
      </c>
      <c r="N721" s="2" t="s">
        <v>3035</v>
      </c>
      <c r="O721" t="s">
        <v>3036</v>
      </c>
      <c r="P721" t="s">
        <v>16</v>
      </c>
      <c r="Q721">
        <v>255.27043673012318</v>
      </c>
      <c r="R721">
        <f ca="1">YEAR(TODAY())-Table1[[#This Row],[Year Built]]</f>
        <v>43</v>
      </c>
      <c r="S721" t="str">
        <f>IF(Table1[[#This Row],[Days on Market]] &lt; 30,"Fast",IF(Table1[[#This Row],[Days on Market]]&lt;= 90,"Average", "Slow"))</f>
        <v>Slow</v>
      </c>
      <c r="T721" t="str">
        <f>IF(Table1[[#This Row],[Price2]]&lt;500000,"Affordable",IF(Table1[[#This Row],[Price2]]&lt;1000000,"Mid range","Luxury"))</f>
        <v>Affordable</v>
      </c>
    </row>
    <row r="722" spans="1:20" x14ac:dyDescent="0.35">
      <c r="A722" s="3">
        <v>457327</v>
      </c>
      <c r="B722" s="2" t="s">
        <v>12</v>
      </c>
      <c r="C722">
        <v>35494</v>
      </c>
      <c r="D722" s="2" t="s">
        <v>35</v>
      </c>
      <c r="E722">
        <v>2</v>
      </c>
      <c r="F722">
        <v>1</v>
      </c>
      <c r="G722" s="4">
        <f>VALUE(SUBSTITUTE(SUBSTITUTE(Table1[[#This Row],[Price]],"$",""),",",""))</f>
        <v>457327</v>
      </c>
      <c r="H722" s="1">
        <f>Table1[[#This Row],[Price2]]/Table1[[#This Row],[Area]]</f>
        <v>116.04339000253742</v>
      </c>
      <c r="I722">
        <v>3941</v>
      </c>
      <c r="J722">
        <v>1989</v>
      </c>
      <c r="K722">
        <v>85</v>
      </c>
      <c r="L722" t="s">
        <v>14</v>
      </c>
      <c r="M722" t="s">
        <v>1528</v>
      </c>
      <c r="N722" s="2" t="s">
        <v>3033</v>
      </c>
      <c r="O722" t="s">
        <v>3034</v>
      </c>
      <c r="P722" t="s">
        <v>16</v>
      </c>
      <c r="Q722">
        <v>116.04339000253742</v>
      </c>
      <c r="R722">
        <f ca="1">YEAR(TODAY())-Table1[[#This Row],[Year Built]]</f>
        <v>37</v>
      </c>
      <c r="S722" t="str">
        <f>IF(Table1[[#This Row],[Days on Market]] &lt; 30,"Fast",IF(Table1[[#This Row],[Days on Market]]&lt;= 90,"Average", "Slow"))</f>
        <v>Average</v>
      </c>
      <c r="T722" t="str">
        <f>IF(Table1[[#This Row],[Price2]]&lt;500000,"Affordable",IF(Table1[[#This Row],[Price2]]&lt;1000000,"Mid range","Luxury"))</f>
        <v>Affordable</v>
      </c>
    </row>
    <row r="723" spans="1:20" x14ac:dyDescent="0.35">
      <c r="A723" s="3">
        <v>457764</v>
      </c>
      <c r="B723" s="2" t="s">
        <v>27</v>
      </c>
      <c r="C723">
        <v>79098</v>
      </c>
      <c r="D723" s="2" t="s">
        <v>35</v>
      </c>
      <c r="E723">
        <v>6</v>
      </c>
      <c r="F723">
        <v>1</v>
      </c>
      <c r="G723" s="4">
        <f>VALUE(SUBSTITUTE(SUBSTITUTE(Table1[[#This Row],[Price]],"$",""),",",""))</f>
        <v>457764</v>
      </c>
      <c r="H723" s="1">
        <f>Table1[[#This Row],[Price2]]/Table1[[#This Row],[Area]]</f>
        <v>750.43278688524595</v>
      </c>
      <c r="I723">
        <v>610</v>
      </c>
      <c r="J723">
        <v>2012</v>
      </c>
      <c r="K723">
        <v>18</v>
      </c>
      <c r="L723" t="s">
        <v>40</v>
      </c>
      <c r="M723" t="s">
        <v>1989</v>
      </c>
      <c r="N723" s="2" t="s">
        <v>3031</v>
      </c>
      <c r="O723" t="s">
        <v>3032</v>
      </c>
      <c r="P723" t="s">
        <v>21</v>
      </c>
      <c r="Q723">
        <v>750.43278688524595</v>
      </c>
      <c r="R723">
        <f ca="1">YEAR(TODAY())-Table1[[#This Row],[Year Built]]</f>
        <v>14</v>
      </c>
      <c r="S723" t="str">
        <f>IF(Table1[[#This Row],[Days on Market]] &lt; 30,"Fast",IF(Table1[[#This Row],[Days on Market]]&lt;= 90,"Average", "Slow"))</f>
        <v>Fast</v>
      </c>
      <c r="T723" t="str">
        <f>IF(Table1[[#This Row],[Price2]]&lt;500000,"Affordable",IF(Table1[[#This Row],[Price2]]&lt;1000000,"Mid range","Luxury"))</f>
        <v>Affordable</v>
      </c>
    </row>
    <row r="724" spans="1:20" x14ac:dyDescent="0.35">
      <c r="A724" s="3">
        <v>458215</v>
      </c>
      <c r="B724" s="2" t="s">
        <v>12</v>
      </c>
      <c r="C724">
        <v>51208</v>
      </c>
      <c r="D724" s="2" t="s">
        <v>13</v>
      </c>
      <c r="E724">
        <v>2</v>
      </c>
      <c r="F724">
        <v>1</v>
      </c>
      <c r="G724" s="4">
        <f>VALUE(SUBSTITUTE(SUBSTITUTE(Table1[[#This Row],[Price]],"$",""),",",""))</f>
        <v>458215</v>
      </c>
      <c r="H724" s="1">
        <f>Table1[[#This Row],[Price2]]/Table1[[#This Row],[Area]]</f>
        <v>236.07161257083976</v>
      </c>
      <c r="I724">
        <v>1941</v>
      </c>
      <c r="J724">
        <v>2022</v>
      </c>
      <c r="K724">
        <v>107</v>
      </c>
      <c r="L724" t="s">
        <v>14</v>
      </c>
      <c r="M724" t="s">
        <v>2145</v>
      </c>
      <c r="N724" s="2" t="s">
        <v>3033</v>
      </c>
      <c r="O724" t="s">
        <v>3034</v>
      </c>
      <c r="P724" t="s">
        <v>26</v>
      </c>
      <c r="Q724">
        <v>236.07161257083976</v>
      </c>
      <c r="R724">
        <f ca="1">YEAR(TODAY())-Table1[[#This Row],[Year Built]]</f>
        <v>4</v>
      </c>
      <c r="S724" t="str">
        <f>IF(Table1[[#This Row],[Days on Market]] &lt; 30,"Fast",IF(Table1[[#This Row],[Days on Market]]&lt;= 90,"Average", "Slow"))</f>
        <v>Slow</v>
      </c>
      <c r="T724" t="str">
        <f>IF(Table1[[#This Row],[Price2]]&lt;500000,"Affordable",IF(Table1[[#This Row],[Price2]]&lt;1000000,"Mid range","Luxury"))</f>
        <v>Affordable</v>
      </c>
    </row>
    <row r="725" spans="1:20" x14ac:dyDescent="0.35">
      <c r="A725" s="3">
        <v>459607</v>
      </c>
      <c r="B725" s="2" t="s">
        <v>27</v>
      </c>
      <c r="C725">
        <v>82462</v>
      </c>
      <c r="D725" s="2" t="s">
        <v>29</v>
      </c>
      <c r="E725">
        <v>5</v>
      </c>
      <c r="F725">
        <v>3</v>
      </c>
      <c r="G725" s="4">
        <f>VALUE(SUBSTITUTE(SUBSTITUTE(Table1[[#This Row],[Price]],"$",""),",",""))</f>
        <v>459607</v>
      </c>
      <c r="H725" s="1">
        <f>Table1[[#This Row],[Price2]]/Table1[[#This Row],[Area]]</f>
        <v>195.41113945578232</v>
      </c>
      <c r="I725">
        <v>2352</v>
      </c>
      <c r="J725">
        <v>1952</v>
      </c>
      <c r="K725">
        <v>30</v>
      </c>
      <c r="L725" t="s">
        <v>14</v>
      </c>
      <c r="M725" t="s">
        <v>870</v>
      </c>
      <c r="N725" s="2" t="s">
        <v>3033</v>
      </c>
      <c r="O725" t="s">
        <v>3034</v>
      </c>
      <c r="P725" t="s">
        <v>16</v>
      </c>
      <c r="Q725">
        <v>195.41113945578232</v>
      </c>
      <c r="R725">
        <f ca="1">YEAR(TODAY())-Table1[[#This Row],[Year Built]]</f>
        <v>74</v>
      </c>
      <c r="S725" t="str">
        <f>IF(Table1[[#This Row],[Days on Market]] &lt; 30,"Fast",IF(Table1[[#This Row],[Days on Market]]&lt;= 90,"Average", "Slow"))</f>
        <v>Average</v>
      </c>
      <c r="T725" t="str">
        <f>IF(Table1[[#This Row],[Price2]]&lt;500000,"Affordable",IF(Table1[[#This Row],[Price2]]&lt;1000000,"Mid range","Luxury"))</f>
        <v>Affordable</v>
      </c>
    </row>
    <row r="726" spans="1:20" x14ac:dyDescent="0.35">
      <c r="A726" s="3">
        <v>459734</v>
      </c>
      <c r="B726" s="2" t="s">
        <v>34</v>
      </c>
      <c r="C726">
        <v>82428</v>
      </c>
      <c r="D726" s="2" t="s">
        <v>35</v>
      </c>
      <c r="E726">
        <v>5</v>
      </c>
      <c r="F726">
        <v>1</v>
      </c>
      <c r="G726" s="4">
        <f>VALUE(SUBSTITUTE(SUBSTITUTE(Table1[[#This Row],[Price]],"$",""),",",""))</f>
        <v>459734</v>
      </c>
      <c r="H726" s="1">
        <f>Table1[[#This Row],[Price2]]/Table1[[#This Row],[Area]]</f>
        <v>119.25654993514915</v>
      </c>
      <c r="I726">
        <v>3855</v>
      </c>
      <c r="J726">
        <v>2023</v>
      </c>
      <c r="K726">
        <v>71</v>
      </c>
      <c r="L726" t="s">
        <v>14</v>
      </c>
      <c r="M726" t="s">
        <v>1555</v>
      </c>
      <c r="N726" s="2" t="s">
        <v>3027</v>
      </c>
      <c r="O726" t="s">
        <v>3028</v>
      </c>
      <c r="P726" t="s">
        <v>26</v>
      </c>
      <c r="Q726">
        <v>119.25654993514915</v>
      </c>
      <c r="R726">
        <f ca="1">YEAR(TODAY())-Table1[[#This Row],[Year Built]]</f>
        <v>3</v>
      </c>
      <c r="S726" t="str">
        <f>IF(Table1[[#This Row],[Days on Market]] &lt; 30,"Fast",IF(Table1[[#This Row],[Days on Market]]&lt;= 90,"Average", "Slow"))</f>
        <v>Average</v>
      </c>
      <c r="T726" t="str">
        <f>IF(Table1[[#This Row],[Price2]]&lt;500000,"Affordable",IF(Table1[[#This Row],[Price2]]&lt;1000000,"Mid range","Luxury"))</f>
        <v>Affordable</v>
      </c>
    </row>
    <row r="727" spans="1:20" x14ac:dyDescent="0.35">
      <c r="A727" s="3">
        <v>459948</v>
      </c>
      <c r="B727" s="2" t="s">
        <v>27</v>
      </c>
      <c r="C727">
        <v>80688</v>
      </c>
      <c r="D727" s="2" t="s">
        <v>18</v>
      </c>
      <c r="E727">
        <v>5</v>
      </c>
      <c r="F727">
        <v>1</v>
      </c>
      <c r="G727" s="4">
        <f>VALUE(SUBSTITUTE(SUBSTITUTE(Table1[[#This Row],[Price]],"$",""),",",""))</f>
        <v>459948</v>
      </c>
      <c r="H727" s="1">
        <f>Table1[[#This Row],[Price2]]/Table1[[#This Row],[Area]]</f>
        <v>357.37995337995341</v>
      </c>
      <c r="I727">
        <v>1287</v>
      </c>
      <c r="J727">
        <v>2000</v>
      </c>
      <c r="K727">
        <v>114</v>
      </c>
      <c r="L727" t="s">
        <v>14</v>
      </c>
      <c r="M727" t="s">
        <v>223</v>
      </c>
      <c r="N727" s="2" t="s">
        <v>3035</v>
      </c>
      <c r="O727" t="s">
        <v>3036</v>
      </c>
      <c r="P727" t="s">
        <v>21</v>
      </c>
      <c r="Q727">
        <v>357.37995337995341</v>
      </c>
      <c r="R727">
        <f ca="1">YEAR(TODAY())-Table1[[#This Row],[Year Built]]</f>
        <v>26</v>
      </c>
      <c r="S727" t="str">
        <f>IF(Table1[[#This Row],[Days on Market]] &lt; 30,"Fast",IF(Table1[[#This Row],[Days on Market]]&lt;= 90,"Average", "Slow"))</f>
        <v>Slow</v>
      </c>
      <c r="T727" t="str">
        <f>IF(Table1[[#This Row],[Price2]]&lt;500000,"Affordable",IF(Table1[[#This Row],[Price2]]&lt;1000000,"Mid range","Luxury"))</f>
        <v>Affordable</v>
      </c>
    </row>
    <row r="728" spans="1:20" x14ac:dyDescent="0.35">
      <c r="A728" s="3">
        <v>460323</v>
      </c>
      <c r="B728" s="2" t="s">
        <v>34</v>
      </c>
      <c r="C728">
        <v>12418</v>
      </c>
      <c r="D728" s="2" t="s">
        <v>35</v>
      </c>
      <c r="E728">
        <v>6</v>
      </c>
      <c r="F728">
        <v>3</v>
      </c>
      <c r="G728" s="4">
        <f>VALUE(SUBSTITUTE(SUBSTITUTE(Table1[[#This Row],[Price]],"$",""),",",""))</f>
        <v>460323</v>
      </c>
      <c r="H728" s="1">
        <f>Table1[[#This Row],[Price2]]/Table1[[#This Row],[Area]]</f>
        <v>399.93310165073848</v>
      </c>
      <c r="I728">
        <v>1151</v>
      </c>
      <c r="J728">
        <v>1963</v>
      </c>
      <c r="K728">
        <v>62</v>
      </c>
      <c r="L728" t="s">
        <v>19</v>
      </c>
      <c r="M728" t="s">
        <v>2859</v>
      </c>
      <c r="N728" s="2" t="s">
        <v>3035</v>
      </c>
      <c r="O728" t="s">
        <v>3036</v>
      </c>
      <c r="P728" t="s">
        <v>16</v>
      </c>
      <c r="Q728">
        <v>399.93310165073848</v>
      </c>
      <c r="R728">
        <f ca="1">YEAR(TODAY())-Table1[[#This Row],[Year Built]]</f>
        <v>63</v>
      </c>
      <c r="S728" t="str">
        <f>IF(Table1[[#This Row],[Days on Market]] &lt; 30,"Fast",IF(Table1[[#This Row],[Days on Market]]&lt;= 90,"Average", "Slow"))</f>
        <v>Average</v>
      </c>
      <c r="T728" t="str">
        <f>IF(Table1[[#This Row],[Price2]]&lt;500000,"Affordable",IF(Table1[[#This Row],[Price2]]&lt;1000000,"Mid range","Luxury"))</f>
        <v>Affordable</v>
      </c>
    </row>
    <row r="729" spans="1:20" x14ac:dyDescent="0.35">
      <c r="A729" s="3">
        <v>461357</v>
      </c>
      <c r="B729" s="2" t="s">
        <v>12</v>
      </c>
      <c r="C729">
        <v>45025</v>
      </c>
      <c r="D729" s="2" t="s">
        <v>29</v>
      </c>
      <c r="E729">
        <v>1</v>
      </c>
      <c r="F729">
        <v>3</v>
      </c>
      <c r="G729" s="4">
        <f>VALUE(SUBSTITUTE(SUBSTITUTE(Table1[[#This Row],[Price]],"$",""),",",""))</f>
        <v>461357</v>
      </c>
      <c r="H729" s="1">
        <f>Table1[[#This Row],[Price2]]/Table1[[#This Row],[Area]]</f>
        <v>134.62416107382549</v>
      </c>
      <c r="I729">
        <v>3427</v>
      </c>
      <c r="J729">
        <v>1980</v>
      </c>
      <c r="K729">
        <v>59</v>
      </c>
      <c r="L729" t="s">
        <v>19</v>
      </c>
      <c r="M729" t="s">
        <v>305</v>
      </c>
      <c r="N729" s="2" t="s">
        <v>3035</v>
      </c>
      <c r="O729" t="s">
        <v>3036</v>
      </c>
      <c r="P729" t="s">
        <v>21</v>
      </c>
      <c r="Q729">
        <v>134.62416107382549</v>
      </c>
      <c r="R729">
        <f ca="1">YEAR(TODAY())-Table1[[#This Row],[Year Built]]</f>
        <v>46</v>
      </c>
      <c r="S729" t="str">
        <f>IF(Table1[[#This Row],[Days on Market]] &lt; 30,"Fast",IF(Table1[[#This Row],[Days on Market]]&lt;= 90,"Average", "Slow"))</f>
        <v>Average</v>
      </c>
      <c r="T729" t="str">
        <f>IF(Table1[[#This Row],[Price2]]&lt;500000,"Affordable",IF(Table1[[#This Row],[Price2]]&lt;1000000,"Mid range","Luxury"))</f>
        <v>Affordable</v>
      </c>
    </row>
    <row r="730" spans="1:20" x14ac:dyDescent="0.35">
      <c r="A730" s="3">
        <v>461841</v>
      </c>
      <c r="B730" s="2" t="s">
        <v>34</v>
      </c>
      <c r="C730">
        <v>20228</v>
      </c>
      <c r="D730" s="2" t="s">
        <v>29</v>
      </c>
      <c r="E730">
        <v>6</v>
      </c>
      <c r="F730">
        <v>1</v>
      </c>
      <c r="G730" s="4">
        <f>VALUE(SUBSTITUTE(SUBSTITUTE(Table1[[#This Row],[Price]],"$",""),",",""))</f>
        <v>461841</v>
      </c>
      <c r="H730" s="1">
        <f>Table1[[#This Row],[Price2]]/Table1[[#This Row],[Area]]</f>
        <v>133.67322720694645</v>
      </c>
      <c r="I730">
        <v>3455</v>
      </c>
      <c r="J730">
        <v>1990</v>
      </c>
      <c r="K730">
        <v>110</v>
      </c>
      <c r="L730" t="s">
        <v>40</v>
      </c>
      <c r="M730" t="s">
        <v>2973</v>
      </c>
      <c r="N730" s="2" t="s">
        <v>3027</v>
      </c>
      <c r="O730" t="s">
        <v>3028</v>
      </c>
      <c r="P730" t="s">
        <v>21</v>
      </c>
      <c r="Q730">
        <v>133.67322720694645</v>
      </c>
      <c r="R730">
        <f ca="1">YEAR(TODAY())-Table1[[#This Row],[Year Built]]</f>
        <v>36</v>
      </c>
      <c r="S730" t="str">
        <f>IF(Table1[[#This Row],[Days on Market]] &lt; 30,"Fast",IF(Table1[[#This Row],[Days on Market]]&lt;= 90,"Average", "Slow"))</f>
        <v>Slow</v>
      </c>
      <c r="T730" t="str">
        <f>IF(Table1[[#This Row],[Price2]]&lt;500000,"Affordable",IF(Table1[[#This Row],[Price2]]&lt;1000000,"Mid range","Luxury"))</f>
        <v>Affordable</v>
      </c>
    </row>
    <row r="731" spans="1:20" x14ac:dyDescent="0.35">
      <c r="A731" s="3">
        <v>462296</v>
      </c>
      <c r="B731" s="2" t="s">
        <v>12</v>
      </c>
      <c r="C731">
        <v>39144</v>
      </c>
      <c r="D731" s="2" t="s">
        <v>13</v>
      </c>
      <c r="E731">
        <v>6</v>
      </c>
      <c r="F731">
        <v>3</v>
      </c>
      <c r="G731" s="4">
        <f>VALUE(SUBSTITUTE(SUBSTITUTE(Table1[[#This Row],[Price]],"$",""),",",""))</f>
        <v>462296</v>
      </c>
      <c r="H731" s="1">
        <f>Table1[[#This Row],[Price2]]/Table1[[#This Row],[Area]]</f>
        <v>289.47777082028801</v>
      </c>
      <c r="I731">
        <v>1597</v>
      </c>
      <c r="J731">
        <v>1994</v>
      </c>
      <c r="K731">
        <v>79</v>
      </c>
      <c r="L731" t="s">
        <v>30</v>
      </c>
      <c r="M731" t="s">
        <v>2583</v>
      </c>
      <c r="N731" s="2" t="s">
        <v>3031</v>
      </c>
      <c r="O731" t="s">
        <v>3032</v>
      </c>
      <c r="P731" t="s">
        <v>16</v>
      </c>
      <c r="Q731">
        <v>289.47777082028801</v>
      </c>
      <c r="R731">
        <f ca="1">YEAR(TODAY())-Table1[[#This Row],[Year Built]]</f>
        <v>32</v>
      </c>
      <c r="S731" t="str">
        <f>IF(Table1[[#This Row],[Days on Market]] &lt; 30,"Fast",IF(Table1[[#This Row],[Days on Market]]&lt;= 90,"Average", "Slow"))</f>
        <v>Average</v>
      </c>
      <c r="T731" t="str">
        <f>IF(Table1[[#This Row],[Price2]]&lt;500000,"Affordable",IF(Table1[[#This Row],[Price2]]&lt;1000000,"Mid range","Luxury"))</f>
        <v>Affordable</v>
      </c>
    </row>
    <row r="732" spans="1:20" x14ac:dyDescent="0.35">
      <c r="A732" s="3">
        <v>462828</v>
      </c>
      <c r="B732" s="2" t="s">
        <v>12</v>
      </c>
      <c r="C732">
        <v>98979</v>
      </c>
      <c r="D732" s="2" t="s">
        <v>23</v>
      </c>
      <c r="E732">
        <v>3</v>
      </c>
      <c r="F732">
        <v>4</v>
      </c>
      <c r="G732" s="4">
        <f>VALUE(SUBSTITUTE(SUBSTITUTE(Table1[[#This Row],[Price]],"$",""),",",""))</f>
        <v>462828</v>
      </c>
      <c r="H732" s="1">
        <f>Table1[[#This Row],[Price2]]/Table1[[#This Row],[Area]]</f>
        <v>641.92510402219136</v>
      </c>
      <c r="I732">
        <v>721</v>
      </c>
      <c r="J732">
        <v>2013</v>
      </c>
      <c r="K732">
        <v>7</v>
      </c>
      <c r="L732" t="s">
        <v>14</v>
      </c>
      <c r="M732" t="s">
        <v>1394</v>
      </c>
      <c r="N732" s="2" t="s">
        <v>3035</v>
      </c>
      <c r="O732" t="s">
        <v>3036</v>
      </c>
      <c r="P732" t="s">
        <v>26</v>
      </c>
      <c r="Q732">
        <v>641.92510402219136</v>
      </c>
      <c r="R732">
        <f ca="1">YEAR(TODAY())-Table1[[#This Row],[Year Built]]</f>
        <v>13</v>
      </c>
      <c r="S732" t="str">
        <f>IF(Table1[[#This Row],[Days on Market]] &lt; 30,"Fast",IF(Table1[[#This Row],[Days on Market]]&lt;= 90,"Average", "Slow"))</f>
        <v>Fast</v>
      </c>
      <c r="T732" t="str">
        <f>IF(Table1[[#This Row],[Price2]]&lt;500000,"Affordable",IF(Table1[[#This Row],[Price2]]&lt;1000000,"Mid range","Luxury"))</f>
        <v>Affordable</v>
      </c>
    </row>
    <row r="733" spans="1:20" x14ac:dyDescent="0.35">
      <c r="A733" s="3">
        <v>462942</v>
      </c>
      <c r="B733" s="2" t="s">
        <v>27</v>
      </c>
      <c r="C733">
        <v>21056</v>
      </c>
      <c r="D733" s="2" t="s">
        <v>35</v>
      </c>
      <c r="E733">
        <v>6</v>
      </c>
      <c r="F733">
        <v>1</v>
      </c>
      <c r="G733" s="4">
        <f>VALUE(SUBSTITUTE(SUBSTITUTE(Table1[[#This Row],[Price]],"$",""),",",""))</f>
        <v>462942</v>
      </c>
      <c r="H733" s="1">
        <f>Table1[[#This Row],[Price2]]/Table1[[#This Row],[Area]]</f>
        <v>335.46521739130435</v>
      </c>
      <c r="I733">
        <v>1380</v>
      </c>
      <c r="J733">
        <v>1996</v>
      </c>
      <c r="K733">
        <v>31</v>
      </c>
      <c r="L733" t="s">
        <v>14</v>
      </c>
      <c r="M733" t="s">
        <v>1929</v>
      </c>
      <c r="N733" s="2" t="s">
        <v>3035</v>
      </c>
      <c r="O733" t="s">
        <v>3036</v>
      </c>
      <c r="P733" t="s">
        <v>21</v>
      </c>
      <c r="Q733">
        <v>335.46521739130435</v>
      </c>
      <c r="R733">
        <f ca="1">YEAR(TODAY())-Table1[[#This Row],[Year Built]]</f>
        <v>30</v>
      </c>
      <c r="S733" t="str">
        <f>IF(Table1[[#This Row],[Days on Market]] &lt; 30,"Fast",IF(Table1[[#This Row],[Days on Market]]&lt;= 90,"Average", "Slow"))</f>
        <v>Average</v>
      </c>
      <c r="T733" t="str">
        <f>IF(Table1[[#This Row],[Price2]]&lt;500000,"Affordable",IF(Table1[[#This Row],[Price2]]&lt;1000000,"Mid range","Luxury"))</f>
        <v>Affordable</v>
      </c>
    </row>
    <row r="734" spans="1:20" x14ac:dyDescent="0.35">
      <c r="A734" s="3">
        <v>463854</v>
      </c>
      <c r="B734" s="2" t="s">
        <v>27</v>
      </c>
      <c r="C734">
        <v>10506</v>
      </c>
      <c r="D734" s="2" t="s">
        <v>18</v>
      </c>
      <c r="E734">
        <v>4</v>
      </c>
      <c r="F734">
        <v>4</v>
      </c>
      <c r="G734" s="4">
        <f>VALUE(SUBSTITUTE(SUBSTITUTE(Table1[[#This Row],[Price]],"$",""),",",""))</f>
        <v>463854</v>
      </c>
      <c r="H734" s="1">
        <f>Table1[[#This Row],[Price2]]/Table1[[#This Row],[Area]]</f>
        <v>631.95367847411444</v>
      </c>
      <c r="I734">
        <v>734</v>
      </c>
      <c r="J734">
        <v>2015</v>
      </c>
      <c r="K734">
        <v>9</v>
      </c>
      <c r="L734" t="s">
        <v>40</v>
      </c>
      <c r="M734" t="s">
        <v>780</v>
      </c>
      <c r="N734" s="2" t="s">
        <v>3033</v>
      </c>
      <c r="O734" t="s">
        <v>3034</v>
      </c>
      <c r="P734" t="s">
        <v>21</v>
      </c>
      <c r="Q734">
        <v>631.95367847411444</v>
      </c>
      <c r="R734">
        <f ca="1">YEAR(TODAY())-Table1[[#This Row],[Year Built]]</f>
        <v>11</v>
      </c>
      <c r="S734" t="str">
        <f>IF(Table1[[#This Row],[Days on Market]] &lt; 30,"Fast",IF(Table1[[#This Row],[Days on Market]]&lt;= 90,"Average", "Slow"))</f>
        <v>Fast</v>
      </c>
      <c r="T734" t="str">
        <f>IF(Table1[[#This Row],[Price2]]&lt;500000,"Affordable",IF(Table1[[#This Row],[Price2]]&lt;1000000,"Mid range","Luxury"))</f>
        <v>Affordable</v>
      </c>
    </row>
    <row r="735" spans="1:20" x14ac:dyDescent="0.35">
      <c r="A735" s="3">
        <v>463948</v>
      </c>
      <c r="B735" s="2" t="s">
        <v>22</v>
      </c>
      <c r="C735">
        <v>44461</v>
      </c>
      <c r="D735" s="2" t="s">
        <v>13</v>
      </c>
      <c r="E735">
        <v>3</v>
      </c>
      <c r="F735">
        <v>1</v>
      </c>
      <c r="G735" s="4">
        <f>VALUE(SUBSTITUTE(SUBSTITUTE(Table1[[#This Row],[Price]],"$",""),",",""))</f>
        <v>463948</v>
      </c>
      <c r="H735" s="1">
        <f>Table1[[#This Row],[Price2]]/Table1[[#This Row],[Area]]</f>
        <v>176.27203647416414</v>
      </c>
      <c r="I735">
        <v>2632</v>
      </c>
      <c r="J735">
        <v>1995</v>
      </c>
      <c r="K735">
        <v>35</v>
      </c>
      <c r="L735" t="s">
        <v>40</v>
      </c>
      <c r="M735" t="s">
        <v>2337</v>
      </c>
      <c r="N735" s="2" t="s">
        <v>3031</v>
      </c>
      <c r="O735" t="s">
        <v>3032</v>
      </c>
      <c r="P735" t="s">
        <v>21</v>
      </c>
      <c r="Q735">
        <v>176.27203647416414</v>
      </c>
      <c r="R735">
        <f ca="1">YEAR(TODAY())-Table1[[#This Row],[Year Built]]</f>
        <v>31</v>
      </c>
      <c r="S735" t="str">
        <f>IF(Table1[[#This Row],[Days on Market]] &lt; 30,"Fast",IF(Table1[[#This Row],[Days on Market]]&lt;= 90,"Average", "Slow"))</f>
        <v>Average</v>
      </c>
      <c r="T735" t="str">
        <f>IF(Table1[[#This Row],[Price2]]&lt;500000,"Affordable",IF(Table1[[#This Row],[Price2]]&lt;1000000,"Mid range","Luxury"))</f>
        <v>Affordable</v>
      </c>
    </row>
    <row r="736" spans="1:20" x14ac:dyDescent="0.35">
      <c r="A736" s="3">
        <v>463990</v>
      </c>
      <c r="B736" s="2" t="s">
        <v>22</v>
      </c>
      <c r="C736">
        <v>75749</v>
      </c>
      <c r="D736" s="2" t="s">
        <v>29</v>
      </c>
      <c r="E736">
        <v>3</v>
      </c>
      <c r="F736">
        <v>1</v>
      </c>
      <c r="G736" s="4">
        <f>VALUE(SUBSTITUTE(SUBSTITUTE(Table1[[#This Row],[Price]],"$",""),",",""))</f>
        <v>463990</v>
      </c>
      <c r="H736" s="1">
        <f>Table1[[#This Row],[Price2]]/Table1[[#This Row],[Area]]</f>
        <v>151.18605408927991</v>
      </c>
      <c r="I736">
        <v>3069</v>
      </c>
      <c r="J736">
        <v>1968</v>
      </c>
      <c r="K736">
        <v>44</v>
      </c>
      <c r="L736" t="s">
        <v>52</v>
      </c>
      <c r="M736" t="s">
        <v>925</v>
      </c>
      <c r="N736" s="2" t="s">
        <v>3029</v>
      </c>
      <c r="O736" t="s">
        <v>3030</v>
      </c>
      <c r="P736" t="s">
        <v>26</v>
      </c>
      <c r="Q736">
        <v>151.18605408927991</v>
      </c>
      <c r="R736">
        <f ca="1">YEAR(TODAY())-Table1[[#This Row],[Year Built]]</f>
        <v>58</v>
      </c>
      <c r="S736" t="str">
        <f>IF(Table1[[#This Row],[Days on Market]] &lt; 30,"Fast",IF(Table1[[#This Row],[Days on Market]]&lt;= 90,"Average", "Slow"))</f>
        <v>Average</v>
      </c>
      <c r="T736" t="str">
        <f>IF(Table1[[#This Row],[Price2]]&lt;500000,"Affordable",IF(Table1[[#This Row],[Price2]]&lt;1000000,"Mid range","Luxury"))</f>
        <v>Affordable</v>
      </c>
    </row>
    <row r="737" spans="1:20" x14ac:dyDescent="0.35">
      <c r="A737" s="3">
        <v>464626</v>
      </c>
      <c r="B737" s="2" t="s">
        <v>22</v>
      </c>
      <c r="C737">
        <v>75022</v>
      </c>
      <c r="D737" s="2" t="s">
        <v>23</v>
      </c>
      <c r="E737">
        <v>3</v>
      </c>
      <c r="F737">
        <v>4</v>
      </c>
      <c r="G737" s="4">
        <f>VALUE(SUBSTITUTE(SUBSTITUTE(Table1[[#This Row],[Price]],"$",""),",",""))</f>
        <v>464626</v>
      </c>
      <c r="H737" s="1">
        <f>Table1[[#This Row],[Price2]]/Table1[[#This Row],[Area]]</f>
        <v>394.41935483870969</v>
      </c>
      <c r="I737">
        <v>1178</v>
      </c>
      <c r="J737">
        <v>1951</v>
      </c>
      <c r="K737">
        <v>16</v>
      </c>
      <c r="L737" t="s">
        <v>30</v>
      </c>
      <c r="M737" t="s">
        <v>1494</v>
      </c>
      <c r="N737" s="2" t="s">
        <v>3029</v>
      </c>
      <c r="O737" t="s">
        <v>3030</v>
      </c>
      <c r="P737" t="s">
        <v>16</v>
      </c>
      <c r="Q737">
        <v>394.41935483870969</v>
      </c>
      <c r="R737">
        <f ca="1">YEAR(TODAY())-Table1[[#This Row],[Year Built]]</f>
        <v>75</v>
      </c>
      <c r="S737" t="str">
        <f>IF(Table1[[#This Row],[Days on Market]] &lt; 30,"Fast",IF(Table1[[#This Row],[Days on Market]]&lt;= 90,"Average", "Slow"))</f>
        <v>Fast</v>
      </c>
      <c r="T737" t="str">
        <f>IF(Table1[[#This Row],[Price2]]&lt;500000,"Affordable",IF(Table1[[#This Row],[Price2]]&lt;1000000,"Mid range","Luxury"))</f>
        <v>Affordable</v>
      </c>
    </row>
    <row r="738" spans="1:20" x14ac:dyDescent="0.35">
      <c r="A738" s="3">
        <v>464902</v>
      </c>
      <c r="B738" s="2" t="s">
        <v>34</v>
      </c>
      <c r="C738">
        <v>51002</v>
      </c>
      <c r="D738" s="2" t="s">
        <v>29</v>
      </c>
      <c r="E738">
        <v>5</v>
      </c>
      <c r="F738">
        <v>3</v>
      </c>
      <c r="G738" s="4">
        <f>VALUE(SUBSTITUTE(SUBSTITUTE(Table1[[#This Row],[Price]],"$",""),",",""))</f>
        <v>464902</v>
      </c>
      <c r="H738" s="1">
        <f>Table1[[#This Row],[Price2]]/Table1[[#This Row],[Area]]</f>
        <v>195.09106168694922</v>
      </c>
      <c r="I738">
        <v>2383</v>
      </c>
      <c r="J738">
        <v>1961</v>
      </c>
      <c r="K738">
        <v>80</v>
      </c>
      <c r="L738" t="s">
        <v>52</v>
      </c>
      <c r="M738" t="s">
        <v>1548</v>
      </c>
      <c r="N738" s="2" t="s">
        <v>3029</v>
      </c>
      <c r="O738" t="s">
        <v>3030</v>
      </c>
      <c r="P738" t="s">
        <v>16</v>
      </c>
      <c r="Q738">
        <v>195.09106168694922</v>
      </c>
      <c r="R738">
        <f ca="1">YEAR(TODAY())-Table1[[#This Row],[Year Built]]</f>
        <v>65</v>
      </c>
      <c r="S738" t="str">
        <f>IF(Table1[[#This Row],[Days on Market]] &lt; 30,"Fast",IF(Table1[[#This Row],[Days on Market]]&lt;= 90,"Average", "Slow"))</f>
        <v>Average</v>
      </c>
      <c r="T738" t="str">
        <f>IF(Table1[[#This Row],[Price2]]&lt;500000,"Affordable",IF(Table1[[#This Row],[Price2]]&lt;1000000,"Mid range","Luxury"))</f>
        <v>Affordable</v>
      </c>
    </row>
    <row r="739" spans="1:20" x14ac:dyDescent="0.35">
      <c r="A739" s="3">
        <v>465036</v>
      </c>
      <c r="B739" s="2" t="s">
        <v>34</v>
      </c>
      <c r="C739">
        <v>17869</v>
      </c>
      <c r="D739" s="2" t="s">
        <v>23</v>
      </c>
      <c r="E739">
        <v>2</v>
      </c>
      <c r="F739">
        <v>3</v>
      </c>
      <c r="G739" s="4">
        <f>VALUE(SUBSTITUTE(SUBSTITUTE(Table1[[#This Row],[Price]],"$",""),",",""))</f>
        <v>465036</v>
      </c>
      <c r="H739" s="1">
        <f>Table1[[#This Row],[Price2]]/Table1[[#This Row],[Area]]</f>
        <v>269.27388535031849</v>
      </c>
      <c r="I739">
        <v>1727</v>
      </c>
      <c r="J739">
        <v>1986</v>
      </c>
      <c r="K739">
        <v>119</v>
      </c>
      <c r="L739" t="s">
        <v>40</v>
      </c>
      <c r="M739" t="s">
        <v>349</v>
      </c>
      <c r="N739" s="2" t="s">
        <v>3033</v>
      </c>
      <c r="O739" t="s">
        <v>3034</v>
      </c>
      <c r="P739" t="s">
        <v>26</v>
      </c>
      <c r="Q739">
        <v>269.27388535031849</v>
      </c>
      <c r="R739">
        <f ca="1">YEAR(TODAY())-Table1[[#This Row],[Year Built]]</f>
        <v>40</v>
      </c>
      <c r="S739" t="str">
        <f>IF(Table1[[#This Row],[Days on Market]] &lt; 30,"Fast",IF(Table1[[#This Row],[Days on Market]]&lt;= 90,"Average", "Slow"))</f>
        <v>Slow</v>
      </c>
      <c r="T739" t="str">
        <f>IF(Table1[[#This Row],[Price2]]&lt;500000,"Affordable",IF(Table1[[#This Row],[Price2]]&lt;1000000,"Mid range","Luxury"))</f>
        <v>Affordable</v>
      </c>
    </row>
    <row r="740" spans="1:20" x14ac:dyDescent="0.35">
      <c r="A740" s="3">
        <v>465265</v>
      </c>
      <c r="B740" s="2" t="s">
        <v>34</v>
      </c>
      <c r="C740">
        <v>17440</v>
      </c>
      <c r="D740" s="2" t="s">
        <v>29</v>
      </c>
      <c r="E740">
        <v>4</v>
      </c>
      <c r="F740">
        <v>2</v>
      </c>
      <c r="G740" s="4">
        <f>VALUE(SUBSTITUTE(SUBSTITUTE(Table1[[#This Row],[Price]],"$",""),",",""))</f>
        <v>465265</v>
      </c>
      <c r="H740" s="1">
        <f>Table1[[#This Row],[Price2]]/Table1[[#This Row],[Area]]</f>
        <v>318.45653661875428</v>
      </c>
      <c r="I740">
        <v>1461</v>
      </c>
      <c r="J740">
        <v>2001</v>
      </c>
      <c r="K740">
        <v>62</v>
      </c>
      <c r="L740" t="s">
        <v>40</v>
      </c>
      <c r="M740" t="s">
        <v>1342</v>
      </c>
      <c r="N740" s="2" t="s">
        <v>3031</v>
      </c>
      <c r="O740" t="s">
        <v>3032</v>
      </c>
      <c r="P740" t="s">
        <v>21</v>
      </c>
      <c r="Q740">
        <v>318.45653661875428</v>
      </c>
      <c r="R740">
        <f ca="1">YEAR(TODAY())-Table1[[#This Row],[Year Built]]</f>
        <v>25</v>
      </c>
      <c r="S740" t="str">
        <f>IF(Table1[[#This Row],[Days on Market]] &lt; 30,"Fast",IF(Table1[[#This Row],[Days on Market]]&lt;= 90,"Average", "Slow"))</f>
        <v>Average</v>
      </c>
      <c r="T740" t="str">
        <f>IF(Table1[[#This Row],[Price2]]&lt;500000,"Affordable",IF(Table1[[#This Row],[Price2]]&lt;1000000,"Mid range","Luxury"))</f>
        <v>Affordable</v>
      </c>
    </row>
    <row r="741" spans="1:20" x14ac:dyDescent="0.35">
      <c r="A741" s="3">
        <v>465743</v>
      </c>
      <c r="B741" s="2" t="s">
        <v>34</v>
      </c>
      <c r="C741">
        <v>54506</v>
      </c>
      <c r="D741" s="2" t="s">
        <v>29</v>
      </c>
      <c r="E741">
        <v>3</v>
      </c>
      <c r="F741">
        <v>2</v>
      </c>
      <c r="G741" s="4">
        <f>VALUE(SUBSTITUTE(SUBSTITUTE(Table1[[#This Row],[Price]],"$",""),",",""))</f>
        <v>465743</v>
      </c>
      <c r="H741" s="1">
        <f>Table1[[#This Row],[Price2]]/Table1[[#This Row],[Area]]</f>
        <v>164.80644019815995</v>
      </c>
      <c r="I741">
        <v>2826</v>
      </c>
      <c r="J741">
        <v>1962</v>
      </c>
      <c r="K741">
        <v>106</v>
      </c>
      <c r="L741" t="s">
        <v>19</v>
      </c>
      <c r="M741" t="s">
        <v>2978</v>
      </c>
      <c r="N741" s="2" t="s">
        <v>3033</v>
      </c>
      <c r="O741" t="s">
        <v>3034</v>
      </c>
      <c r="P741" t="s">
        <v>26</v>
      </c>
      <c r="Q741">
        <v>164.80644019815995</v>
      </c>
      <c r="R741">
        <f ca="1">YEAR(TODAY())-Table1[[#This Row],[Year Built]]</f>
        <v>64</v>
      </c>
      <c r="S741" t="str">
        <f>IF(Table1[[#This Row],[Days on Market]] &lt; 30,"Fast",IF(Table1[[#This Row],[Days on Market]]&lt;= 90,"Average", "Slow"))</f>
        <v>Slow</v>
      </c>
      <c r="T741" t="str">
        <f>IF(Table1[[#This Row],[Price2]]&lt;500000,"Affordable",IF(Table1[[#This Row],[Price2]]&lt;1000000,"Mid range","Luxury"))</f>
        <v>Affordable</v>
      </c>
    </row>
    <row r="742" spans="1:20" x14ac:dyDescent="0.35">
      <c r="A742" s="3">
        <v>465778</v>
      </c>
      <c r="B742" s="2" t="s">
        <v>27</v>
      </c>
      <c r="C742">
        <v>23989</v>
      </c>
      <c r="D742" s="2" t="s">
        <v>13</v>
      </c>
      <c r="E742">
        <v>3</v>
      </c>
      <c r="F742">
        <v>2</v>
      </c>
      <c r="G742" s="4">
        <f>VALUE(SUBSTITUTE(SUBSTITUTE(Table1[[#This Row],[Price]],"$",""),",",""))</f>
        <v>465778</v>
      </c>
      <c r="H742" s="1">
        <f>Table1[[#This Row],[Price2]]/Table1[[#This Row],[Area]]</f>
        <v>272.22559906487436</v>
      </c>
      <c r="I742">
        <v>1711</v>
      </c>
      <c r="J742">
        <v>2020</v>
      </c>
      <c r="K742">
        <v>26</v>
      </c>
      <c r="L742" t="s">
        <v>14</v>
      </c>
      <c r="M742" t="s">
        <v>28</v>
      </c>
      <c r="N742" s="2" t="s">
        <v>3033</v>
      </c>
      <c r="O742" t="s">
        <v>3034</v>
      </c>
      <c r="P742" t="s">
        <v>26</v>
      </c>
      <c r="Q742">
        <v>272.22559906487436</v>
      </c>
      <c r="R742">
        <f ca="1">YEAR(TODAY())-Table1[[#This Row],[Year Built]]</f>
        <v>6</v>
      </c>
      <c r="S742" t="str">
        <f>IF(Table1[[#This Row],[Days on Market]] &lt; 30,"Fast",IF(Table1[[#This Row],[Days on Market]]&lt;= 90,"Average", "Slow"))</f>
        <v>Fast</v>
      </c>
      <c r="T742" t="str">
        <f>IF(Table1[[#This Row],[Price2]]&lt;500000,"Affordable",IF(Table1[[#This Row],[Price2]]&lt;1000000,"Mid range","Luxury"))</f>
        <v>Affordable</v>
      </c>
    </row>
    <row r="743" spans="1:20" x14ac:dyDescent="0.35">
      <c r="A743" s="3">
        <v>466691</v>
      </c>
      <c r="B743" s="2" t="s">
        <v>34</v>
      </c>
      <c r="C743">
        <v>98708</v>
      </c>
      <c r="D743" s="2" t="s">
        <v>13</v>
      </c>
      <c r="E743">
        <v>1</v>
      </c>
      <c r="F743">
        <v>2</v>
      </c>
      <c r="G743" s="4">
        <f>VALUE(SUBSTITUTE(SUBSTITUTE(Table1[[#This Row],[Price]],"$",""),",",""))</f>
        <v>466691</v>
      </c>
      <c r="H743" s="1">
        <f>Table1[[#This Row],[Price2]]/Table1[[#This Row],[Area]]</f>
        <v>268.05916140149338</v>
      </c>
      <c r="I743">
        <v>1741</v>
      </c>
      <c r="J743">
        <v>2014</v>
      </c>
      <c r="K743">
        <v>18</v>
      </c>
      <c r="L743" t="s">
        <v>40</v>
      </c>
      <c r="M743" t="s">
        <v>200</v>
      </c>
      <c r="N743" s="2" t="s">
        <v>3027</v>
      </c>
      <c r="O743" t="s">
        <v>3028</v>
      </c>
      <c r="P743" t="s">
        <v>16</v>
      </c>
      <c r="Q743">
        <v>268.05916140149338</v>
      </c>
      <c r="R743">
        <f ca="1">YEAR(TODAY())-Table1[[#This Row],[Year Built]]</f>
        <v>12</v>
      </c>
      <c r="S743" t="str">
        <f>IF(Table1[[#This Row],[Days on Market]] &lt; 30,"Fast",IF(Table1[[#This Row],[Days on Market]]&lt;= 90,"Average", "Slow"))</f>
        <v>Fast</v>
      </c>
      <c r="T743" t="str">
        <f>IF(Table1[[#This Row],[Price2]]&lt;500000,"Affordable",IF(Table1[[#This Row],[Price2]]&lt;1000000,"Mid range","Luxury"))</f>
        <v>Affordable</v>
      </c>
    </row>
    <row r="744" spans="1:20" x14ac:dyDescent="0.35">
      <c r="A744" s="3">
        <v>467298</v>
      </c>
      <c r="B744" s="2" t="s">
        <v>27</v>
      </c>
      <c r="C744">
        <v>85311</v>
      </c>
      <c r="D744" s="2" t="s">
        <v>23</v>
      </c>
      <c r="E744">
        <v>6</v>
      </c>
      <c r="F744">
        <v>4</v>
      </c>
      <c r="G744" s="4">
        <f>VALUE(SUBSTITUTE(SUBSTITUTE(Table1[[#This Row],[Price]],"$",""),",",""))</f>
        <v>467298</v>
      </c>
      <c r="H744" s="1">
        <f>Table1[[#This Row],[Price2]]/Table1[[#This Row],[Area]]</f>
        <v>386.51612903225805</v>
      </c>
      <c r="I744">
        <v>1209</v>
      </c>
      <c r="J744">
        <v>1963</v>
      </c>
      <c r="K744">
        <v>58</v>
      </c>
      <c r="L744" t="s">
        <v>40</v>
      </c>
      <c r="M744" t="s">
        <v>475</v>
      </c>
      <c r="N744" s="2" t="s">
        <v>3033</v>
      </c>
      <c r="O744" t="s">
        <v>3034</v>
      </c>
      <c r="P744" t="s">
        <v>26</v>
      </c>
      <c r="Q744">
        <v>386.51612903225805</v>
      </c>
      <c r="R744">
        <f ca="1">YEAR(TODAY())-Table1[[#This Row],[Year Built]]</f>
        <v>63</v>
      </c>
      <c r="S744" t="str">
        <f>IF(Table1[[#This Row],[Days on Market]] &lt; 30,"Fast",IF(Table1[[#This Row],[Days on Market]]&lt;= 90,"Average", "Slow"))</f>
        <v>Average</v>
      </c>
      <c r="T744" t="str">
        <f>IF(Table1[[#This Row],[Price2]]&lt;500000,"Affordable",IF(Table1[[#This Row],[Price2]]&lt;1000000,"Mid range","Luxury"))</f>
        <v>Affordable</v>
      </c>
    </row>
    <row r="745" spans="1:20" x14ac:dyDescent="0.35">
      <c r="A745" s="3">
        <v>467871</v>
      </c>
      <c r="B745" s="2" t="s">
        <v>22</v>
      </c>
      <c r="C745">
        <v>15604</v>
      </c>
      <c r="D745" s="2" t="s">
        <v>35</v>
      </c>
      <c r="E745">
        <v>3</v>
      </c>
      <c r="F745">
        <v>4</v>
      </c>
      <c r="G745" s="4">
        <f>VALUE(SUBSTITUTE(SUBSTITUTE(Table1[[#This Row],[Price]],"$",""),",",""))</f>
        <v>467871</v>
      </c>
      <c r="H745" s="1">
        <f>Table1[[#This Row],[Price2]]/Table1[[#This Row],[Area]]</f>
        <v>150.24759152215799</v>
      </c>
      <c r="I745">
        <v>3114</v>
      </c>
      <c r="J745">
        <v>1961</v>
      </c>
      <c r="K745">
        <v>77</v>
      </c>
      <c r="L745" t="s">
        <v>19</v>
      </c>
      <c r="M745" t="s">
        <v>886</v>
      </c>
      <c r="N745" s="2" t="s">
        <v>3035</v>
      </c>
      <c r="O745" t="s">
        <v>3036</v>
      </c>
      <c r="P745" t="s">
        <v>21</v>
      </c>
      <c r="Q745">
        <v>150.24759152215799</v>
      </c>
      <c r="R745">
        <f ca="1">YEAR(TODAY())-Table1[[#This Row],[Year Built]]</f>
        <v>65</v>
      </c>
      <c r="S745" t="str">
        <f>IF(Table1[[#This Row],[Days on Market]] &lt; 30,"Fast",IF(Table1[[#This Row],[Days on Market]]&lt;= 90,"Average", "Slow"))</f>
        <v>Average</v>
      </c>
      <c r="T745" t="str">
        <f>IF(Table1[[#This Row],[Price2]]&lt;500000,"Affordable",IF(Table1[[#This Row],[Price2]]&lt;1000000,"Mid range","Luxury"))</f>
        <v>Affordable</v>
      </c>
    </row>
    <row r="746" spans="1:20" x14ac:dyDescent="0.35">
      <c r="A746" s="3">
        <v>467982</v>
      </c>
      <c r="B746" s="2" t="s">
        <v>34</v>
      </c>
      <c r="C746">
        <v>85729</v>
      </c>
      <c r="D746" s="2" t="s">
        <v>23</v>
      </c>
      <c r="E746">
        <v>3</v>
      </c>
      <c r="F746">
        <v>4</v>
      </c>
      <c r="G746" s="4">
        <f>VALUE(SUBSTITUTE(SUBSTITUTE(Table1[[#This Row],[Price]],"$",""),",",""))</f>
        <v>467982</v>
      </c>
      <c r="H746" s="1">
        <f>Table1[[#This Row],[Price2]]/Table1[[#This Row],[Area]]</f>
        <v>298.07770700636945</v>
      </c>
      <c r="I746">
        <v>1570</v>
      </c>
      <c r="J746">
        <v>1978</v>
      </c>
      <c r="K746">
        <v>69</v>
      </c>
      <c r="L746" t="s">
        <v>14</v>
      </c>
      <c r="M746" t="s">
        <v>2787</v>
      </c>
      <c r="N746" s="2" t="s">
        <v>3035</v>
      </c>
      <c r="O746" t="s">
        <v>3036</v>
      </c>
      <c r="P746" t="s">
        <v>26</v>
      </c>
      <c r="Q746">
        <v>298.07770700636945</v>
      </c>
      <c r="R746">
        <f ca="1">YEAR(TODAY())-Table1[[#This Row],[Year Built]]</f>
        <v>48</v>
      </c>
      <c r="S746" t="str">
        <f>IF(Table1[[#This Row],[Days on Market]] &lt; 30,"Fast",IF(Table1[[#This Row],[Days on Market]]&lt;= 90,"Average", "Slow"))</f>
        <v>Average</v>
      </c>
      <c r="T746" t="str">
        <f>IF(Table1[[#This Row],[Price2]]&lt;500000,"Affordable",IF(Table1[[#This Row],[Price2]]&lt;1000000,"Mid range","Luxury"))</f>
        <v>Affordable</v>
      </c>
    </row>
    <row r="747" spans="1:20" x14ac:dyDescent="0.35">
      <c r="A747" s="3">
        <v>468367</v>
      </c>
      <c r="B747" s="2" t="s">
        <v>17</v>
      </c>
      <c r="C747">
        <v>23802</v>
      </c>
      <c r="D747" s="2" t="s">
        <v>23</v>
      </c>
      <c r="E747">
        <v>4</v>
      </c>
      <c r="F747">
        <v>2</v>
      </c>
      <c r="G747" s="4">
        <f>VALUE(SUBSTITUTE(SUBSTITUTE(Table1[[#This Row],[Price]],"$",""),",",""))</f>
        <v>468367</v>
      </c>
      <c r="H747" s="1">
        <f>Table1[[#This Row],[Price2]]/Table1[[#This Row],[Area]]</f>
        <v>118.48393625094864</v>
      </c>
      <c r="I747">
        <v>3953</v>
      </c>
      <c r="J747">
        <v>1964</v>
      </c>
      <c r="K747">
        <v>104</v>
      </c>
      <c r="L747" t="s">
        <v>30</v>
      </c>
      <c r="M747" t="s">
        <v>756</v>
      </c>
      <c r="N747" s="2" t="s">
        <v>3031</v>
      </c>
      <c r="O747" t="s">
        <v>3032</v>
      </c>
      <c r="P747" t="s">
        <v>16</v>
      </c>
      <c r="Q747">
        <v>118.48393625094864</v>
      </c>
      <c r="R747">
        <f ca="1">YEAR(TODAY())-Table1[[#This Row],[Year Built]]</f>
        <v>62</v>
      </c>
      <c r="S747" t="str">
        <f>IF(Table1[[#This Row],[Days on Market]] &lt; 30,"Fast",IF(Table1[[#This Row],[Days on Market]]&lt;= 90,"Average", "Slow"))</f>
        <v>Slow</v>
      </c>
      <c r="T747" t="str">
        <f>IF(Table1[[#This Row],[Price2]]&lt;500000,"Affordable",IF(Table1[[#This Row],[Price2]]&lt;1000000,"Mid range","Luxury"))</f>
        <v>Affordable</v>
      </c>
    </row>
    <row r="748" spans="1:20" x14ac:dyDescent="0.35">
      <c r="A748" s="3">
        <v>469172</v>
      </c>
      <c r="B748" s="2" t="s">
        <v>17</v>
      </c>
      <c r="C748">
        <v>71447</v>
      </c>
      <c r="D748" s="2" t="s">
        <v>18</v>
      </c>
      <c r="E748">
        <v>6</v>
      </c>
      <c r="F748">
        <v>4</v>
      </c>
      <c r="G748" s="4">
        <f>VALUE(SUBSTITUTE(SUBSTITUTE(Table1[[#This Row],[Price]],"$",""),",",""))</f>
        <v>469172</v>
      </c>
      <c r="H748" s="1">
        <f>Table1[[#This Row],[Price2]]/Table1[[#This Row],[Area]]</f>
        <v>519.57032115171648</v>
      </c>
      <c r="I748">
        <v>903</v>
      </c>
      <c r="J748">
        <v>1995</v>
      </c>
      <c r="K748">
        <v>80</v>
      </c>
      <c r="L748" t="s">
        <v>40</v>
      </c>
      <c r="M748" t="s">
        <v>1751</v>
      </c>
      <c r="N748" s="2" t="s">
        <v>3035</v>
      </c>
      <c r="O748" t="s">
        <v>3036</v>
      </c>
      <c r="P748" t="s">
        <v>21</v>
      </c>
      <c r="Q748">
        <v>519.57032115171648</v>
      </c>
      <c r="R748">
        <f ca="1">YEAR(TODAY())-Table1[[#This Row],[Year Built]]</f>
        <v>31</v>
      </c>
      <c r="S748" t="str">
        <f>IF(Table1[[#This Row],[Days on Market]] &lt; 30,"Fast",IF(Table1[[#This Row],[Days on Market]]&lt;= 90,"Average", "Slow"))</f>
        <v>Average</v>
      </c>
      <c r="T748" t="str">
        <f>IF(Table1[[#This Row],[Price2]]&lt;500000,"Affordable",IF(Table1[[#This Row],[Price2]]&lt;1000000,"Mid range","Luxury"))</f>
        <v>Affordable</v>
      </c>
    </row>
    <row r="749" spans="1:20" x14ac:dyDescent="0.35">
      <c r="A749" s="3">
        <v>469414</v>
      </c>
      <c r="B749" s="2" t="s">
        <v>34</v>
      </c>
      <c r="C749">
        <v>99931</v>
      </c>
      <c r="D749" s="2" t="s">
        <v>29</v>
      </c>
      <c r="E749">
        <v>1</v>
      </c>
      <c r="F749">
        <v>1</v>
      </c>
      <c r="G749" s="4">
        <f>VALUE(SUBSTITUTE(SUBSTITUTE(Table1[[#This Row],[Price]],"$",""),",",""))</f>
        <v>469414</v>
      </c>
      <c r="H749" s="1">
        <f>Table1[[#This Row],[Price2]]/Table1[[#This Row],[Area]]</f>
        <v>150.21248</v>
      </c>
      <c r="I749">
        <v>3125</v>
      </c>
      <c r="J749">
        <v>1986</v>
      </c>
      <c r="K749">
        <v>4</v>
      </c>
      <c r="L749" t="s">
        <v>52</v>
      </c>
      <c r="M749" t="s">
        <v>1060</v>
      </c>
      <c r="N749" s="2" t="s">
        <v>3029</v>
      </c>
      <c r="O749" t="s">
        <v>3030</v>
      </c>
      <c r="P749" t="s">
        <v>21</v>
      </c>
      <c r="Q749">
        <v>150.21248</v>
      </c>
      <c r="R749">
        <f ca="1">YEAR(TODAY())-Table1[[#This Row],[Year Built]]</f>
        <v>40</v>
      </c>
      <c r="S749" t="str">
        <f>IF(Table1[[#This Row],[Days on Market]] &lt; 30,"Fast",IF(Table1[[#This Row],[Days on Market]]&lt;= 90,"Average", "Slow"))</f>
        <v>Fast</v>
      </c>
      <c r="T749" t="str">
        <f>IF(Table1[[#This Row],[Price2]]&lt;500000,"Affordable",IF(Table1[[#This Row],[Price2]]&lt;1000000,"Mid range","Luxury"))</f>
        <v>Affordable</v>
      </c>
    </row>
    <row r="750" spans="1:20" x14ac:dyDescent="0.35">
      <c r="A750" s="3">
        <v>469613</v>
      </c>
      <c r="B750" s="2" t="s">
        <v>12</v>
      </c>
      <c r="C750">
        <v>35455</v>
      </c>
      <c r="D750" s="2" t="s">
        <v>35</v>
      </c>
      <c r="E750">
        <v>6</v>
      </c>
      <c r="F750">
        <v>4</v>
      </c>
      <c r="G750" s="4">
        <f>VALUE(SUBSTITUTE(SUBSTITUTE(Table1[[#This Row],[Price]],"$",""),",",""))</f>
        <v>469613</v>
      </c>
      <c r="H750" s="1">
        <f>Table1[[#This Row],[Price2]]/Table1[[#This Row],[Area]]</f>
        <v>361.51886066204776</v>
      </c>
      <c r="I750">
        <v>1299</v>
      </c>
      <c r="J750">
        <v>2009</v>
      </c>
      <c r="K750">
        <v>84</v>
      </c>
      <c r="L750" t="s">
        <v>40</v>
      </c>
      <c r="M750" t="s">
        <v>1998</v>
      </c>
      <c r="N750" s="2" t="s">
        <v>3027</v>
      </c>
      <c r="O750" t="s">
        <v>3028</v>
      </c>
      <c r="P750" t="s">
        <v>21</v>
      </c>
      <c r="Q750">
        <v>361.51886066204776</v>
      </c>
      <c r="R750">
        <f ca="1">YEAR(TODAY())-Table1[[#This Row],[Year Built]]</f>
        <v>17</v>
      </c>
      <c r="S750" t="str">
        <f>IF(Table1[[#This Row],[Days on Market]] &lt; 30,"Fast",IF(Table1[[#This Row],[Days on Market]]&lt;= 90,"Average", "Slow"))</f>
        <v>Average</v>
      </c>
      <c r="T750" t="str">
        <f>IF(Table1[[#This Row],[Price2]]&lt;500000,"Affordable",IF(Table1[[#This Row],[Price2]]&lt;1000000,"Mid range","Luxury"))</f>
        <v>Affordable</v>
      </c>
    </row>
    <row r="751" spans="1:20" x14ac:dyDescent="0.35">
      <c r="A751" s="3">
        <v>470645</v>
      </c>
      <c r="B751" s="2" t="s">
        <v>12</v>
      </c>
      <c r="C751">
        <v>75919</v>
      </c>
      <c r="D751" s="2" t="s">
        <v>35</v>
      </c>
      <c r="E751">
        <v>5</v>
      </c>
      <c r="F751">
        <v>4</v>
      </c>
      <c r="G751" s="4">
        <f>VALUE(SUBSTITUTE(SUBSTITUTE(Table1[[#This Row],[Price]],"$",""),",",""))</f>
        <v>470645</v>
      </c>
      <c r="H751" s="1">
        <f>Table1[[#This Row],[Price2]]/Table1[[#This Row],[Area]]</f>
        <v>156.98632421614408</v>
      </c>
      <c r="I751">
        <v>2998</v>
      </c>
      <c r="J751">
        <v>1999</v>
      </c>
      <c r="K751">
        <v>47</v>
      </c>
      <c r="L751" t="s">
        <v>40</v>
      </c>
      <c r="M751" t="s">
        <v>833</v>
      </c>
      <c r="N751" s="2" t="s">
        <v>3033</v>
      </c>
      <c r="O751" t="s">
        <v>3034</v>
      </c>
      <c r="P751" t="s">
        <v>26</v>
      </c>
      <c r="Q751">
        <v>156.98632421614408</v>
      </c>
      <c r="R751">
        <f ca="1">YEAR(TODAY())-Table1[[#This Row],[Year Built]]</f>
        <v>27</v>
      </c>
      <c r="S751" t="str">
        <f>IF(Table1[[#This Row],[Days on Market]] &lt; 30,"Fast",IF(Table1[[#This Row],[Days on Market]]&lt;= 90,"Average", "Slow"))</f>
        <v>Average</v>
      </c>
      <c r="T751" t="str">
        <f>IF(Table1[[#This Row],[Price2]]&lt;500000,"Affordable",IF(Table1[[#This Row],[Price2]]&lt;1000000,"Mid range","Luxury"))</f>
        <v>Affordable</v>
      </c>
    </row>
    <row r="752" spans="1:20" x14ac:dyDescent="0.35">
      <c r="A752" s="3">
        <v>472624</v>
      </c>
      <c r="B752" s="2" t="s">
        <v>22</v>
      </c>
      <c r="C752">
        <v>55582</v>
      </c>
      <c r="D752" s="2" t="s">
        <v>29</v>
      </c>
      <c r="E752">
        <v>4</v>
      </c>
      <c r="F752">
        <v>3</v>
      </c>
      <c r="G752" s="4">
        <f>VALUE(SUBSTITUTE(SUBSTITUTE(Table1[[#This Row],[Price]],"$",""),",",""))</f>
        <v>472624</v>
      </c>
      <c r="H752" s="1">
        <f>Table1[[#This Row],[Price2]]/Table1[[#This Row],[Area]]</f>
        <v>324.82749140893469</v>
      </c>
      <c r="I752">
        <v>1455</v>
      </c>
      <c r="J752">
        <v>2021</v>
      </c>
      <c r="K752">
        <v>19</v>
      </c>
      <c r="L752" t="s">
        <v>40</v>
      </c>
      <c r="M752" t="s">
        <v>1794</v>
      </c>
      <c r="N752" s="2" t="s">
        <v>3027</v>
      </c>
      <c r="O752" t="s">
        <v>3028</v>
      </c>
      <c r="P752" t="s">
        <v>26</v>
      </c>
      <c r="Q752">
        <v>324.82749140893469</v>
      </c>
      <c r="R752">
        <f ca="1">YEAR(TODAY())-Table1[[#This Row],[Year Built]]</f>
        <v>5</v>
      </c>
      <c r="S752" t="str">
        <f>IF(Table1[[#This Row],[Days on Market]] &lt; 30,"Fast",IF(Table1[[#This Row],[Days on Market]]&lt;= 90,"Average", "Slow"))</f>
        <v>Fast</v>
      </c>
      <c r="T752" t="str">
        <f>IF(Table1[[#This Row],[Price2]]&lt;500000,"Affordable",IF(Table1[[#This Row],[Price2]]&lt;1000000,"Mid range","Luxury"))</f>
        <v>Affordable</v>
      </c>
    </row>
    <row r="753" spans="1:20" x14ac:dyDescent="0.35">
      <c r="A753" s="3">
        <v>472692</v>
      </c>
      <c r="B753" s="2" t="s">
        <v>22</v>
      </c>
      <c r="C753">
        <v>41440</v>
      </c>
      <c r="D753" s="2" t="s">
        <v>35</v>
      </c>
      <c r="E753">
        <v>4</v>
      </c>
      <c r="F753">
        <v>1</v>
      </c>
      <c r="G753" s="4">
        <f>VALUE(SUBSTITUTE(SUBSTITUTE(Table1[[#This Row],[Price]],"$",""),",",""))</f>
        <v>472692</v>
      </c>
      <c r="H753" s="1">
        <f>Table1[[#This Row],[Price2]]/Table1[[#This Row],[Area]]</f>
        <v>376.64701195219124</v>
      </c>
      <c r="I753">
        <v>1255</v>
      </c>
      <c r="J753">
        <v>2018</v>
      </c>
      <c r="K753">
        <v>26</v>
      </c>
      <c r="L753" t="s">
        <v>52</v>
      </c>
      <c r="M753" t="s">
        <v>2554</v>
      </c>
      <c r="N753" s="2" t="s">
        <v>3027</v>
      </c>
      <c r="O753" t="s">
        <v>3028</v>
      </c>
      <c r="P753" t="s">
        <v>21</v>
      </c>
      <c r="Q753">
        <v>376.64701195219124</v>
      </c>
      <c r="R753">
        <f ca="1">YEAR(TODAY())-Table1[[#This Row],[Year Built]]</f>
        <v>8</v>
      </c>
      <c r="S753" t="str">
        <f>IF(Table1[[#This Row],[Days on Market]] &lt; 30,"Fast",IF(Table1[[#This Row],[Days on Market]]&lt;= 90,"Average", "Slow"))</f>
        <v>Fast</v>
      </c>
      <c r="T753" t="str">
        <f>IF(Table1[[#This Row],[Price2]]&lt;500000,"Affordable",IF(Table1[[#This Row],[Price2]]&lt;1000000,"Mid range","Luxury"))</f>
        <v>Affordable</v>
      </c>
    </row>
    <row r="754" spans="1:20" x14ac:dyDescent="0.35">
      <c r="A754" s="3">
        <v>472743</v>
      </c>
      <c r="B754" s="2" t="s">
        <v>12</v>
      </c>
      <c r="C754">
        <v>36566</v>
      </c>
      <c r="D754" s="2" t="s">
        <v>18</v>
      </c>
      <c r="E754">
        <v>1</v>
      </c>
      <c r="F754">
        <v>4</v>
      </c>
      <c r="G754" s="4">
        <f>VALUE(SUBSTITUTE(SUBSTITUTE(Table1[[#This Row],[Price]],"$",""),",",""))</f>
        <v>472743</v>
      </c>
      <c r="H754" s="1">
        <f>Table1[[#This Row],[Price2]]/Table1[[#This Row],[Area]]</f>
        <v>618.77356020942409</v>
      </c>
      <c r="I754">
        <v>764</v>
      </c>
      <c r="J754">
        <v>1965</v>
      </c>
      <c r="K754">
        <v>102</v>
      </c>
      <c r="L754" t="s">
        <v>40</v>
      </c>
      <c r="M754" t="s">
        <v>2286</v>
      </c>
      <c r="N754" s="2" t="s">
        <v>3029</v>
      </c>
      <c r="O754" t="s">
        <v>3030</v>
      </c>
      <c r="P754" t="s">
        <v>26</v>
      </c>
      <c r="Q754">
        <v>618.77356020942409</v>
      </c>
      <c r="R754">
        <f ca="1">YEAR(TODAY())-Table1[[#This Row],[Year Built]]</f>
        <v>61</v>
      </c>
      <c r="S754" t="str">
        <f>IF(Table1[[#This Row],[Days on Market]] &lt; 30,"Fast",IF(Table1[[#This Row],[Days on Market]]&lt;= 90,"Average", "Slow"))</f>
        <v>Slow</v>
      </c>
      <c r="T754" t="str">
        <f>IF(Table1[[#This Row],[Price2]]&lt;500000,"Affordable",IF(Table1[[#This Row],[Price2]]&lt;1000000,"Mid range","Luxury"))</f>
        <v>Affordable</v>
      </c>
    </row>
    <row r="755" spans="1:20" x14ac:dyDescent="0.35">
      <c r="A755" s="3">
        <v>473195</v>
      </c>
      <c r="B755" s="2" t="s">
        <v>34</v>
      </c>
      <c r="C755">
        <v>20811</v>
      </c>
      <c r="D755" s="2" t="s">
        <v>35</v>
      </c>
      <c r="E755">
        <v>4</v>
      </c>
      <c r="F755">
        <v>2</v>
      </c>
      <c r="G755" s="4">
        <f>VALUE(SUBSTITUTE(SUBSTITUTE(Table1[[#This Row],[Price]],"$",""),",",""))</f>
        <v>473195</v>
      </c>
      <c r="H755" s="1">
        <f>Table1[[#This Row],[Price2]]/Table1[[#This Row],[Area]]</f>
        <v>229.37227338826952</v>
      </c>
      <c r="I755">
        <v>2063</v>
      </c>
      <c r="J755">
        <v>1983</v>
      </c>
      <c r="K755">
        <v>96</v>
      </c>
      <c r="L755" t="s">
        <v>30</v>
      </c>
      <c r="M755" t="s">
        <v>1032</v>
      </c>
      <c r="N755" s="2" t="s">
        <v>3031</v>
      </c>
      <c r="O755" t="s">
        <v>3032</v>
      </c>
      <c r="P755" t="s">
        <v>21</v>
      </c>
      <c r="Q755">
        <v>229.37227338826952</v>
      </c>
      <c r="R755">
        <f ca="1">YEAR(TODAY())-Table1[[#This Row],[Year Built]]</f>
        <v>43</v>
      </c>
      <c r="S755" t="str">
        <f>IF(Table1[[#This Row],[Days on Market]] &lt; 30,"Fast",IF(Table1[[#This Row],[Days on Market]]&lt;= 90,"Average", "Slow"))</f>
        <v>Slow</v>
      </c>
      <c r="T755" t="str">
        <f>IF(Table1[[#This Row],[Price2]]&lt;500000,"Affordable",IF(Table1[[#This Row],[Price2]]&lt;1000000,"Mid range","Luxury"))</f>
        <v>Affordable</v>
      </c>
    </row>
    <row r="756" spans="1:20" x14ac:dyDescent="0.35">
      <c r="A756" s="3">
        <v>474005</v>
      </c>
      <c r="B756" s="2" t="s">
        <v>34</v>
      </c>
      <c r="C756">
        <v>98362</v>
      </c>
      <c r="D756" s="2" t="s">
        <v>18</v>
      </c>
      <c r="E756">
        <v>1</v>
      </c>
      <c r="F756">
        <v>4</v>
      </c>
      <c r="G756" s="4">
        <f>VALUE(SUBSTITUTE(SUBSTITUTE(Table1[[#This Row],[Price]],"$",""),",",""))</f>
        <v>474005</v>
      </c>
      <c r="H756" s="1">
        <f>Table1[[#This Row],[Price2]]/Table1[[#This Row],[Area]]</f>
        <v>152.80625402965828</v>
      </c>
      <c r="I756">
        <v>3102</v>
      </c>
      <c r="J756">
        <v>2015</v>
      </c>
      <c r="K756">
        <v>73</v>
      </c>
      <c r="L756" t="s">
        <v>30</v>
      </c>
      <c r="M756" t="s">
        <v>828</v>
      </c>
      <c r="N756" s="2" t="s">
        <v>3033</v>
      </c>
      <c r="O756" t="s">
        <v>3034</v>
      </c>
      <c r="P756" t="s">
        <v>21</v>
      </c>
      <c r="Q756">
        <v>152.80625402965828</v>
      </c>
      <c r="R756">
        <f ca="1">YEAR(TODAY())-Table1[[#This Row],[Year Built]]</f>
        <v>11</v>
      </c>
      <c r="S756" t="str">
        <f>IF(Table1[[#This Row],[Days on Market]] &lt; 30,"Fast",IF(Table1[[#This Row],[Days on Market]]&lt;= 90,"Average", "Slow"))</f>
        <v>Average</v>
      </c>
      <c r="T756" t="str">
        <f>IF(Table1[[#This Row],[Price2]]&lt;500000,"Affordable",IF(Table1[[#This Row],[Price2]]&lt;1000000,"Mid range","Luxury"))</f>
        <v>Affordable</v>
      </c>
    </row>
    <row r="757" spans="1:20" x14ac:dyDescent="0.35">
      <c r="A757" s="3">
        <v>474319</v>
      </c>
      <c r="B757" s="2" t="s">
        <v>22</v>
      </c>
      <c r="C757">
        <v>13849</v>
      </c>
      <c r="D757" s="2" t="s">
        <v>29</v>
      </c>
      <c r="E757">
        <v>6</v>
      </c>
      <c r="F757">
        <v>3</v>
      </c>
      <c r="G757" s="4">
        <f>VALUE(SUBSTITUTE(SUBSTITUTE(Table1[[#This Row],[Price]],"$",""),",",""))</f>
        <v>474319</v>
      </c>
      <c r="H757" s="1">
        <f>Table1[[#This Row],[Price2]]/Table1[[#This Row],[Area]]</f>
        <v>220.30608453320949</v>
      </c>
      <c r="I757">
        <v>2153</v>
      </c>
      <c r="J757">
        <v>1979</v>
      </c>
      <c r="K757">
        <v>41</v>
      </c>
      <c r="L757" t="s">
        <v>52</v>
      </c>
      <c r="M757" t="s">
        <v>1279</v>
      </c>
      <c r="N757" s="2" t="s">
        <v>3035</v>
      </c>
      <c r="O757" t="s">
        <v>3036</v>
      </c>
      <c r="P757" t="s">
        <v>16</v>
      </c>
      <c r="Q757">
        <v>220.30608453320949</v>
      </c>
      <c r="R757">
        <f ca="1">YEAR(TODAY())-Table1[[#This Row],[Year Built]]</f>
        <v>47</v>
      </c>
      <c r="S757" t="str">
        <f>IF(Table1[[#This Row],[Days on Market]] &lt; 30,"Fast",IF(Table1[[#This Row],[Days on Market]]&lt;= 90,"Average", "Slow"))</f>
        <v>Average</v>
      </c>
      <c r="T757" t="str">
        <f>IF(Table1[[#This Row],[Price2]]&lt;500000,"Affordable",IF(Table1[[#This Row],[Price2]]&lt;1000000,"Mid range","Luxury"))</f>
        <v>Affordable</v>
      </c>
    </row>
    <row r="758" spans="1:20" x14ac:dyDescent="0.35">
      <c r="A758" s="3">
        <v>474461</v>
      </c>
      <c r="B758" s="2" t="s">
        <v>34</v>
      </c>
      <c r="C758">
        <v>55615</v>
      </c>
      <c r="D758" s="2" t="s">
        <v>18</v>
      </c>
      <c r="E758">
        <v>6</v>
      </c>
      <c r="F758">
        <v>1</v>
      </c>
      <c r="G758" s="4">
        <f>VALUE(SUBSTITUTE(SUBSTITUTE(Table1[[#This Row],[Price]],"$",""),",",""))</f>
        <v>474461</v>
      </c>
      <c r="H758" s="1">
        <f>Table1[[#This Row],[Price2]]/Table1[[#This Row],[Area]]</f>
        <v>172.97156398104266</v>
      </c>
      <c r="I758">
        <v>2743</v>
      </c>
      <c r="J758">
        <v>2016</v>
      </c>
      <c r="K758">
        <v>119</v>
      </c>
      <c r="L758" t="s">
        <v>52</v>
      </c>
      <c r="M758" t="s">
        <v>818</v>
      </c>
      <c r="N758" s="2" t="s">
        <v>3031</v>
      </c>
      <c r="O758" t="s">
        <v>3032</v>
      </c>
      <c r="P758" t="s">
        <v>21</v>
      </c>
      <c r="Q758">
        <v>172.97156398104266</v>
      </c>
      <c r="R758">
        <f ca="1">YEAR(TODAY())-Table1[[#This Row],[Year Built]]</f>
        <v>10</v>
      </c>
      <c r="S758" t="str">
        <f>IF(Table1[[#This Row],[Days on Market]] &lt; 30,"Fast",IF(Table1[[#This Row],[Days on Market]]&lt;= 90,"Average", "Slow"))</f>
        <v>Slow</v>
      </c>
      <c r="T758" t="str">
        <f>IF(Table1[[#This Row],[Price2]]&lt;500000,"Affordable",IF(Table1[[#This Row],[Price2]]&lt;1000000,"Mid range","Luxury"))</f>
        <v>Affordable</v>
      </c>
    </row>
    <row r="759" spans="1:20" x14ac:dyDescent="0.35">
      <c r="A759" s="3">
        <v>474491</v>
      </c>
      <c r="B759" s="2" t="s">
        <v>17</v>
      </c>
      <c r="C759">
        <v>45184</v>
      </c>
      <c r="D759" s="2" t="s">
        <v>35</v>
      </c>
      <c r="E759">
        <v>2</v>
      </c>
      <c r="F759">
        <v>2</v>
      </c>
      <c r="G759" s="4">
        <f>VALUE(SUBSTITUTE(SUBSTITUTE(Table1[[#This Row],[Price]],"$",""),",",""))</f>
        <v>474491</v>
      </c>
      <c r="H759" s="1">
        <f>Table1[[#This Row],[Price2]]/Table1[[#This Row],[Area]]</f>
        <v>167.8425893172975</v>
      </c>
      <c r="I759">
        <v>2827</v>
      </c>
      <c r="J759">
        <v>1998</v>
      </c>
      <c r="K759">
        <v>84</v>
      </c>
      <c r="L759" t="s">
        <v>30</v>
      </c>
      <c r="M759" t="s">
        <v>1205</v>
      </c>
      <c r="N759" s="2" t="s">
        <v>3029</v>
      </c>
      <c r="O759" t="s">
        <v>3030</v>
      </c>
      <c r="P759" t="s">
        <v>16</v>
      </c>
      <c r="Q759">
        <v>167.8425893172975</v>
      </c>
      <c r="R759">
        <f ca="1">YEAR(TODAY())-Table1[[#This Row],[Year Built]]</f>
        <v>28</v>
      </c>
      <c r="S759" t="str">
        <f>IF(Table1[[#This Row],[Days on Market]] &lt; 30,"Fast",IF(Table1[[#This Row],[Days on Market]]&lt;= 90,"Average", "Slow"))</f>
        <v>Average</v>
      </c>
      <c r="T759" t="str">
        <f>IF(Table1[[#This Row],[Price2]]&lt;500000,"Affordable",IF(Table1[[#This Row],[Price2]]&lt;1000000,"Mid range","Luxury"))</f>
        <v>Affordable</v>
      </c>
    </row>
    <row r="760" spans="1:20" x14ac:dyDescent="0.35">
      <c r="A760" s="3">
        <v>474697</v>
      </c>
      <c r="B760" s="2" t="s">
        <v>22</v>
      </c>
      <c r="C760">
        <v>74303</v>
      </c>
      <c r="D760" s="2" t="s">
        <v>29</v>
      </c>
      <c r="E760">
        <v>6</v>
      </c>
      <c r="F760">
        <v>3</v>
      </c>
      <c r="G760" s="4">
        <f>VALUE(SUBSTITUTE(SUBSTITUTE(Table1[[#This Row],[Price]],"$",""),",",""))</f>
        <v>474697</v>
      </c>
      <c r="H760" s="1">
        <f>Table1[[#This Row],[Price2]]/Table1[[#This Row],[Area]]</f>
        <v>432.3287795992714</v>
      </c>
      <c r="I760">
        <v>1098</v>
      </c>
      <c r="J760">
        <v>1974</v>
      </c>
      <c r="K760">
        <v>65</v>
      </c>
      <c r="L760" t="s">
        <v>30</v>
      </c>
      <c r="M760" t="s">
        <v>2061</v>
      </c>
      <c r="N760" s="2" t="s">
        <v>3035</v>
      </c>
      <c r="O760" t="s">
        <v>3036</v>
      </c>
      <c r="P760" t="s">
        <v>16</v>
      </c>
      <c r="Q760">
        <v>432.3287795992714</v>
      </c>
      <c r="R760">
        <f ca="1">YEAR(TODAY())-Table1[[#This Row],[Year Built]]</f>
        <v>52</v>
      </c>
      <c r="S760" t="str">
        <f>IF(Table1[[#This Row],[Days on Market]] &lt; 30,"Fast",IF(Table1[[#This Row],[Days on Market]]&lt;= 90,"Average", "Slow"))</f>
        <v>Average</v>
      </c>
      <c r="T760" t="str">
        <f>IF(Table1[[#This Row],[Price2]]&lt;500000,"Affordable",IF(Table1[[#This Row],[Price2]]&lt;1000000,"Mid range","Luxury"))</f>
        <v>Affordable</v>
      </c>
    </row>
    <row r="761" spans="1:20" x14ac:dyDescent="0.35">
      <c r="A761" s="3">
        <v>475065</v>
      </c>
      <c r="B761" s="2" t="s">
        <v>27</v>
      </c>
      <c r="C761">
        <v>88449</v>
      </c>
      <c r="D761" s="2" t="s">
        <v>18</v>
      </c>
      <c r="E761">
        <v>2</v>
      </c>
      <c r="F761">
        <v>2</v>
      </c>
      <c r="G761" s="4">
        <f>VALUE(SUBSTITUTE(SUBSTITUTE(Table1[[#This Row],[Price]],"$",""),",",""))</f>
        <v>475065</v>
      </c>
      <c r="H761" s="1">
        <f>Table1[[#This Row],[Price2]]/Table1[[#This Row],[Area]]</f>
        <v>142.19245734809937</v>
      </c>
      <c r="I761">
        <v>3341</v>
      </c>
      <c r="J761">
        <v>2006</v>
      </c>
      <c r="K761">
        <v>114</v>
      </c>
      <c r="L761" t="s">
        <v>40</v>
      </c>
      <c r="M761" t="s">
        <v>1484</v>
      </c>
      <c r="N761" s="2" t="s">
        <v>3031</v>
      </c>
      <c r="O761" t="s">
        <v>3032</v>
      </c>
      <c r="P761" t="s">
        <v>21</v>
      </c>
      <c r="Q761">
        <v>142.19245734809937</v>
      </c>
      <c r="R761">
        <f ca="1">YEAR(TODAY())-Table1[[#This Row],[Year Built]]</f>
        <v>20</v>
      </c>
      <c r="S761" t="str">
        <f>IF(Table1[[#This Row],[Days on Market]] &lt; 30,"Fast",IF(Table1[[#This Row],[Days on Market]]&lt;= 90,"Average", "Slow"))</f>
        <v>Slow</v>
      </c>
      <c r="T761" t="str">
        <f>IF(Table1[[#This Row],[Price2]]&lt;500000,"Affordable",IF(Table1[[#This Row],[Price2]]&lt;1000000,"Mid range","Luxury"))</f>
        <v>Affordable</v>
      </c>
    </row>
    <row r="762" spans="1:20" x14ac:dyDescent="0.35">
      <c r="A762" s="3">
        <v>475989</v>
      </c>
      <c r="B762" s="2" t="s">
        <v>27</v>
      </c>
      <c r="C762">
        <v>89919</v>
      </c>
      <c r="D762" s="2" t="s">
        <v>23</v>
      </c>
      <c r="E762">
        <v>2</v>
      </c>
      <c r="F762">
        <v>2</v>
      </c>
      <c r="G762" s="4">
        <f>VALUE(SUBSTITUTE(SUBSTITUTE(Table1[[#This Row],[Price]],"$",""),",",""))</f>
        <v>475989</v>
      </c>
      <c r="H762" s="1">
        <f>Table1[[#This Row],[Price2]]/Table1[[#This Row],[Area]]</f>
        <v>153.4458413926499</v>
      </c>
      <c r="I762">
        <v>3102</v>
      </c>
      <c r="J762">
        <v>2002</v>
      </c>
      <c r="K762">
        <v>120</v>
      </c>
      <c r="L762" t="s">
        <v>19</v>
      </c>
      <c r="M762" t="s">
        <v>796</v>
      </c>
      <c r="N762" s="2" t="s">
        <v>3031</v>
      </c>
      <c r="O762" t="s">
        <v>3032</v>
      </c>
      <c r="P762" t="s">
        <v>26</v>
      </c>
      <c r="Q762">
        <v>153.4458413926499</v>
      </c>
      <c r="R762">
        <f ca="1">YEAR(TODAY())-Table1[[#This Row],[Year Built]]</f>
        <v>24</v>
      </c>
      <c r="S762" t="str">
        <f>IF(Table1[[#This Row],[Days on Market]] &lt; 30,"Fast",IF(Table1[[#This Row],[Days on Market]]&lt;= 90,"Average", "Slow"))</f>
        <v>Slow</v>
      </c>
      <c r="T762" t="str">
        <f>IF(Table1[[#This Row],[Price2]]&lt;500000,"Affordable",IF(Table1[[#This Row],[Price2]]&lt;1000000,"Mid range","Luxury"))</f>
        <v>Affordable</v>
      </c>
    </row>
    <row r="763" spans="1:20" x14ac:dyDescent="0.35">
      <c r="A763" s="3">
        <v>476404</v>
      </c>
      <c r="B763" s="2" t="s">
        <v>12</v>
      </c>
      <c r="C763">
        <v>63703</v>
      </c>
      <c r="D763" s="2" t="s">
        <v>18</v>
      </c>
      <c r="E763">
        <v>2</v>
      </c>
      <c r="F763">
        <v>3</v>
      </c>
      <c r="G763" s="4">
        <f>VALUE(SUBSTITUTE(SUBSTITUTE(Table1[[#This Row],[Price]],"$",""),",",""))</f>
        <v>476404</v>
      </c>
      <c r="H763" s="1">
        <f>Table1[[#This Row],[Price2]]/Table1[[#This Row],[Area]]</f>
        <v>329.9196675900277</v>
      </c>
      <c r="I763">
        <v>1444</v>
      </c>
      <c r="J763">
        <v>2009</v>
      </c>
      <c r="K763">
        <v>83</v>
      </c>
      <c r="L763" t="s">
        <v>30</v>
      </c>
      <c r="M763" t="s">
        <v>2454</v>
      </c>
      <c r="N763" s="2" t="s">
        <v>3027</v>
      </c>
      <c r="O763" t="s">
        <v>3028</v>
      </c>
      <c r="P763" t="s">
        <v>21</v>
      </c>
      <c r="Q763">
        <v>329.9196675900277</v>
      </c>
      <c r="R763">
        <f ca="1">YEAR(TODAY())-Table1[[#This Row],[Year Built]]</f>
        <v>17</v>
      </c>
      <c r="S763" t="str">
        <f>IF(Table1[[#This Row],[Days on Market]] &lt; 30,"Fast",IF(Table1[[#This Row],[Days on Market]]&lt;= 90,"Average", "Slow"))</f>
        <v>Average</v>
      </c>
      <c r="T763" t="str">
        <f>IF(Table1[[#This Row],[Price2]]&lt;500000,"Affordable",IF(Table1[[#This Row],[Price2]]&lt;1000000,"Mid range","Luxury"))</f>
        <v>Affordable</v>
      </c>
    </row>
    <row r="764" spans="1:20" x14ac:dyDescent="0.35">
      <c r="A764" s="3">
        <v>476564</v>
      </c>
      <c r="B764" s="2" t="s">
        <v>17</v>
      </c>
      <c r="C764">
        <v>45136</v>
      </c>
      <c r="D764" s="2" t="s">
        <v>29</v>
      </c>
      <c r="E764">
        <v>3</v>
      </c>
      <c r="F764">
        <v>3</v>
      </c>
      <c r="G764" s="4">
        <f>VALUE(SUBSTITUTE(SUBSTITUTE(Table1[[#This Row],[Price]],"$",""),",",""))</f>
        <v>476564</v>
      </c>
      <c r="H764" s="1">
        <f>Table1[[#This Row],[Price2]]/Table1[[#This Row],[Area]]</f>
        <v>651.9343365253078</v>
      </c>
      <c r="I764">
        <v>731</v>
      </c>
      <c r="J764">
        <v>1992</v>
      </c>
      <c r="K764">
        <v>67</v>
      </c>
      <c r="L764" t="s">
        <v>30</v>
      </c>
      <c r="M764" t="s">
        <v>1790</v>
      </c>
      <c r="N764" s="2" t="s">
        <v>3029</v>
      </c>
      <c r="O764" t="s">
        <v>3030</v>
      </c>
      <c r="P764" t="s">
        <v>16</v>
      </c>
      <c r="Q764">
        <v>651.9343365253078</v>
      </c>
      <c r="R764">
        <f ca="1">YEAR(TODAY())-Table1[[#This Row],[Year Built]]</f>
        <v>34</v>
      </c>
      <c r="S764" t="str">
        <f>IF(Table1[[#This Row],[Days on Market]] &lt; 30,"Fast",IF(Table1[[#This Row],[Days on Market]]&lt;= 90,"Average", "Slow"))</f>
        <v>Average</v>
      </c>
      <c r="T764" t="str">
        <f>IF(Table1[[#This Row],[Price2]]&lt;500000,"Affordable",IF(Table1[[#This Row],[Price2]]&lt;1000000,"Mid range","Luxury"))</f>
        <v>Affordable</v>
      </c>
    </row>
    <row r="765" spans="1:20" x14ac:dyDescent="0.35">
      <c r="A765" s="3">
        <v>478198</v>
      </c>
      <c r="B765" s="2" t="s">
        <v>12</v>
      </c>
      <c r="C765">
        <v>43152</v>
      </c>
      <c r="D765" s="2" t="s">
        <v>13</v>
      </c>
      <c r="E765">
        <v>2</v>
      </c>
      <c r="F765">
        <v>3</v>
      </c>
      <c r="G765" s="4">
        <f>VALUE(SUBSTITUTE(SUBSTITUTE(Table1[[#This Row],[Price]],"$",""),",",""))</f>
        <v>478198</v>
      </c>
      <c r="H765" s="1">
        <f>Table1[[#This Row],[Price2]]/Table1[[#This Row],[Area]]</f>
        <v>160.95523392797037</v>
      </c>
      <c r="I765">
        <v>2971</v>
      </c>
      <c r="J765">
        <v>1997</v>
      </c>
      <c r="K765">
        <v>1</v>
      </c>
      <c r="L765" t="s">
        <v>14</v>
      </c>
      <c r="M765" t="s">
        <v>590</v>
      </c>
      <c r="N765" s="2" t="s">
        <v>3035</v>
      </c>
      <c r="O765" t="s">
        <v>3036</v>
      </c>
      <c r="P765" t="s">
        <v>26</v>
      </c>
      <c r="Q765">
        <v>160.95523392797037</v>
      </c>
      <c r="R765">
        <f ca="1">YEAR(TODAY())-Table1[[#This Row],[Year Built]]</f>
        <v>29</v>
      </c>
      <c r="S765" t="str">
        <f>IF(Table1[[#This Row],[Days on Market]] &lt; 30,"Fast",IF(Table1[[#This Row],[Days on Market]]&lt;= 90,"Average", "Slow"))</f>
        <v>Fast</v>
      </c>
      <c r="T765" t="str">
        <f>IF(Table1[[#This Row],[Price2]]&lt;500000,"Affordable",IF(Table1[[#This Row],[Price2]]&lt;1000000,"Mid range","Luxury"))</f>
        <v>Affordable</v>
      </c>
    </row>
    <row r="766" spans="1:20" x14ac:dyDescent="0.35">
      <c r="A766" s="3">
        <v>478395</v>
      </c>
      <c r="B766" s="2" t="s">
        <v>17</v>
      </c>
      <c r="C766">
        <v>58931</v>
      </c>
      <c r="D766" s="2" t="s">
        <v>18</v>
      </c>
      <c r="E766">
        <v>2</v>
      </c>
      <c r="F766">
        <v>4</v>
      </c>
      <c r="G766" s="4">
        <f>VALUE(SUBSTITUTE(SUBSTITUTE(Table1[[#This Row],[Price]],"$",""),",",""))</f>
        <v>478395</v>
      </c>
      <c r="H766" s="1">
        <f>Table1[[#This Row],[Price2]]/Table1[[#This Row],[Area]]</f>
        <v>185.20905923344947</v>
      </c>
      <c r="I766">
        <v>2583</v>
      </c>
      <c r="J766">
        <v>1953</v>
      </c>
      <c r="K766">
        <v>80</v>
      </c>
      <c r="L766" t="s">
        <v>30</v>
      </c>
      <c r="M766" t="s">
        <v>1593</v>
      </c>
      <c r="N766" s="2" t="s">
        <v>3035</v>
      </c>
      <c r="O766" t="s">
        <v>3036</v>
      </c>
      <c r="P766" t="s">
        <v>21</v>
      </c>
      <c r="Q766">
        <v>185.20905923344947</v>
      </c>
      <c r="R766">
        <f ca="1">YEAR(TODAY())-Table1[[#This Row],[Year Built]]</f>
        <v>73</v>
      </c>
      <c r="S766" t="str">
        <f>IF(Table1[[#This Row],[Days on Market]] &lt; 30,"Fast",IF(Table1[[#This Row],[Days on Market]]&lt;= 90,"Average", "Slow"))</f>
        <v>Average</v>
      </c>
      <c r="T766" t="str">
        <f>IF(Table1[[#This Row],[Price2]]&lt;500000,"Affordable",IF(Table1[[#This Row],[Price2]]&lt;1000000,"Mid range","Luxury"))</f>
        <v>Affordable</v>
      </c>
    </row>
    <row r="767" spans="1:20" x14ac:dyDescent="0.35">
      <c r="A767" s="3">
        <v>478498</v>
      </c>
      <c r="B767" s="2" t="s">
        <v>27</v>
      </c>
      <c r="C767">
        <v>97828</v>
      </c>
      <c r="D767" s="2" t="s">
        <v>23</v>
      </c>
      <c r="E767">
        <v>4</v>
      </c>
      <c r="F767">
        <v>4</v>
      </c>
      <c r="G767" s="4">
        <f>VALUE(SUBSTITUTE(SUBSTITUTE(Table1[[#This Row],[Price]],"$",""),",",""))</f>
        <v>478498</v>
      </c>
      <c r="H767" s="1">
        <f>Table1[[#This Row],[Price2]]/Table1[[#This Row],[Area]]</f>
        <v>183.61396776669224</v>
      </c>
      <c r="I767">
        <v>2606</v>
      </c>
      <c r="J767">
        <v>2021</v>
      </c>
      <c r="K767">
        <v>118</v>
      </c>
      <c r="L767" t="s">
        <v>14</v>
      </c>
      <c r="M767" t="s">
        <v>868</v>
      </c>
      <c r="N767" s="2" t="s">
        <v>3031</v>
      </c>
      <c r="O767" t="s">
        <v>3032</v>
      </c>
      <c r="P767" t="s">
        <v>16</v>
      </c>
      <c r="Q767">
        <v>183.61396776669224</v>
      </c>
      <c r="R767">
        <f ca="1">YEAR(TODAY())-Table1[[#This Row],[Year Built]]</f>
        <v>5</v>
      </c>
      <c r="S767" t="str">
        <f>IF(Table1[[#This Row],[Days on Market]] &lt; 30,"Fast",IF(Table1[[#This Row],[Days on Market]]&lt;= 90,"Average", "Slow"))</f>
        <v>Slow</v>
      </c>
      <c r="T767" t="str">
        <f>IF(Table1[[#This Row],[Price2]]&lt;500000,"Affordable",IF(Table1[[#This Row],[Price2]]&lt;1000000,"Mid range","Luxury"))</f>
        <v>Affordable</v>
      </c>
    </row>
    <row r="768" spans="1:20" x14ac:dyDescent="0.35">
      <c r="A768" s="3">
        <v>479296</v>
      </c>
      <c r="B768" s="2" t="s">
        <v>34</v>
      </c>
      <c r="C768">
        <v>90874</v>
      </c>
      <c r="D768" s="2" t="s">
        <v>13</v>
      </c>
      <c r="E768">
        <v>1</v>
      </c>
      <c r="F768">
        <v>1</v>
      </c>
      <c r="G768" s="4">
        <f>VALUE(SUBSTITUTE(SUBSTITUTE(Table1[[#This Row],[Price]],"$",""),",",""))</f>
        <v>479296</v>
      </c>
      <c r="H768" s="1">
        <f>Table1[[#This Row],[Price2]]/Table1[[#This Row],[Area]]</f>
        <v>128.98170075349839</v>
      </c>
      <c r="I768">
        <v>3716</v>
      </c>
      <c r="J768">
        <v>2003</v>
      </c>
      <c r="K768">
        <v>117</v>
      </c>
      <c r="L768" t="s">
        <v>19</v>
      </c>
      <c r="M768" t="s">
        <v>1926</v>
      </c>
      <c r="N768" s="2" t="s">
        <v>3029</v>
      </c>
      <c r="O768" t="s">
        <v>3030</v>
      </c>
      <c r="P768" t="s">
        <v>21</v>
      </c>
      <c r="Q768">
        <v>128.98170075349839</v>
      </c>
      <c r="R768">
        <f ca="1">YEAR(TODAY())-Table1[[#This Row],[Year Built]]</f>
        <v>23</v>
      </c>
      <c r="S768" t="str">
        <f>IF(Table1[[#This Row],[Days on Market]] &lt; 30,"Fast",IF(Table1[[#This Row],[Days on Market]]&lt;= 90,"Average", "Slow"))</f>
        <v>Slow</v>
      </c>
      <c r="T768" t="str">
        <f>IF(Table1[[#This Row],[Price2]]&lt;500000,"Affordable",IF(Table1[[#This Row],[Price2]]&lt;1000000,"Mid range","Luxury"))</f>
        <v>Affordable</v>
      </c>
    </row>
    <row r="769" spans="1:20" x14ac:dyDescent="0.35">
      <c r="A769" s="3">
        <v>480363</v>
      </c>
      <c r="B769" s="2" t="s">
        <v>27</v>
      </c>
      <c r="C769">
        <v>40585</v>
      </c>
      <c r="D769" s="2" t="s">
        <v>18</v>
      </c>
      <c r="E769">
        <v>3</v>
      </c>
      <c r="F769">
        <v>3</v>
      </c>
      <c r="G769" s="4">
        <f>VALUE(SUBSTITUTE(SUBSTITUTE(Table1[[#This Row],[Price]],"$",""),",",""))</f>
        <v>480363</v>
      </c>
      <c r="H769" s="1">
        <f>Table1[[#This Row],[Price2]]/Table1[[#This Row],[Area]]</f>
        <v>504.05351521511017</v>
      </c>
      <c r="I769">
        <v>953</v>
      </c>
      <c r="J769">
        <v>2000</v>
      </c>
      <c r="K769">
        <v>40</v>
      </c>
      <c r="L769" t="s">
        <v>40</v>
      </c>
      <c r="M769" t="s">
        <v>401</v>
      </c>
      <c r="N769" s="2" t="s">
        <v>3031</v>
      </c>
      <c r="O769" t="s">
        <v>3032</v>
      </c>
      <c r="P769" t="s">
        <v>16</v>
      </c>
      <c r="Q769">
        <v>504.05351521511017</v>
      </c>
      <c r="R769">
        <f ca="1">YEAR(TODAY())-Table1[[#This Row],[Year Built]]</f>
        <v>26</v>
      </c>
      <c r="S769" t="str">
        <f>IF(Table1[[#This Row],[Days on Market]] &lt; 30,"Fast",IF(Table1[[#This Row],[Days on Market]]&lt;= 90,"Average", "Slow"))</f>
        <v>Average</v>
      </c>
      <c r="T769" t="str">
        <f>IF(Table1[[#This Row],[Price2]]&lt;500000,"Affordable",IF(Table1[[#This Row],[Price2]]&lt;1000000,"Mid range","Luxury"))</f>
        <v>Affordable</v>
      </c>
    </row>
    <row r="770" spans="1:20" x14ac:dyDescent="0.35">
      <c r="A770" s="3">
        <v>480974</v>
      </c>
      <c r="B770" s="2" t="s">
        <v>17</v>
      </c>
      <c r="C770">
        <v>51917</v>
      </c>
      <c r="D770" s="2" t="s">
        <v>29</v>
      </c>
      <c r="E770">
        <v>2</v>
      </c>
      <c r="F770">
        <v>4</v>
      </c>
      <c r="G770" s="4">
        <f>VALUE(SUBSTITUTE(SUBSTITUTE(Table1[[#This Row],[Price]],"$",""),",",""))</f>
        <v>480974</v>
      </c>
      <c r="H770" s="1">
        <f>Table1[[#This Row],[Price2]]/Table1[[#This Row],[Area]]</f>
        <v>165.79593243709067</v>
      </c>
      <c r="I770">
        <v>2901</v>
      </c>
      <c r="J770">
        <v>1973</v>
      </c>
      <c r="K770">
        <v>53</v>
      </c>
      <c r="L770" t="s">
        <v>14</v>
      </c>
      <c r="M770" t="s">
        <v>427</v>
      </c>
      <c r="N770" s="2" t="s">
        <v>3033</v>
      </c>
      <c r="O770" t="s">
        <v>3034</v>
      </c>
      <c r="P770" t="s">
        <v>16</v>
      </c>
      <c r="Q770">
        <v>165.79593243709067</v>
      </c>
      <c r="R770">
        <f ca="1">YEAR(TODAY())-Table1[[#This Row],[Year Built]]</f>
        <v>53</v>
      </c>
      <c r="S770" t="str">
        <f>IF(Table1[[#This Row],[Days on Market]] &lt; 30,"Fast",IF(Table1[[#This Row],[Days on Market]]&lt;= 90,"Average", "Slow"))</f>
        <v>Average</v>
      </c>
      <c r="T770" t="str">
        <f>IF(Table1[[#This Row],[Price2]]&lt;500000,"Affordable",IF(Table1[[#This Row],[Price2]]&lt;1000000,"Mid range","Luxury"))</f>
        <v>Affordable</v>
      </c>
    </row>
    <row r="771" spans="1:20" x14ac:dyDescent="0.35">
      <c r="A771" s="3">
        <v>481322</v>
      </c>
      <c r="B771" s="2" t="s">
        <v>17</v>
      </c>
      <c r="C771">
        <v>28842</v>
      </c>
      <c r="D771" s="2" t="s">
        <v>29</v>
      </c>
      <c r="E771">
        <v>4</v>
      </c>
      <c r="F771">
        <v>2</v>
      </c>
      <c r="G771" s="4">
        <f>VALUE(SUBSTITUTE(SUBSTITUTE(Table1[[#This Row],[Price]],"$",""),",",""))</f>
        <v>481322</v>
      </c>
      <c r="H771" s="1">
        <f>Table1[[#This Row],[Price2]]/Table1[[#This Row],[Area]]</f>
        <v>429.36842105263156</v>
      </c>
      <c r="I771">
        <v>1121</v>
      </c>
      <c r="J771">
        <v>1975</v>
      </c>
      <c r="K771">
        <v>50</v>
      </c>
      <c r="L771" t="s">
        <v>14</v>
      </c>
      <c r="M771" t="s">
        <v>620</v>
      </c>
      <c r="N771" s="2" t="s">
        <v>3029</v>
      </c>
      <c r="O771" t="s">
        <v>3030</v>
      </c>
      <c r="P771" t="s">
        <v>26</v>
      </c>
      <c r="Q771">
        <v>429.36842105263156</v>
      </c>
      <c r="R771">
        <f ca="1">YEAR(TODAY())-Table1[[#This Row],[Year Built]]</f>
        <v>51</v>
      </c>
      <c r="S771" t="str">
        <f>IF(Table1[[#This Row],[Days on Market]] &lt; 30,"Fast",IF(Table1[[#This Row],[Days on Market]]&lt;= 90,"Average", "Slow"))</f>
        <v>Average</v>
      </c>
      <c r="T771" t="str">
        <f>IF(Table1[[#This Row],[Price2]]&lt;500000,"Affordable",IF(Table1[[#This Row],[Price2]]&lt;1000000,"Mid range","Luxury"))</f>
        <v>Affordable</v>
      </c>
    </row>
    <row r="772" spans="1:20" x14ac:dyDescent="0.35">
      <c r="A772" s="3">
        <v>481357</v>
      </c>
      <c r="B772" s="2" t="s">
        <v>34</v>
      </c>
      <c r="C772">
        <v>54997</v>
      </c>
      <c r="D772" s="2" t="s">
        <v>18</v>
      </c>
      <c r="E772">
        <v>3</v>
      </c>
      <c r="F772">
        <v>2</v>
      </c>
      <c r="G772" s="4">
        <f>VALUE(SUBSTITUTE(SUBSTITUTE(Table1[[#This Row],[Price]],"$",""),",",""))</f>
        <v>481357</v>
      </c>
      <c r="H772" s="1">
        <f>Table1[[#This Row],[Price2]]/Table1[[#This Row],[Area]]</f>
        <v>767.71451355661884</v>
      </c>
      <c r="I772">
        <v>627</v>
      </c>
      <c r="J772">
        <v>2006</v>
      </c>
      <c r="K772">
        <v>8</v>
      </c>
      <c r="L772" t="s">
        <v>19</v>
      </c>
      <c r="M772" t="s">
        <v>2058</v>
      </c>
      <c r="N772" s="2" t="s">
        <v>3033</v>
      </c>
      <c r="O772" t="s">
        <v>3034</v>
      </c>
      <c r="P772" t="s">
        <v>21</v>
      </c>
      <c r="Q772">
        <v>767.71451355661884</v>
      </c>
      <c r="R772">
        <f ca="1">YEAR(TODAY())-Table1[[#This Row],[Year Built]]</f>
        <v>20</v>
      </c>
      <c r="S772" t="str">
        <f>IF(Table1[[#This Row],[Days on Market]] &lt; 30,"Fast",IF(Table1[[#This Row],[Days on Market]]&lt;= 90,"Average", "Slow"))</f>
        <v>Fast</v>
      </c>
      <c r="T772" t="str">
        <f>IF(Table1[[#This Row],[Price2]]&lt;500000,"Affordable",IF(Table1[[#This Row],[Price2]]&lt;1000000,"Mid range","Luxury"))</f>
        <v>Affordable</v>
      </c>
    </row>
    <row r="773" spans="1:20" x14ac:dyDescent="0.35">
      <c r="A773" s="3">
        <v>482156</v>
      </c>
      <c r="B773" s="2" t="s">
        <v>12</v>
      </c>
      <c r="C773">
        <v>65564</v>
      </c>
      <c r="D773" s="2" t="s">
        <v>29</v>
      </c>
      <c r="E773">
        <v>1</v>
      </c>
      <c r="F773">
        <v>4</v>
      </c>
      <c r="G773" s="4">
        <f>VALUE(SUBSTITUTE(SUBSTITUTE(Table1[[#This Row],[Price]],"$",""),",",""))</f>
        <v>482156</v>
      </c>
      <c r="H773" s="1">
        <f>Table1[[#This Row],[Price2]]/Table1[[#This Row],[Area]]</f>
        <v>122.12664640324215</v>
      </c>
      <c r="I773">
        <v>3948</v>
      </c>
      <c r="J773">
        <v>1995</v>
      </c>
      <c r="K773">
        <v>55</v>
      </c>
      <c r="L773" t="s">
        <v>14</v>
      </c>
      <c r="M773" t="s">
        <v>797</v>
      </c>
      <c r="N773" s="2" t="s">
        <v>3029</v>
      </c>
      <c r="O773" t="s">
        <v>3030</v>
      </c>
      <c r="P773" t="s">
        <v>26</v>
      </c>
      <c r="Q773">
        <v>122.12664640324215</v>
      </c>
      <c r="R773">
        <f ca="1">YEAR(TODAY())-Table1[[#This Row],[Year Built]]</f>
        <v>31</v>
      </c>
      <c r="S773" t="str">
        <f>IF(Table1[[#This Row],[Days on Market]] &lt; 30,"Fast",IF(Table1[[#This Row],[Days on Market]]&lt;= 90,"Average", "Slow"))</f>
        <v>Average</v>
      </c>
      <c r="T773" t="str">
        <f>IF(Table1[[#This Row],[Price2]]&lt;500000,"Affordable",IF(Table1[[#This Row],[Price2]]&lt;1000000,"Mid range","Luxury"))</f>
        <v>Affordable</v>
      </c>
    </row>
    <row r="774" spans="1:20" x14ac:dyDescent="0.35">
      <c r="A774" s="3">
        <v>482165</v>
      </c>
      <c r="B774" s="2" t="s">
        <v>12</v>
      </c>
      <c r="C774">
        <v>69573</v>
      </c>
      <c r="D774" s="2" t="s">
        <v>13</v>
      </c>
      <c r="E774">
        <v>5</v>
      </c>
      <c r="F774">
        <v>4</v>
      </c>
      <c r="G774" s="4">
        <f>VALUE(SUBSTITUTE(SUBSTITUTE(Table1[[#This Row],[Price]],"$",""),",",""))</f>
        <v>482165</v>
      </c>
      <c r="H774" s="1">
        <f>Table1[[#This Row],[Price2]]/Table1[[#This Row],[Area]]</f>
        <v>228.51421800947867</v>
      </c>
      <c r="I774">
        <v>2110</v>
      </c>
      <c r="J774">
        <v>1980</v>
      </c>
      <c r="K774">
        <v>109</v>
      </c>
      <c r="L774" t="s">
        <v>52</v>
      </c>
      <c r="M774" t="s">
        <v>346</v>
      </c>
      <c r="N774" s="2" t="s">
        <v>3027</v>
      </c>
      <c r="O774" t="s">
        <v>3028</v>
      </c>
      <c r="P774" t="s">
        <v>26</v>
      </c>
      <c r="Q774">
        <v>228.51421800947867</v>
      </c>
      <c r="R774">
        <f ca="1">YEAR(TODAY())-Table1[[#This Row],[Year Built]]</f>
        <v>46</v>
      </c>
      <c r="S774" t="str">
        <f>IF(Table1[[#This Row],[Days on Market]] &lt; 30,"Fast",IF(Table1[[#This Row],[Days on Market]]&lt;= 90,"Average", "Slow"))</f>
        <v>Slow</v>
      </c>
      <c r="T774" t="str">
        <f>IF(Table1[[#This Row],[Price2]]&lt;500000,"Affordable",IF(Table1[[#This Row],[Price2]]&lt;1000000,"Mid range","Luxury"))</f>
        <v>Affordable</v>
      </c>
    </row>
    <row r="775" spans="1:20" x14ac:dyDescent="0.35">
      <c r="A775" s="3">
        <v>482895</v>
      </c>
      <c r="B775" s="2" t="s">
        <v>34</v>
      </c>
      <c r="C775">
        <v>25648</v>
      </c>
      <c r="D775" s="2" t="s">
        <v>18</v>
      </c>
      <c r="E775">
        <v>2</v>
      </c>
      <c r="F775">
        <v>3</v>
      </c>
      <c r="G775" s="4">
        <f>VALUE(SUBSTITUTE(SUBSTITUTE(Table1[[#This Row],[Price]],"$",""),",",""))</f>
        <v>482895</v>
      </c>
      <c r="H775" s="1">
        <f>Table1[[#This Row],[Price2]]/Table1[[#This Row],[Area]]</f>
        <v>248.65859938208033</v>
      </c>
      <c r="I775">
        <v>1942</v>
      </c>
      <c r="J775">
        <v>1967</v>
      </c>
      <c r="K775">
        <v>103</v>
      </c>
      <c r="L775" t="s">
        <v>52</v>
      </c>
      <c r="M775" t="s">
        <v>208</v>
      </c>
      <c r="N775" s="2" t="s">
        <v>3027</v>
      </c>
      <c r="O775" t="s">
        <v>3028</v>
      </c>
      <c r="P775" t="s">
        <v>26</v>
      </c>
      <c r="Q775">
        <v>248.65859938208033</v>
      </c>
      <c r="R775">
        <f ca="1">YEAR(TODAY())-Table1[[#This Row],[Year Built]]</f>
        <v>59</v>
      </c>
      <c r="S775" t="str">
        <f>IF(Table1[[#This Row],[Days on Market]] &lt; 30,"Fast",IF(Table1[[#This Row],[Days on Market]]&lt;= 90,"Average", "Slow"))</f>
        <v>Slow</v>
      </c>
      <c r="T775" t="str">
        <f>IF(Table1[[#This Row],[Price2]]&lt;500000,"Affordable",IF(Table1[[#This Row],[Price2]]&lt;1000000,"Mid range","Luxury"))</f>
        <v>Affordable</v>
      </c>
    </row>
    <row r="776" spans="1:20" x14ac:dyDescent="0.35">
      <c r="A776" s="3">
        <v>483245</v>
      </c>
      <c r="B776" s="2" t="s">
        <v>34</v>
      </c>
      <c r="C776">
        <v>47999</v>
      </c>
      <c r="D776" s="2" t="s">
        <v>29</v>
      </c>
      <c r="E776">
        <v>4</v>
      </c>
      <c r="F776">
        <v>2</v>
      </c>
      <c r="G776" s="4">
        <f>VALUE(SUBSTITUTE(SUBSTITUTE(Table1[[#This Row],[Price]],"$",""),",",""))</f>
        <v>483245</v>
      </c>
      <c r="H776" s="1">
        <f>Table1[[#This Row],[Price2]]/Table1[[#This Row],[Area]]</f>
        <v>286.45228215767634</v>
      </c>
      <c r="I776">
        <v>1687</v>
      </c>
      <c r="J776">
        <v>1998</v>
      </c>
      <c r="K776">
        <v>114</v>
      </c>
      <c r="L776" t="s">
        <v>40</v>
      </c>
      <c r="M776" t="s">
        <v>1637</v>
      </c>
      <c r="N776" s="2" t="s">
        <v>3027</v>
      </c>
      <c r="O776" t="s">
        <v>3028</v>
      </c>
      <c r="P776" t="s">
        <v>16</v>
      </c>
      <c r="Q776">
        <v>286.45228215767634</v>
      </c>
      <c r="R776">
        <f ca="1">YEAR(TODAY())-Table1[[#This Row],[Year Built]]</f>
        <v>28</v>
      </c>
      <c r="S776" t="str">
        <f>IF(Table1[[#This Row],[Days on Market]] &lt; 30,"Fast",IF(Table1[[#This Row],[Days on Market]]&lt;= 90,"Average", "Slow"))</f>
        <v>Slow</v>
      </c>
      <c r="T776" t="str">
        <f>IF(Table1[[#This Row],[Price2]]&lt;500000,"Affordable",IF(Table1[[#This Row],[Price2]]&lt;1000000,"Mid range","Luxury"))</f>
        <v>Affordable</v>
      </c>
    </row>
    <row r="777" spans="1:20" x14ac:dyDescent="0.35">
      <c r="A777" s="3">
        <v>484824</v>
      </c>
      <c r="B777" s="2" t="s">
        <v>22</v>
      </c>
      <c r="C777">
        <v>78417</v>
      </c>
      <c r="D777" s="2" t="s">
        <v>29</v>
      </c>
      <c r="E777">
        <v>3</v>
      </c>
      <c r="F777">
        <v>3</v>
      </c>
      <c r="G777" s="4">
        <f>VALUE(SUBSTITUTE(SUBSTITUTE(Table1[[#This Row],[Price]],"$",""),",",""))</f>
        <v>484824</v>
      </c>
      <c r="H777" s="1">
        <f>Table1[[#This Row],[Price2]]/Table1[[#This Row],[Area]]</f>
        <v>143.65155555555555</v>
      </c>
      <c r="I777">
        <v>3375</v>
      </c>
      <c r="J777">
        <v>1959</v>
      </c>
      <c r="K777">
        <v>99</v>
      </c>
      <c r="L777" t="s">
        <v>30</v>
      </c>
      <c r="M777" t="s">
        <v>1502</v>
      </c>
      <c r="N777" s="2" t="s">
        <v>3027</v>
      </c>
      <c r="O777" t="s">
        <v>3028</v>
      </c>
      <c r="P777" t="s">
        <v>26</v>
      </c>
      <c r="Q777">
        <v>143.65155555555555</v>
      </c>
      <c r="R777">
        <f ca="1">YEAR(TODAY())-Table1[[#This Row],[Year Built]]</f>
        <v>67</v>
      </c>
      <c r="S777" t="str">
        <f>IF(Table1[[#This Row],[Days on Market]] &lt; 30,"Fast",IF(Table1[[#This Row],[Days on Market]]&lt;= 90,"Average", "Slow"))</f>
        <v>Slow</v>
      </c>
      <c r="T777" t="str">
        <f>IF(Table1[[#This Row],[Price2]]&lt;500000,"Affordable",IF(Table1[[#This Row],[Price2]]&lt;1000000,"Mid range","Luxury"))</f>
        <v>Affordable</v>
      </c>
    </row>
    <row r="778" spans="1:20" x14ac:dyDescent="0.35">
      <c r="A778" s="3">
        <v>484967</v>
      </c>
      <c r="B778" s="2" t="s">
        <v>22</v>
      </c>
      <c r="C778">
        <v>29123</v>
      </c>
      <c r="D778" s="2" t="s">
        <v>35</v>
      </c>
      <c r="E778">
        <v>6</v>
      </c>
      <c r="F778">
        <v>2</v>
      </c>
      <c r="G778" s="4">
        <f>VALUE(SUBSTITUTE(SUBSTITUTE(Table1[[#This Row],[Price]],"$",""),",",""))</f>
        <v>484967</v>
      </c>
      <c r="H778" s="1">
        <f>Table1[[#This Row],[Price2]]/Table1[[#This Row],[Area]]</f>
        <v>446.15179392824285</v>
      </c>
      <c r="I778">
        <v>1087</v>
      </c>
      <c r="J778">
        <v>1953</v>
      </c>
      <c r="K778">
        <v>40</v>
      </c>
      <c r="L778" t="s">
        <v>52</v>
      </c>
      <c r="M778" t="s">
        <v>992</v>
      </c>
      <c r="N778" s="2" t="s">
        <v>3035</v>
      </c>
      <c r="O778" t="s">
        <v>3036</v>
      </c>
      <c r="P778" t="s">
        <v>16</v>
      </c>
      <c r="Q778">
        <v>446.15179392824285</v>
      </c>
      <c r="R778">
        <f ca="1">YEAR(TODAY())-Table1[[#This Row],[Year Built]]</f>
        <v>73</v>
      </c>
      <c r="S778" t="str">
        <f>IF(Table1[[#This Row],[Days on Market]] &lt; 30,"Fast",IF(Table1[[#This Row],[Days on Market]]&lt;= 90,"Average", "Slow"))</f>
        <v>Average</v>
      </c>
      <c r="T778" t="str">
        <f>IF(Table1[[#This Row],[Price2]]&lt;500000,"Affordable",IF(Table1[[#This Row],[Price2]]&lt;1000000,"Mid range","Luxury"))</f>
        <v>Affordable</v>
      </c>
    </row>
    <row r="779" spans="1:20" x14ac:dyDescent="0.35">
      <c r="A779" s="3">
        <v>484981</v>
      </c>
      <c r="B779" s="2" t="s">
        <v>17</v>
      </c>
      <c r="C779">
        <v>22863</v>
      </c>
      <c r="D779" s="2" t="s">
        <v>18</v>
      </c>
      <c r="E779">
        <v>6</v>
      </c>
      <c r="F779">
        <v>2</v>
      </c>
      <c r="G779" s="4">
        <f>VALUE(SUBSTITUTE(SUBSTITUTE(Table1[[#This Row],[Price]],"$",""),",",""))</f>
        <v>484981</v>
      </c>
      <c r="H779" s="1">
        <f>Table1[[#This Row],[Price2]]/Table1[[#This Row],[Area]]</f>
        <v>155.34304932735427</v>
      </c>
      <c r="I779">
        <v>3122</v>
      </c>
      <c r="J779">
        <v>2002</v>
      </c>
      <c r="K779">
        <v>108</v>
      </c>
      <c r="L779" t="s">
        <v>40</v>
      </c>
      <c r="M779" t="s">
        <v>1786</v>
      </c>
      <c r="N779" s="2" t="s">
        <v>3027</v>
      </c>
      <c r="O779" t="s">
        <v>3028</v>
      </c>
      <c r="P779" t="s">
        <v>26</v>
      </c>
      <c r="Q779">
        <v>155.34304932735427</v>
      </c>
      <c r="R779">
        <f ca="1">YEAR(TODAY())-Table1[[#This Row],[Year Built]]</f>
        <v>24</v>
      </c>
      <c r="S779" t="str">
        <f>IF(Table1[[#This Row],[Days on Market]] &lt; 30,"Fast",IF(Table1[[#This Row],[Days on Market]]&lt;= 90,"Average", "Slow"))</f>
        <v>Slow</v>
      </c>
      <c r="T779" t="str">
        <f>IF(Table1[[#This Row],[Price2]]&lt;500000,"Affordable",IF(Table1[[#This Row],[Price2]]&lt;1000000,"Mid range","Luxury"))</f>
        <v>Affordable</v>
      </c>
    </row>
    <row r="780" spans="1:20" x14ac:dyDescent="0.35">
      <c r="A780" s="3">
        <v>485409</v>
      </c>
      <c r="B780" s="2" t="s">
        <v>17</v>
      </c>
      <c r="C780">
        <v>45968</v>
      </c>
      <c r="D780" s="2" t="s">
        <v>13</v>
      </c>
      <c r="E780">
        <v>1</v>
      </c>
      <c r="F780">
        <v>1</v>
      </c>
      <c r="G780" s="4">
        <f>VALUE(SUBSTITUTE(SUBSTITUTE(Table1[[#This Row],[Price]],"$",""),",",""))</f>
        <v>485409</v>
      </c>
      <c r="H780" s="1">
        <f>Table1[[#This Row],[Price2]]/Table1[[#This Row],[Area]]</f>
        <v>145.89990982867448</v>
      </c>
      <c r="I780">
        <v>3327</v>
      </c>
      <c r="J780">
        <v>1953</v>
      </c>
      <c r="K780">
        <v>57</v>
      </c>
      <c r="L780" t="s">
        <v>14</v>
      </c>
      <c r="M780" t="s">
        <v>2759</v>
      </c>
      <c r="N780" s="2" t="s">
        <v>3027</v>
      </c>
      <c r="O780" t="s">
        <v>3028</v>
      </c>
      <c r="P780" t="s">
        <v>26</v>
      </c>
      <c r="Q780">
        <v>145.89990982867448</v>
      </c>
      <c r="R780">
        <f ca="1">YEAR(TODAY())-Table1[[#This Row],[Year Built]]</f>
        <v>73</v>
      </c>
      <c r="S780" t="str">
        <f>IF(Table1[[#This Row],[Days on Market]] &lt; 30,"Fast",IF(Table1[[#This Row],[Days on Market]]&lt;= 90,"Average", "Slow"))</f>
        <v>Average</v>
      </c>
      <c r="T780" t="str">
        <f>IF(Table1[[#This Row],[Price2]]&lt;500000,"Affordable",IF(Table1[[#This Row],[Price2]]&lt;1000000,"Mid range","Luxury"))</f>
        <v>Affordable</v>
      </c>
    </row>
    <row r="781" spans="1:20" x14ac:dyDescent="0.35">
      <c r="A781" s="3">
        <v>485523</v>
      </c>
      <c r="B781" s="2" t="s">
        <v>22</v>
      </c>
      <c r="C781">
        <v>65166</v>
      </c>
      <c r="D781" s="2" t="s">
        <v>23</v>
      </c>
      <c r="E781">
        <v>6</v>
      </c>
      <c r="F781">
        <v>4</v>
      </c>
      <c r="G781" s="4">
        <f>VALUE(SUBSTITUTE(SUBSTITUTE(Table1[[#This Row],[Price]],"$",""),",",""))</f>
        <v>485523</v>
      </c>
      <c r="H781" s="1">
        <f>Table1[[#This Row],[Price2]]/Table1[[#This Row],[Area]]</f>
        <v>169.94154707735387</v>
      </c>
      <c r="I781">
        <v>2857</v>
      </c>
      <c r="J781">
        <v>1999</v>
      </c>
      <c r="K781">
        <v>54</v>
      </c>
      <c r="L781" t="s">
        <v>30</v>
      </c>
      <c r="M781" t="s">
        <v>2193</v>
      </c>
      <c r="N781" s="2" t="s">
        <v>3029</v>
      </c>
      <c r="O781" t="s">
        <v>3030</v>
      </c>
      <c r="P781" t="s">
        <v>26</v>
      </c>
      <c r="Q781">
        <v>169.94154707735387</v>
      </c>
      <c r="R781">
        <f ca="1">YEAR(TODAY())-Table1[[#This Row],[Year Built]]</f>
        <v>27</v>
      </c>
      <c r="S781" t="str">
        <f>IF(Table1[[#This Row],[Days on Market]] &lt; 30,"Fast",IF(Table1[[#This Row],[Days on Market]]&lt;= 90,"Average", "Slow"))</f>
        <v>Average</v>
      </c>
      <c r="T781" t="str">
        <f>IF(Table1[[#This Row],[Price2]]&lt;500000,"Affordable",IF(Table1[[#This Row],[Price2]]&lt;1000000,"Mid range","Luxury"))</f>
        <v>Affordable</v>
      </c>
    </row>
    <row r="782" spans="1:20" x14ac:dyDescent="0.35">
      <c r="A782" s="3">
        <v>486791</v>
      </c>
      <c r="B782" s="2" t="s">
        <v>17</v>
      </c>
      <c r="C782">
        <v>55624</v>
      </c>
      <c r="D782" s="2" t="s">
        <v>35</v>
      </c>
      <c r="E782">
        <v>1</v>
      </c>
      <c r="F782">
        <v>1</v>
      </c>
      <c r="G782" s="4">
        <f>VALUE(SUBSTITUTE(SUBSTITUTE(Table1[[#This Row],[Price]],"$",""),",",""))</f>
        <v>486791</v>
      </c>
      <c r="H782" s="1">
        <f>Table1[[#This Row],[Price2]]/Table1[[#This Row],[Area]]</f>
        <v>171.40528169014084</v>
      </c>
      <c r="I782">
        <v>2840</v>
      </c>
      <c r="J782">
        <v>2023</v>
      </c>
      <c r="K782">
        <v>118</v>
      </c>
      <c r="L782" t="s">
        <v>40</v>
      </c>
      <c r="M782" t="s">
        <v>345</v>
      </c>
      <c r="N782" s="2" t="s">
        <v>3029</v>
      </c>
      <c r="O782" t="s">
        <v>3030</v>
      </c>
      <c r="P782" t="s">
        <v>26</v>
      </c>
      <c r="Q782">
        <v>171.40528169014084</v>
      </c>
      <c r="R782">
        <f ca="1">YEAR(TODAY())-Table1[[#This Row],[Year Built]]</f>
        <v>3</v>
      </c>
      <c r="S782" t="str">
        <f>IF(Table1[[#This Row],[Days on Market]] &lt; 30,"Fast",IF(Table1[[#This Row],[Days on Market]]&lt;= 90,"Average", "Slow"))</f>
        <v>Slow</v>
      </c>
      <c r="T782" t="str">
        <f>IF(Table1[[#This Row],[Price2]]&lt;500000,"Affordable",IF(Table1[[#This Row],[Price2]]&lt;1000000,"Mid range","Luxury"))</f>
        <v>Affordable</v>
      </c>
    </row>
    <row r="783" spans="1:20" x14ac:dyDescent="0.35">
      <c r="A783" s="3">
        <v>489344</v>
      </c>
      <c r="B783" s="2" t="s">
        <v>22</v>
      </c>
      <c r="C783">
        <v>42121</v>
      </c>
      <c r="D783" s="2" t="s">
        <v>23</v>
      </c>
      <c r="E783">
        <v>6</v>
      </c>
      <c r="F783">
        <v>4</v>
      </c>
      <c r="G783" s="4">
        <f>VALUE(SUBSTITUTE(SUBSTITUTE(Table1[[#This Row],[Price]],"$",""),",",""))</f>
        <v>489344</v>
      </c>
      <c r="H783" s="1">
        <f>Table1[[#This Row],[Price2]]/Table1[[#This Row],[Area]]</f>
        <v>382.3</v>
      </c>
      <c r="I783">
        <v>1280</v>
      </c>
      <c r="J783">
        <v>1976</v>
      </c>
      <c r="K783">
        <v>39</v>
      </c>
      <c r="L783" t="s">
        <v>30</v>
      </c>
      <c r="M783" t="s">
        <v>2324</v>
      </c>
      <c r="N783" s="2" t="s">
        <v>3035</v>
      </c>
      <c r="O783" t="s">
        <v>3036</v>
      </c>
      <c r="P783" t="s">
        <v>21</v>
      </c>
      <c r="Q783">
        <v>382.3</v>
      </c>
      <c r="R783">
        <f ca="1">YEAR(TODAY())-Table1[[#This Row],[Year Built]]</f>
        <v>50</v>
      </c>
      <c r="S783" t="str">
        <f>IF(Table1[[#This Row],[Days on Market]] &lt; 30,"Fast",IF(Table1[[#This Row],[Days on Market]]&lt;= 90,"Average", "Slow"))</f>
        <v>Average</v>
      </c>
      <c r="T783" t="str">
        <f>IF(Table1[[#This Row],[Price2]]&lt;500000,"Affordable",IF(Table1[[#This Row],[Price2]]&lt;1000000,"Mid range","Luxury"))</f>
        <v>Affordable</v>
      </c>
    </row>
    <row r="784" spans="1:20" x14ac:dyDescent="0.35">
      <c r="A784" s="3">
        <v>489480</v>
      </c>
      <c r="B784" s="2" t="s">
        <v>17</v>
      </c>
      <c r="C784">
        <v>27696</v>
      </c>
      <c r="D784" s="2" t="s">
        <v>13</v>
      </c>
      <c r="E784">
        <v>4</v>
      </c>
      <c r="F784">
        <v>2</v>
      </c>
      <c r="G784" s="4">
        <f>VALUE(SUBSTITUTE(SUBSTITUTE(Table1[[#This Row],[Price]],"$",""),",",""))</f>
        <v>489480</v>
      </c>
      <c r="H784" s="1">
        <f>Table1[[#This Row],[Price2]]/Table1[[#This Row],[Area]]</f>
        <v>129.08227848101265</v>
      </c>
      <c r="I784">
        <v>3792</v>
      </c>
      <c r="J784">
        <v>2018</v>
      </c>
      <c r="K784">
        <v>89</v>
      </c>
      <c r="L784" t="s">
        <v>52</v>
      </c>
      <c r="M784" t="s">
        <v>2382</v>
      </c>
      <c r="N784" s="2" t="s">
        <v>3033</v>
      </c>
      <c r="O784" t="s">
        <v>3034</v>
      </c>
      <c r="P784" t="s">
        <v>26</v>
      </c>
      <c r="Q784">
        <v>129.08227848101265</v>
      </c>
      <c r="R784">
        <f ca="1">YEAR(TODAY())-Table1[[#This Row],[Year Built]]</f>
        <v>8</v>
      </c>
      <c r="S784" t="str">
        <f>IF(Table1[[#This Row],[Days on Market]] &lt; 30,"Fast",IF(Table1[[#This Row],[Days on Market]]&lt;= 90,"Average", "Slow"))</f>
        <v>Average</v>
      </c>
      <c r="T784" t="str">
        <f>IF(Table1[[#This Row],[Price2]]&lt;500000,"Affordable",IF(Table1[[#This Row],[Price2]]&lt;1000000,"Mid range","Luxury"))</f>
        <v>Affordable</v>
      </c>
    </row>
    <row r="785" spans="1:20" x14ac:dyDescent="0.35">
      <c r="A785" s="3">
        <v>489643</v>
      </c>
      <c r="B785" s="2" t="s">
        <v>12</v>
      </c>
      <c r="C785">
        <v>14187</v>
      </c>
      <c r="D785" s="2" t="s">
        <v>18</v>
      </c>
      <c r="E785">
        <v>6</v>
      </c>
      <c r="F785">
        <v>1</v>
      </c>
      <c r="G785" s="4">
        <f>VALUE(SUBSTITUTE(SUBSTITUTE(Table1[[#This Row],[Price]],"$",""),",",""))</f>
        <v>489643</v>
      </c>
      <c r="H785" s="1">
        <f>Table1[[#This Row],[Price2]]/Table1[[#This Row],[Area]]</f>
        <v>154.65666456096019</v>
      </c>
      <c r="I785">
        <v>3166</v>
      </c>
      <c r="J785">
        <v>1960</v>
      </c>
      <c r="K785">
        <v>25</v>
      </c>
      <c r="L785" t="s">
        <v>19</v>
      </c>
      <c r="M785" t="s">
        <v>280</v>
      </c>
      <c r="N785" s="2" t="s">
        <v>3027</v>
      </c>
      <c r="O785" t="s">
        <v>3028</v>
      </c>
      <c r="P785" t="s">
        <v>16</v>
      </c>
      <c r="Q785">
        <v>154.65666456096019</v>
      </c>
      <c r="R785">
        <f ca="1">YEAR(TODAY())-Table1[[#This Row],[Year Built]]</f>
        <v>66</v>
      </c>
      <c r="S785" t="str">
        <f>IF(Table1[[#This Row],[Days on Market]] &lt; 30,"Fast",IF(Table1[[#This Row],[Days on Market]]&lt;= 90,"Average", "Slow"))</f>
        <v>Fast</v>
      </c>
      <c r="T785" t="str">
        <f>IF(Table1[[#This Row],[Price2]]&lt;500000,"Affordable",IF(Table1[[#This Row],[Price2]]&lt;1000000,"Mid range","Luxury"))</f>
        <v>Affordable</v>
      </c>
    </row>
    <row r="786" spans="1:20" x14ac:dyDescent="0.35">
      <c r="A786" s="3">
        <v>490661</v>
      </c>
      <c r="B786" s="2" t="s">
        <v>34</v>
      </c>
      <c r="C786">
        <v>33183</v>
      </c>
      <c r="D786" s="2" t="s">
        <v>18</v>
      </c>
      <c r="E786">
        <v>4</v>
      </c>
      <c r="F786">
        <v>4</v>
      </c>
      <c r="G786" s="4">
        <f>VALUE(SUBSTITUTE(SUBSTITUTE(Table1[[#This Row],[Price]],"$",""),",",""))</f>
        <v>490661</v>
      </c>
      <c r="H786" s="1">
        <f>Table1[[#This Row],[Price2]]/Table1[[#This Row],[Area]]</f>
        <v>189.88428792569658</v>
      </c>
      <c r="I786">
        <v>2584</v>
      </c>
      <c r="J786">
        <v>1962</v>
      </c>
      <c r="K786">
        <v>34</v>
      </c>
      <c r="L786" t="s">
        <v>52</v>
      </c>
      <c r="M786" t="s">
        <v>282</v>
      </c>
      <c r="N786" s="2" t="s">
        <v>3031</v>
      </c>
      <c r="O786" t="s">
        <v>3032</v>
      </c>
      <c r="P786" t="s">
        <v>16</v>
      </c>
      <c r="Q786">
        <v>189.88428792569658</v>
      </c>
      <c r="R786">
        <f ca="1">YEAR(TODAY())-Table1[[#This Row],[Year Built]]</f>
        <v>64</v>
      </c>
      <c r="S786" t="str">
        <f>IF(Table1[[#This Row],[Days on Market]] &lt; 30,"Fast",IF(Table1[[#This Row],[Days on Market]]&lt;= 90,"Average", "Slow"))</f>
        <v>Average</v>
      </c>
      <c r="T786" t="str">
        <f>IF(Table1[[#This Row],[Price2]]&lt;500000,"Affordable",IF(Table1[[#This Row],[Price2]]&lt;1000000,"Mid range","Luxury"))</f>
        <v>Affordable</v>
      </c>
    </row>
    <row r="787" spans="1:20" x14ac:dyDescent="0.35">
      <c r="A787" s="3">
        <v>490836</v>
      </c>
      <c r="B787" s="2" t="s">
        <v>34</v>
      </c>
      <c r="C787">
        <v>56669</v>
      </c>
      <c r="D787" s="2" t="s">
        <v>18</v>
      </c>
      <c r="E787">
        <v>6</v>
      </c>
      <c r="F787">
        <v>1</v>
      </c>
      <c r="G787" s="4">
        <f>VALUE(SUBSTITUTE(SUBSTITUTE(Table1[[#This Row],[Price]],"$",""),",",""))</f>
        <v>490836</v>
      </c>
      <c r="H787" s="1">
        <f>Table1[[#This Row],[Price2]]/Table1[[#This Row],[Area]]</f>
        <v>720.75770925110135</v>
      </c>
      <c r="I787">
        <v>681</v>
      </c>
      <c r="J787">
        <v>2015</v>
      </c>
      <c r="K787">
        <v>49</v>
      </c>
      <c r="L787" t="s">
        <v>52</v>
      </c>
      <c r="M787" t="s">
        <v>1761</v>
      </c>
      <c r="N787" s="2" t="s">
        <v>3027</v>
      </c>
      <c r="O787" t="s">
        <v>3028</v>
      </c>
      <c r="P787" t="s">
        <v>21</v>
      </c>
      <c r="Q787">
        <v>720.75770925110135</v>
      </c>
      <c r="R787">
        <f ca="1">YEAR(TODAY())-Table1[[#This Row],[Year Built]]</f>
        <v>11</v>
      </c>
      <c r="S787" t="str">
        <f>IF(Table1[[#This Row],[Days on Market]] &lt; 30,"Fast",IF(Table1[[#This Row],[Days on Market]]&lt;= 90,"Average", "Slow"))</f>
        <v>Average</v>
      </c>
      <c r="T787" t="str">
        <f>IF(Table1[[#This Row],[Price2]]&lt;500000,"Affordable",IF(Table1[[#This Row],[Price2]]&lt;1000000,"Mid range","Luxury"))</f>
        <v>Affordable</v>
      </c>
    </row>
    <row r="788" spans="1:20" x14ac:dyDescent="0.35">
      <c r="A788" s="3">
        <v>491022</v>
      </c>
      <c r="B788" s="2" t="s">
        <v>12</v>
      </c>
      <c r="C788">
        <v>29719</v>
      </c>
      <c r="D788" s="2" t="s">
        <v>29</v>
      </c>
      <c r="E788">
        <v>1</v>
      </c>
      <c r="F788">
        <v>4</v>
      </c>
      <c r="G788" s="4">
        <f>VALUE(SUBSTITUTE(SUBSTITUTE(Table1[[#This Row],[Price]],"$",""),",",""))</f>
        <v>491022</v>
      </c>
      <c r="H788" s="1">
        <f>Table1[[#This Row],[Price2]]/Table1[[#This Row],[Area]]</f>
        <v>134.71111111111111</v>
      </c>
      <c r="I788">
        <v>3645</v>
      </c>
      <c r="J788">
        <v>2020</v>
      </c>
      <c r="K788">
        <v>92</v>
      </c>
      <c r="L788" t="s">
        <v>19</v>
      </c>
      <c r="M788" t="s">
        <v>580</v>
      </c>
      <c r="N788" s="2" t="s">
        <v>3035</v>
      </c>
      <c r="O788" t="s">
        <v>3036</v>
      </c>
      <c r="P788" t="s">
        <v>21</v>
      </c>
      <c r="Q788">
        <v>134.71111111111111</v>
      </c>
      <c r="R788">
        <f ca="1">YEAR(TODAY())-Table1[[#This Row],[Year Built]]</f>
        <v>6</v>
      </c>
      <c r="S788" t="str">
        <f>IF(Table1[[#This Row],[Days on Market]] &lt; 30,"Fast",IF(Table1[[#This Row],[Days on Market]]&lt;= 90,"Average", "Slow"))</f>
        <v>Slow</v>
      </c>
      <c r="T788" t="str">
        <f>IF(Table1[[#This Row],[Price2]]&lt;500000,"Affordable",IF(Table1[[#This Row],[Price2]]&lt;1000000,"Mid range","Luxury"))</f>
        <v>Affordable</v>
      </c>
    </row>
    <row r="789" spans="1:20" x14ac:dyDescent="0.35">
      <c r="A789" s="3">
        <v>491406</v>
      </c>
      <c r="B789" s="2" t="s">
        <v>34</v>
      </c>
      <c r="C789">
        <v>73490</v>
      </c>
      <c r="D789" s="2" t="s">
        <v>35</v>
      </c>
      <c r="E789">
        <v>5</v>
      </c>
      <c r="F789">
        <v>2</v>
      </c>
      <c r="G789" s="4">
        <f>VALUE(SUBSTITUTE(SUBSTITUTE(Table1[[#This Row],[Price]],"$",""),",",""))</f>
        <v>491406</v>
      </c>
      <c r="H789" s="1">
        <f>Table1[[#This Row],[Price2]]/Table1[[#This Row],[Area]]</f>
        <v>140.84436801375753</v>
      </c>
      <c r="I789">
        <v>3489</v>
      </c>
      <c r="J789">
        <v>1973</v>
      </c>
      <c r="K789">
        <v>40</v>
      </c>
      <c r="L789" t="s">
        <v>30</v>
      </c>
      <c r="M789" t="s">
        <v>2656</v>
      </c>
      <c r="N789" s="2" t="s">
        <v>3027</v>
      </c>
      <c r="O789" t="s">
        <v>3028</v>
      </c>
      <c r="P789" t="s">
        <v>21</v>
      </c>
      <c r="Q789">
        <v>140.84436801375753</v>
      </c>
      <c r="R789">
        <f ca="1">YEAR(TODAY())-Table1[[#This Row],[Year Built]]</f>
        <v>53</v>
      </c>
      <c r="S789" t="str">
        <f>IF(Table1[[#This Row],[Days on Market]] &lt; 30,"Fast",IF(Table1[[#This Row],[Days on Market]]&lt;= 90,"Average", "Slow"))</f>
        <v>Average</v>
      </c>
      <c r="T789" t="str">
        <f>IF(Table1[[#This Row],[Price2]]&lt;500000,"Affordable",IF(Table1[[#This Row],[Price2]]&lt;1000000,"Mid range","Luxury"))</f>
        <v>Affordable</v>
      </c>
    </row>
    <row r="790" spans="1:20" x14ac:dyDescent="0.35">
      <c r="A790" s="3">
        <v>491796</v>
      </c>
      <c r="B790" s="2" t="s">
        <v>12</v>
      </c>
      <c r="C790">
        <v>60385</v>
      </c>
      <c r="D790" s="2" t="s">
        <v>18</v>
      </c>
      <c r="E790">
        <v>4</v>
      </c>
      <c r="F790">
        <v>3</v>
      </c>
      <c r="G790" s="4">
        <f>VALUE(SUBSTITUTE(SUBSTITUTE(Table1[[#This Row],[Price]],"$",""),",",""))</f>
        <v>491796</v>
      </c>
      <c r="H790" s="1">
        <f>Table1[[#This Row],[Price2]]/Table1[[#This Row],[Area]]</f>
        <v>190.17633410672855</v>
      </c>
      <c r="I790">
        <v>2586</v>
      </c>
      <c r="J790">
        <v>1976</v>
      </c>
      <c r="K790">
        <v>102</v>
      </c>
      <c r="L790" t="s">
        <v>19</v>
      </c>
      <c r="M790" t="s">
        <v>965</v>
      </c>
      <c r="N790" s="2" t="s">
        <v>3031</v>
      </c>
      <c r="O790" t="s">
        <v>3032</v>
      </c>
      <c r="P790" t="s">
        <v>21</v>
      </c>
      <c r="Q790">
        <v>190.17633410672855</v>
      </c>
      <c r="R790">
        <f ca="1">YEAR(TODAY())-Table1[[#This Row],[Year Built]]</f>
        <v>50</v>
      </c>
      <c r="S790" t="str">
        <f>IF(Table1[[#This Row],[Days on Market]] &lt; 30,"Fast",IF(Table1[[#This Row],[Days on Market]]&lt;= 90,"Average", "Slow"))</f>
        <v>Slow</v>
      </c>
      <c r="T790" t="str">
        <f>IF(Table1[[#This Row],[Price2]]&lt;500000,"Affordable",IF(Table1[[#This Row],[Price2]]&lt;1000000,"Mid range","Luxury"))</f>
        <v>Affordable</v>
      </c>
    </row>
    <row r="791" spans="1:20" x14ac:dyDescent="0.35">
      <c r="A791" s="3">
        <v>492299</v>
      </c>
      <c r="B791" s="2" t="s">
        <v>12</v>
      </c>
      <c r="C791">
        <v>80716</v>
      </c>
      <c r="D791" s="2" t="s">
        <v>23</v>
      </c>
      <c r="E791">
        <v>5</v>
      </c>
      <c r="F791">
        <v>2</v>
      </c>
      <c r="G791" s="4">
        <f>VALUE(SUBSTITUTE(SUBSTITUTE(Table1[[#This Row],[Price]],"$",""),",",""))</f>
        <v>492299</v>
      </c>
      <c r="H791" s="1">
        <f>Table1[[#This Row],[Price2]]/Table1[[#This Row],[Area]]</f>
        <v>125.17137045512331</v>
      </c>
      <c r="I791">
        <v>3933</v>
      </c>
      <c r="J791">
        <v>1975</v>
      </c>
      <c r="K791">
        <v>39</v>
      </c>
      <c r="L791" t="s">
        <v>14</v>
      </c>
      <c r="M791" t="s">
        <v>2497</v>
      </c>
      <c r="N791" s="2" t="s">
        <v>3035</v>
      </c>
      <c r="O791" t="s">
        <v>3036</v>
      </c>
      <c r="P791" t="s">
        <v>26</v>
      </c>
      <c r="Q791">
        <v>125.17137045512331</v>
      </c>
      <c r="R791">
        <f ca="1">YEAR(TODAY())-Table1[[#This Row],[Year Built]]</f>
        <v>51</v>
      </c>
      <c r="S791" t="str">
        <f>IF(Table1[[#This Row],[Days on Market]] &lt; 30,"Fast",IF(Table1[[#This Row],[Days on Market]]&lt;= 90,"Average", "Slow"))</f>
        <v>Average</v>
      </c>
      <c r="T791" t="str">
        <f>IF(Table1[[#This Row],[Price2]]&lt;500000,"Affordable",IF(Table1[[#This Row],[Price2]]&lt;1000000,"Mid range","Luxury"))</f>
        <v>Affordable</v>
      </c>
    </row>
    <row r="792" spans="1:20" x14ac:dyDescent="0.35">
      <c r="A792" s="3">
        <v>492639</v>
      </c>
      <c r="B792" s="2" t="s">
        <v>17</v>
      </c>
      <c r="C792">
        <v>26426</v>
      </c>
      <c r="D792" s="2" t="s">
        <v>23</v>
      </c>
      <c r="E792">
        <v>6</v>
      </c>
      <c r="F792">
        <v>2</v>
      </c>
      <c r="G792" s="4">
        <f>VALUE(SUBSTITUTE(SUBSTITUTE(Table1[[#This Row],[Price]],"$",""),",",""))</f>
        <v>492639</v>
      </c>
      <c r="H792" s="1">
        <f>Table1[[#This Row],[Price2]]/Table1[[#This Row],[Area]]</f>
        <v>148.11755862898377</v>
      </c>
      <c r="I792">
        <v>3326</v>
      </c>
      <c r="J792">
        <v>2002</v>
      </c>
      <c r="K792">
        <v>47</v>
      </c>
      <c r="L792" t="s">
        <v>30</v>
      </c>
      <c r="M792" t="s">
        <v>2242</v>
      </c>
      <c r="N792" s="2" t="s">
        <v>3029</v>
      </c>
      <c r="O792" t="s">
        <v>3030</v>
      </c>
      <c r="P792" t="s">
        <v>21</v>
      </c>
      <c r="Q792">
        <v>148.11755862898377</v>
      </c>
      <c r="R792">
        <f ca="1">YEAR(TODAY())-Table1[[#This Row],[Year Built]]</f>
        <v>24</v>
      </c>
      <c r="S792" t="str">
        <f>IF(Table1[[#This Row],[Days on Market]] &lt; 30,"Fast",IF(Table1[[#This Row],[Days on Market]]&lt;= 90,"Average", "Slow"))</f>
        <v>Average</v>
      </c>
      <c r="T792" t="str">
        <f>IF(Table1[[#This Row],[Price2]]&lt;500000,"Affordable",IF(Table1[[#This Row],[Price2]]&lt;1000000,"Mid range","Luxury"))</f>
        <v>Affordable</v>
      </c>
    </row>
    <row r="793" spans="1:20" x14ac:dyDescent="0.35">
      <c r="A793" s="3">
        <v>493055</v>
      </c>
      <c r="B793" s="2" t="s">
        <v>27</v>
      </c>
      <c r="C793">
        <v>92407</v>
      </c>
      <c r="D793" s="2" t="s">
        <v>29</v>
      </c>
      <c r="E793">
        <v>5</v>
      </c>
      <c r="F793">
        <v>1</v>
      </c>
      <c r="G793" s="4">
        <f>VALUE(SUBSTITUTE(SUBSTITUTE(Table1[[#This Row],[Price]],"$",""),",",""))</f>
        <v>493055</v>
      </c>
      <c r="H793" s="1">
        <f>Table1[[#This Row],[Price2]]/Table1[[#This Row],[Area]]</f>
        <v>597.64242424242423</v>
      </c>
      <c r="I793">
        <v>825</v>
      </c>
      <c r="J793">
        <v>1965</v>
      </c>
      <c r="K793">
        <v>24</v>
      </c>
      <c r="L793" t="s">
        <v>40</v>
      </c>
      <c r="M793" t="s">
        <v>2189</v>
      </c>
      <c r="N793" s="2" t="s">
        <v>3033</v>
      </c>
      <c r="O793" t="s">
        <v>3034</v>
      </c>
      <c r="P793" t="s">
        <v>26</v>
      </c>
      <c r="Q793">
        <v>597.64242424242423</v>
      </c>
      <c r="R793">
        <f ca="1">YEAR(TODAY())-Table1[[#This Row],[Year Built]]</f>
        <v>61</v>
      </c>
      <c r="S793" t="str">
        <f>IF(Table1[[#This Row],[Days on Market]] &lt; 30,"Fast",IF(Table1[[#This Row],[Days on Market]]&lt;= 90,"Average", "Slow"))</f>
        <v>Fast</v>
      </c>
      <c r="T793" t="str">
        <f>IF(Table1[[#This Row],[Price2]]&lt;500000,"Affordable",IF(Table1[[#This Row],[Price2]]&lt;1000000,"Mid range","Luxury"))</f>
        <v>Affordable</v>
      </c>
    </row>
    <row r="794" spans="1:20" x14ac:dyDescent="0.35">
      <c r="A794" s="3">
        <v>493145</v>
      </c>
      <c r="B794" s="2" t="s">
        <v>17</v>
      </c>
      <c r="C794">
        <v>95106</v>
      </c>
      <c r="D794" s="2" t="s">
        <v>23</v>
      </c>
      <c r="E794">
        <v>5</v>
      </c>
      <c r="F794">
        <v>2</v>
      </c>
      <c r="G794" s="4">
        <f>VALUE(SUBSTITUTE(SUBSTITUTE(Table1[[#This Row],[Price]],"$",""),",",""))</f>
        <v>493145</v>
      </c>
      <c r="H794" s="1">
        <f>Table1[[#This Row],[Price2]]/Table1[[#This Row],[Area]]</f>
        <v>171.23090277777777</v>
      </c>
      <c r="I794">
        <v>2880</v>
      </c>
      <c r="J794">
        <v>1981</v>
      </c>
      <c r="K794">
        <v>82</v>
      </c>
      <c r="L794" t="s">
        <v>40</v>
      </c>
      <c r="M794" t="s">
        <v>176</v>
      </c>
      <c r="N794" s="2" t="s">
        <v>3027</v>
      </c>
      <c r="O794" t="s">
        <v>3028</v>
      </c>
      <c r="P794" t="s">
        <v>21</v>
      </c>
      <c r="Q794">
        <v>171.23090277777777</v>
      </c>
      <c r="R794">
        <f ca="1">YEAR(TODAY())-Table1[[#This Row],[Year Built]]</f>
        <v>45</v>
      </c>
      <c r="S794" t="str">
        <f>IF(Table1[[#This Row],[Days on Market]] &lt; 30,"Fast",IF(Table1[[#This Row],[Days on Market]]&lt;= 90,"Average", "Slow"))</f>
        <v>Average</v>
      </c>
      <c r="T794" t="str">
        <f>IF(Table1[[#This Row],[Price2]]&lt;500000,"Affordable",IF(Table1[[#This Row],[Price2]]&lt;1000000,"Mid range","Luxury"))</f>
        <v>Affordable</v>
      </c>
    </row>
    <row r="795" spans="1:20" x14ac:dyDescent="0.35">
      <c r="A795" s="3">
        <v>493384</v>
      </c>
      <c r="B795" s="2" t="s">
        <v>22</v>
      </c>
      <c r="C795">
        <v>96815</v>
      </c>
      <c r="D795" s="2" t="s">
        <v>35</v>
      </c>
      <c r="E795">
        <v>3</v>
      </c>
      <c r="F795">
        <v>2</v>
      </c>
      <c r="G795" s="4">
        <f>VALUE(SUBSTITUTE(SUBSTITUTE(Table1[[#This Row],[Price]],"$",""),",",""))</f>
        <v>493384</v>
      </c>
      <c r="H795" s="1">
        <f>Table1[[#This Row],[Price2]]/Table1[[#This Row],[Area]]</f>
        <v>124.87572766388256</v>
      </c>
      <c r="I795">
        <v>3951</v>
      </c>
      <c r="J795">
        <v>2019</v>
      </c>
      <c r="K795">
        <v>29</v>
      </c>
      <c r="L795" t="s">
        <v>30</v>
      </c>
      <c r="M795" t="s">
        <v>1389</v>
      </c>
      <c r="N795" s="2" t="s">
        <v>3031</v>
      </c>
      <c r="O795" t="s">
        <v>3032</v>
      </c>
      <c r="P795" t="s">
        <v>26</v>
      </c>
      <c r="Q795">
        <v>124.87572766388256</v>
      </c>
      <c r="R795">
        <f ca="1">YEAR(TODAY())-Table1[[#This Row],[Year Built]]</f>
        <v>7</v>
      </c>
      <c r="S795" t="str">
        <f>IF(Table1[[#This Row],[Days on Market]] &lt; 30,"Fast",IF(Table1[[#This Row],[Days on Market]]&lt;= 90,"Average", "Slow"))</f>
        <v>Fast</v>
      </c>
      <c r="T795" t="str">
        <f>IF(Table1[[#This Row],[Price2]]&lt;500000,"Affordable",IF(Table1[[#This Row],[Price2]]&lt;1000000,"Mid range","Luxury"))</f>
        <v>Affordable</v>
      </c>
    </row>
    <row r="796" spans="1:20" x14ac:dyDescent="0.35">
      <c r="A796" s="3">
        <v>493415</v>
      </c>
      <c r="B796" s="2" t="s">
        <v>34</v>
      </c>
      <c r="C796">
        <v>51963</v>
      </c>
      <c r="D796" s="2" t="s">
        <v>29</v>
      </c>
      <c r="E796">
        <v>3</v>
      </c>
      <c r="F796">
        <v>3</v>
      </c>
      <c r="G796" s="4">
        <f>VALUE(SUBSTITUTE(SUBSTITUTE(Table1[[#This Row],[Price]],"$",""),",",""))</f>
        <v>493415</v>
      </c>
      <c r="H796" s="1">
        <f>Table1[[#This Row],[Price2]]/Table1[[#This Row],[Area]]</f>
        <v>126.35467349551857</v>
      </c>
      <c r="I796">
        <v>3905</v>
      </c>
      <c r="J796">
        <v>1994</v>
      </c>
      <c r="K796">
        <v>40</v>
      </c>
      <c r="L796" t="s">
        <v>52</v>
      </c>
      <c r="M796" t="s">
        <v>338</v>
      </c>
      <c r="N796" s="2" t="s">
        <v>3033</v>
      </c>
      <c r="O796" t="s">
        <v>3034</v>
      </c>
      <c r="P796" t="s">
        <v>21</v>
      </c>
      <c r="Q796">
        <v>126.35467349551857</v>
      </c>
      <c r="R796">
        <f ca="1">YEAR(TODAY())-Table1[[#This Row],[Year Built]]</f>
        <v>32</v>
      </c>
      <c r="S796" t="str">
        <f>IF(Table1[[#This Row],[Days on Market]] &lt; 30,"Fast",IF(Table1[[#This Row],[Days on Market]]&lt;= 90,"Average", "Slow"))</f>
        <v>Average</v>
      </c>
      <c r="T796" t="str">
        <f>IF(Table1[[#This Row],[Price2]]&lt;500000,"Affordable",IF(Table1[[#This Row],[Price2]]&lt;1000000,"Mid range","Luxury"))</f>
        <v>Affordable</v>
      </c>
    </row>
    <row r="797" spans="1:20" x14ac:dyDescent="0.35">
      <c r="A797" s="3">
        <v>493579</v>
      </c>
      <c r="B797" s="2" t="s">
        <v>22</v>
      </c>
      <c r="C797">
        <v>61576</v>
      </c>
      <c r="D797" s="2" t="s">
        <v>23</v>
      </c>
      <c r="E797">
        <v>3</v>
      </c>
      <c r="F797">
        <v>1</v>
      </c>
      <c r="G797" s="4">
        <f>VALUE(SUBSTITUTE(SUBSTITUTE(Table1[[#This Row],[Price]],"$",""),",",""))</f>
        <v>493579</v>
      </c>
      <c r="H797" s="1">
        <f>Table1[[#This Row],[Price2]]/Table1[[#This Row],[Area]]</f>
        <v>415.82055602358889</v>
      </c>
      <c r="I797">
        <v>1187</v>
      </c>
      <c r="J797">
        <v>1953</v>
      </c>
      <c r="K797">
        <v>76</v>
      </c>
      <c r="L797" t="s">
        <v>52</v>
      </c>
      <c r="M797" t="s">
        <v>2375</v>
      </c>
      <c r="N797" s="2" t="s">
        <v>3029</v>
      </c>
      <c r="O797" t="s">
        <v>3030</v>
      </c>
      <c r="P797" t="s">
        <v>26</v>
      </c>
      <c r="Q797">
        <v>415.82055602358889</v>
      </c>
      <c r="R797">
        <f ca="1">YEAR(TODAY())-Table1[[#This Row],[Year Built]]</f>
        <v>73</v>
      </c>
      <c r="S797" t="str">
        <f>IF(Table1[[#This Row],[Days on Market]] &lt; 30,"Fast",IF(Table1[[#This Row],[Days on Market]]&lt;= 90,"Average", "Slow"))</f>
        <v>Average</v>
      </c>
      <c r="T797" t="str">
        <f>IF(Table1[[#This Row],[Price2]]&lt;500000,"Affordable",IF(Table1[[#This Row],[Price2]]&lt;1000000,"Mid range","Luxury"))</f>
        <v>Affordable</v>
      </c>
    </row>
    <row r="798" spans="1:20" x14ac:dyDescent="0.35">
      <c r="A798" s="3">
        <v>493637</v>
      </c>
      <c r="B798" s="2" t="s">
        <v>12</v>
      </c>
      <c r="C798">
        <v>45350</v>
      </c>
      <c r="D798" s="2" t="s">
        <v>18</v>
      </c>
      <c r="E798">
        <v>3</v>
      </c>
      <c r="F798">
        <v>2</v>
      </c>
      <c r="G798" s="4">
        <f>VALUE(SUBSTITUTE(SUBSTITUTE(Table1[[#This Row],[Price]],"$",""),",",""))</f>
        <v>493637</v>
      </c>
      <c r="H798" s="1">
        <f>Table1[[#This Row],[Price2]]/Table1[[#This Row],[Area]]</f>
        <v>173.0845021037868</v>
      </c>
      <c r="I798">
        <v>2852</v>
      </c>
      <c r="J798">
        <v>1953</v>
      </c>
      <c r="K798">
        <v>67</v>
      </c>
      <c r="L798" t="s">
        <v>19</v>
      </c>
      <c r="M798" t="s">
        <v>1511</v>
      </c>
      <c r="N798" s="2" t="s">
        <v>3033</v>
      </c>
      <c r="O798" t="s">
        <v>3034</v>
      </c>
      <c r="P798" t="s">
        <v>16</v>
      </c>
      <c r="Q798">
        <v>173.0845021037868</v>
      </c>
      <c r="R798">
        <f ca="1">YEAR(TODAY())-Table1[[#This Row],[Year Built]]</f>
        <v>73</v>
      </c>
      <c r="S798" t="str">
        <f>IF(Table1[[#This Row],[Days on Market]] &lt; 30,"Fast",IF(Table1[[#This Row],[Days on Market]]&lt;= 90,"Average", "Slow"))</f>
        <v>Average</v>
      </c>
      <c r="T798" t="str">
        <f>IF(Table1[[#This Row],[Price2]]&lt;500000,"Affordable",IF(Table1[[#This Row],[Price2]]&lt;1000000,"Mid range","Luxury"))</f>
        <v>Affordable</v>
      </c>
    </row>
    <row r="799" spans="1:20" x14ac:dyDescent="0.35">
      <c r="A799" s="3">
        <v>495312</v>
      </c>
      <c r="B799" s="2" t="s">
        <v>22</v>
      </c>
      <c r="C799">
        <v>10634</v>
      </c>
      <c r="D799" s="2" t="s">
        <v>29</v>
      </c>
      <c r="E799">
        <v>2</v>
      </c>
      <c r="F799">
        <v>3</v>
      </c>
      <c r="G799" s="4">
        <f>VALUE(SUBSTITUTE(SUBSTITUTE(Table1[[#This Row],[Price]],"$",""),",",""))</f>
        <v>495312</v>
      </c>
      <c r="H799" s="1">
        <f>Table1[[#This Row],[Price2]]/Table1[[#This Row],[Area]]</f>
        <v>233.19774011299435</v>
      </c>
      <c r="I799">
        <v>2124</v>
      </c>
      <c r="J799">
        <v>2005</v>
      </c>
      <c r="K799">
        <v>33</v>
      </c>
      <c r="L799" t="s">
        <v>14</v>
      </c>
      <c r="M799" t="s">
        <v>1403</v>
      </c>
      <c r="N799" s="2" t="s">
        <v>3027</v>
      </c>
      <c r="O799" t="s">
        <v>3028</v>
      </c>
      <c r="P799" t="s">
        <v>16</v>
      </c>
      <c r="Q799">
        <v>233.19774011299435</v>
      </c>
      <c r="R799">
        <f ca="1">YEAR(TODAY())-Table1[[#This Row],[Year Built]]</f>
        <v>21</v>
      </c>
      <c r="S799" t="str">
        <f>IF(Table1[[#This Row],[Days on Market]] &lt; 30,"Fast",IF(Table1[[#This Row],[Days on Market]]&lt;= 90,"Average", "Slow"))</f>
        <v>Average</v>
      </c>
      <c r="T799" t="str">
        <f>IF(Table1[[#This Row],[Price2]]&lt;500000,"Affordable",IF(Table1[[#This Row],[Price2]]&lt;1000000,"Mid range","Luxury"))</f>
        <v>Affordable</v>
      </c>
    </row>
    <row r="800" spans="1:20" x14ac:dyDescent="0.35">
      <c r="A800" s="3">
        <v>496223</v>
      </c>
      <c r="B800" s="2" t="s">
        <v>34</v>
      </c>
      <c r="C800">
        <v>88144</v>
      </c>
      <c r="D800" s="2" t="s">
        <v>35</v>
      </c>
      <c r="E800">
        <v>6</v>
      </c>
      <c r="F800">
        <v>2</v>
      </c>
      <c r="G800" s="4">
        <f>VALUE(SUBSTITUTE(SUBSTITUTE(Table1[[#This Row],[Price]],"$",""),",",""))</f>
        <v>496223</v>
      </c>
      <c r="H800" s="1">
        <f>Table1[[#This Row],[Price2]]/Table1[[#This Row],[Area]]</f>
        <v>369.48845867460909</v>
      </c>
      <c r="I800">
        <v>1343</v>
      </c>
      <c r="J800">
        <v>2015</v>
      </c>
      <c r="K800">
        <v>99</v>
      </c>
      <c r="L800" t="s">
        <v>52</v>
      </c>
      <c r="M800" t="s">
        <v>1018</v>
      </c>
      <c r="N800" s="2" t="s">
        <v>3031</v>
      </c>
      <c r="O800" t="s">
        <v>3032</v>
      </c>
      <c r="P800" t="s">
        <v>21</v>
      </c>
      <c r="Q800">
        <v>369.48845867460909</v>
      </c>
      <c r="R800">
        <f ca="1">YEAR(TODAY())-Table1[[#This Row],[Year Built]]</f>
        <v>11</v>
      </c>
      <c r="S800" t="str">
        <f>IF(Table1[[#This Row],[Days on Market]] &lt; 30,"Fast",IF(Table1[[#This Row],[Days on Market]]&lt;= 90,"Average", "Slow"))</f>
        <v>Slow</v>
      </c>
      <c r="T800" t="str">
        <f>IF(Table1[[#This Row],[Price2]]&lt;500000,"Affordable",IF(Table1[[#This Row],[Price2]]&lt;1000000,"Mid range","Luxury"))</f>
        <v>Affordable</v>
      </c>
    </row>
    <row r="801" spans="1:20" x14ac:dyDescent="0.35">
      <c r="A801" s="3">
        <v>496299</v>
      </c>
      <c r="B801" s="2" t="s">
        <v>27</v>
      </c>
      <c r="C801">
        <v>98154</v>
      </c>
      <c r="D801" s="2" t="s">
        <v>23</v>
      </c>
      <c r="E801">
        <v>3</v>
      </c>
      <c r="F801">
        <v>1</v>
      </c>
      <c r="G801" s="4">
        <f>VALUE(SUBSTITUTE(SUBSTITUTE(Table1[[#This Row],[Price]],"$",""),",",""))</f>
        <v>496299</v>
      </c>
      <c r="H801" s="1">
        <f>Table1[[#This Row],[Price2]]/Table1[[#This Row],[Area]]</f>
        <v>167.9522842639594</v>
      </c>
      <c r="I801">
        <v>2955</v>
      </c>
      <c r="J801">
        <v>1954</v>
      </c>
      <c r="K801">
        <v>115</v>
      </c>
      <c r="L801" t="s">
        <v>19</v>
      </c>
      <c r="M801" t="s">
        <v>2932</v>
      </c>
      <c r="N801" s="2" t="s">
        <v>3031</v>
      </c>
      <c r="O801" t="s">
        <v>3032</v>
      </c>
      <c r="P801" t="s">
        <v>21</v>
      </c>
      <c r="Q801">
        <v>167.9522842639594</v>
      </c>
      <c r="R801">
        <f ca="1">YEAR(TODAY())-Table1[[#This Row],[Year Built]]</f>
        <v>72</v>
      </c>
      <c r="S801" t="str">
        <f>IF(Table1[[#This Row],[Days on Market]] &lt; 30,"Fast",IF(Table1[[#This Row],[Days on Market]]&lt;= 90,"Average", "Slow"))</f>
        <v>Slow</v>
      </c>
      <c r="T801" t="str">
        <f>IF(Table1[[#This Row],[Price2]]&lt;500000,"Affordable",IF(Table1[[#This Row],[Price2]]&lt;1000000,"Mid range","Luxury"))</f>
        <v>Affordable</v>
      </c>
    </row>
    <row r="802" spans="1:20" x14ac:dyDescent="0.35">
      <c r="A802" s="3">
        <v>496342</v>
      </c>
      <c r="B802" s="2" t="s">
        <v>17</v>
      </c>
      <c r="C802">
        <v>66338</v>
      </c>
      <c r="D802" s="2" t="s">
        <v>29</v>
      </c>
      <c r="E802">
        <v>3</v>
      </c>
      <c r="F802">
        <v>1</v>
      </c>
      <c r="G802" s="4">
        <f>VALUE(SUBSTITUTE(SUBSTITUTE(Table1[[#This Row],[Price]],"$",""),",",""))</f>
        <v>496342</v>
      </c>
      <c r="H802" s="1">
        <f>Table1[[#This Row],[Price2]]/Table1[[#This Row],[Area]]</f>
        <v>332.89201877934272</v>
      </c>
      <c r="I802">
        <v>1491</v>
      </c>
      <c r="J802">
        <v>2002</v>
      </c>
      <c r="K802">
        <v>83</v>
      </c>
      <c r="L802" t="s">
        <v>30</v>
      </c>
      <c r="M802" t="s">
        <v>2830</v>
      </c>
      <c r="N802" s="2" t="s">
        <v>3033</v>
      </c>
      <c r="O802" t="s">
        <v>3034</v>
      </c>
      <c r="P802" t="s">
        <v>16</v>
      </c>
      <c r="Q802">
        <v>332.89201877934272</v>
      </c>
      <c r="R802">
        <f ca="1">YEAR(TODAY())-Table1[[#This Row],[Year Built]]</f>
        <v>24</v>
      </c>
      <c r="S802" t="str">
        <f>IF(Table1[[#This Row],[Days on Market]] &lt; 30,"Fast",IF(Table1[[#This Row],[Days on Market]]&lt;= 90,"Average", "Slow"))</f>
        <v>Average</v>
      </c>
      <c r="T802" t="str">
        <f>IF(Table1[[#This Row],[Price2]]&lt;500000,"Affordable",IF(Table1[[#This Row],[Price2]]&lt;1000000,"Mid range","Luxury"))</f>
        <v>Affordable</v>
      </c>
    </row>
    <row r="803" spans="1:20" x14ac:dyDescent="0.35">
      <c r="A803" s="3">
        <v>496535</v>
      </c>
      <c r="B803" s="2" t="s">
        <v>34</v>
      </c>
      <c r="C803">
        <v>66688</v>
      </c>
      <c r="D803" s="2" t="s">
        <v>18</v>
      </c>
      <c r="E803">
        <v>3</v>
      </c>
      <c r="F803">
        <v>3</v>
      </c>
      <c r="G803" s="4">
        <f>VALUE(SUBSTITUTE(SUBSTITUTE(Table1[[#This Row],[Price]],"$",""),",",""))</f>
        <v>496535</v>
      </c>
      <c r="H803" s="1">
        <f>Table1[[#This Row],[Price2]]/Table1[[#This Row],[Area]]</f>
        <v>138.31058495821728</v>
      </c>
      <c r="I803">
        <v>3590</v>
      </c>
      <c r="J803">
        <v>2013</v>
      </c>
      <c r="K803">
        <v>30</v>
      </c>
      <c r="L803" t="s">
        <v>30</v>
      </c>
      <c r="M803" t="s">
        <v>402</v>
      </c>
      <c r="N803" s="2" t="s">
        <v>3035</v>
      </c>
      <c r="O803" t="s">
        <v>3036</v>
      </c>
      <c r="P803" t="s">
        <v>16</v>
      </c>
      <c r="Q803">
        <v>138.31058495821728</v>
      </c>
      <c r="R803">
        <f ca="1">YEAR(TODAY())-Table1[[#This Row],[Year Built]]</f>
        <v>13</v>
      </c>
      <c r="S803" t="str">
        <f>IF(Table1[[#This Row],[Days on Market]] &lt; 30,"Fast",IF(Table1[[#This Row],[Days on Market]]&lt;= 90,"Average", "Slow"))</f>
        <v>Average</v>
      </c>
      <c r="T803" t="str">
        <f>IF(Table1[[#This Row],[Price2]]&lt;500000,"Affordable",IF(Table1[[#This Row],[Price2]]&lt;1000000,"Mid range","Luxury"))</f>
        <v>Affordable</v>
      </c>
    </row>
    <row r="804" spans="1:20" x14ac:dyDescent="0.35">
      <c r="A804" s="3">
        <v>497042</v>
      </c>
      <c r="B804" s="2" t="s">
        <v>22</v>
      </c>
      <c r="C804">
        <v>95684</v>
      </c>
      <c r="D804" s="2" t="s">
        <v>29</v>
      </c>
      <c r="E804">
        <v>1</v>
      </c>
      <c r="F804">
        <v>1</v>
      </c>
      <c r="G804" s="4">
        <f>VALUE(SUBSTITUTE(SUBSTITUTE(Table1[[#This Row],[Price]],"$",""),",",""))</f>
        <v>497042</v>
      </c>
      <c r="H804" s="1">
        <f>Table1[[#This Row],[Price2]]/Table1[[#This Row],[Area]]</f>
        <v>227.58333333333334</v>
      </c>
      <c r="I804">
        <v>2184</v>
      </c>
      <c r="J804">
        <v>1964</v>
      </c>
      <c r="K804">
        <v>95</v>
      </c>
      <c r="L804" t="s">
        <v>19</v>
      </c>
      <c r="M804" t="s">
        <v>2791</v>
      </c>
      <c r="N804" s="2" t="s">
        <v>3029</v>
      </c>
      <c r="O804" t="s">
        <v>3030</v>
      </c>
      <c r="P804" t="s">
        <v>21</v>
      </c>
      <c r="Q804">
        <v>227.58333333333334</v>
      </c>
      <c r="R804">
        <f ca="1">YEAR(TODAY())-Table1[[#This Row],[Year Built]]</f>
        <v>62</v>
      </c>
      <c r="S804" t="str">
        <f>IF(Table1[[#This Row],[Days on Market]] &lt; 30,"Fast",IF(Table1[[#This Row],[Days on Market]]&lt;= 90,"Average", "Slow"))</f>
        <v>Slow</v>
      </c>
      <c r="T804" t="str">
        <f>IF(Table1[[#This Row],[Price2]]&lt;500000,"Affordable",IF(Table1[[#This Row],[Price2]]&lt;1000000,"Mid range","Luxury"))</f>
        <v>Affordable</v>
      </c>
    </row>
    <row r="805" spans="1:20" x14ac:dyDescent="0.35">
      <c r="A805" s="3">
        <v>497194</v>
      </c>
      <c r="B805" s="2" t="s">
        <v>12</v>
      </c>
      <c r="C805">
        <v>91619</v>
      </c>
      <c r="D805" s="2" t="s">
        <v>29</v>
      </c>
      <c r="E805">
        <v>3</v>
      </c>
      <c r="F805">
        <v>2</v>
      </c>
      <c r="G805" s="4">
        <f>VALUE(SUBSTITUTE(SUBSTITUTE(Table1[[#This Row],[Price]],"$",""),",",""))</f>
        <v>497194</v>
      </c>
      <c r="H805" s="1">
        <f>Table1[[#This Row],[Price2]]/Table1[[#This Row],[Area]]</f>
        <v>351.37385159010603</v>
      </c>
      <c r="I805">
        <v>1415</v>
      </c>
      <c r="J805">
        <v>1997</v>
      </c>
      <c r="K805">
        <v>1</v>
      </c>
      <c r="L805" t="s">
        <v>14</v>
      </c>
      <c r="M805" t="s">
        <v>2786</v>
      </c>
      <c r="N805" s="2" t="s">
        <v>3027</v>
      </c>
      <c r="O805" t="s">
        <v>3028</v>
      </c>
      <c r="P805" t="s">
        <v>26</v>
      </c>
      <c r="Q805">
        <v>351.37385159010603</v>
      </c>
      <c r="R805">
        <f ca="1">YEAR(TODAY())-Table1[[#This Row],[Year Built]]</f>
        <v>29</v>
      </c>
      <c r="S805" t="str">
        <f>IF(Table1[[#This Row],[Days on Market]] &lt; 30,"Fast",IF(Table1[[#This Row],[Days on Market]]&lt;= 90,"Average", "Slow"))</f>
        <v>Fast</v>
      </c>
      <c r="T805" t="str">
        <f>IF(Table1[[#This Row],[Price2]]&lt;500000,"Affordable",IF(Table1[[#This Row],[Price2]]&lt;1000000,"Mid range","Luxury"))</f>
        <v>Affordable</v>
      </c>
    </row>
    <row r="806" spans="1:20" x14ac:dyDescent="0.35">
      <c r="A806" s="3">
        <v>497316</v>
      </c>
      <c r="B806" s="2" t="s">
        <v>34</v>
      </c>
      <c r="C806">
        <v>23237</v>
      </c>
      <c r="D806" s="2" t="s">
        <v>35</v>
      </c>
      <c r="E806">
        <v>1</v>
      </c>
      <c r="F806">
        <v>1</v>
      </c>
      <c r="G806" s="4">
        <f>VALUE(SUBSTITUTE(SUBSTITUTE(Table1[[#This Row],[Price]],"$",""),",",""))</f>
        <v>497316</v>
      </c>
      <c r="H806" s="1">
        <f>Table1[[#This Row],[Price2]]/Table1[[#This Row],[Area]]</f>
        <v>141.64511535175163</v>
      </c>
      <c r="I806">
        <v>3511</v>
      </c>
      <c r="J806">
        <v>2023</v>
      </c>
      <c r="K806">
        <v>21</v>
      </c>
      <c r="L806" t="s">
        <v>52</v>
      </c>
      <c r="M806" t="s">
        <v>1642</v>
      </c>
      <c r="N806" s="2" t="s">
        <v>3029</v>
      </c>
      <c r="O806" t="s">
        <v>3030</v>
      </c>
      <c r="P806" t="s">
        <v>16</v>
      </c>
      <c r="Q806">
        <v>141.64511535175163</v>
      </c>
      <c r="R806">
        <f ca="1">YEAR(TODAY())-Table1[[#This Row],[Year Built]]</f>
        <v>3</v>
      </c>
      <c r="S806" t="str">
        <f>IF(Table1[[#This Row],[Days on Market]] &lt; 30,"Fast",IF(Table1[[#This Row],[Days on Market]]&lt;= 90,"Average", "Slow"))</f>
        <v>Fast</v>
      </c>
      <c r="T806" t="str">
        <f>IF(Table1[[#This Row],[Price2]]&lt;500000,"Affordable",IF(Table1[[#This Row],[Price2]]&lt;1000000,"Mid range","Luxury"))</f>
        <v>Affordable</v>
      </c>
    </row>
    <row r="807" spans="1:20" x14ac:dyDescent="0.35">
      <c r="A807" s="3">
        <v>498606</v>
      </c>
      <c r="B807" s="2" t="s">
        <v>22</v>
      </c>
      <c r="C807">
        <v>33151</v>
      </c>
      <c r="D807" s="2" t="s">
        <v>35</v>
      </c>
      <c r="E807">
        <v>4</v>
      </c>
      <c r="F807">
        <v>3</v>
      </c>
      <c r="G807" s="4">
        <f>VALUE(SUBSTITUTE(SUBSTITUTE(Table1[[#This Row],[Price]],"$",""),",",""))</f>
        <v>498606</v>
      </c>
      <c r="H807" s="1">
        <f>Table1[[#This Row],[Price2]]/Table1[[#This Row],[Area]]</f>
        <v>346.97703549060543</v>
      </c>
      <c r="I807">
        <v>1437</v>
      </c>
      <c r="J807">
        <v>1955</v>
      </c>
      <c r="K807">
        <v>55</v>
      </c>
      <c r="L807" t="s">
        <v>14</v>
      </c>
      <c r="M807" t="s">
        <v>972</v>
      </c>
      <c r="N807" s="2" t="s">
        <v>3031</v>
      </c>
      <c r="O807" t="s">
        <v>3032</v>
      </c>
      <c r="P807" t="s">
        <v>21</v>
      </c>
      <c r="Q807">
        <v>346.97703549060543</v>
      </c>
      <c r="R807">
        <f ca="1">YEAR(TODAY())-Table1[[#This Row],[Year Built]]</f>
        <v>71</v>
      </c>
      <c r="S807" t="str">
        <f>IF(Table1[[#This Row],[Days on Market]] &lt; 30,"Fast",IF(Table1[[#This Row],[Days on Market]]&lt;= 90,"Average", "Slow"))</f>
        <v>Average</v>
      </c>
      <c r="T807" t="str">
        <f>IF(Table1[[#This Row],[Price2]]&lt;500000,"Affordable",IF(Table1[[#This Row],[Price2]]&lt;1000000,"Mid range","Luxury"))</f>
        <v>Affordable</v>
      </c>
    </row>
    <row r="808" spans="1:20" x14ac:dyDescent="0.35">
      <c r="A808" s="3">
        <v>499090</v>
      </c>
      <c r="B808" s="2" t="s">
        <v>22</v>
      </c>
      <c r="C808">
        <v>14685</v>
      </c>
      <c r="D808" s="2" t="s">
        <v>29</v>
      </c>
      <c r="E808">
        <v>6</v>
      </c>
      <c r="F808">
        <v>3</v>
      </c>
      <c r="G808" s="4">
        <f>VALUE(SUBSTITUTE(SUBSTITUTE(Table1[[#This Row],[Price]],"$",""),",",""))</f>
        <v>499090</v>
      </c>
      <c r="H808" s="1">
        <f>Table1[[#This Row],[Price2]]/Table1[[#This Row],[Area]]</f>
        <v>138.09905921416714</v>
      </c>
      <c r="I808">
        <v>3614</v>
      </c>
      <c r="J808">
        <v>1996</v>
      </c>
      <c r="K808">
        <v>51</v>
      </c>
      <c r="L808" t="s">
        <v>52</v>
      </c>
      <c r="M808" t="s">
        <v>573</v>
      </c>
      <c r="N808" s="2" t="s">
        <v>3033</v>
      </c>
      <c r="O808" t="s">
        <v>3034</v>
      </c>
      <c r="P808" t="s">
        <v>16</v>
      </c>
      <c r="Q808">
        <v>138.09905921416714</v>
      </c>
      <c r="R808">
        <f ca="1">YEAR(TODAY())-Table1[[#This Row],[Year Built]]</f>
        <v>30</v>
      </c>
      <c r="S808" t="str">
        <f>IF(Table1[[#This Row],[Days on Market]] &lt; 30,"Fast",IF(Table1[[#This Row],[Days on Market]]&lt;= 90,"Average", "Slow"))</f>
        <v>Average</v>
      </c>
      <c r="T808" t="str">
        <f>IF(Table1[[#This Row],[Price2]]&lt;500000,"Affordable",IF(Table1[[#This Row],[Price2]]&lt;1000000,"Mid range","Luxury"))</f>
        <v>Affordable</v>
      </c>
    </row>
    <row r="809" spans="1:20" x14ac:dyDescent="0.35">
      <c r="A809" s="3">
        <v>499747</v>
      </c>
      <c r="B809" s="2" t="s">
        <v>12</v>
      </c>
      <c r="C809">
        <v>54416</v>
      </c>
      <c r="D809" s="2" t="s">
        <v>29</v>
      </c>
      <c r="E809">
        <v>2</v>
      </c>
      <c r="F809">
        <v>1</v>
      </c>
      <c r="G809" s="4">
        <f>VALUE(SUBSTITUTE(SUBSTITUTE(Table1[[#This Row],[Price]],"$",""),",",""))</f>
        <v>499747</v>
      </c>
      <c r="H809" s="1">
        <f>Table1[[#This Row],[Price2]]/Table1[[#This Row],[Area]]</f>
        <v>252.65267947421637</v>
      </c>
      <c r="I809">
        <v>1978</v>
      </c>
      <c r="J809">
        <v>2015</v>
      </c>
      <c r="K809">
        <v>48</v>
      </c>
      <c r="L809" t="s">
        <v>14</v>
      </c>
      <c r="M809" t="s">
        <v>438</v>
      </c>
      <c r="N809" s="2" t="s">
        <v>3027</v>
      </c>
      <c r="O809" t="s">
        <v>3028</v>
      </c>
      <c r="P809" t="s">
        <v>21</v>
      </c>
      <c r="Q809">
        <v>252.65267947421637</v>
      </c>
      <c r="R809">
        <f ca="1">YEAR(TODAY())-Table1[[#This Row],[Year Built]]</f>
        <v>11</v>
      </c>
      <c r="S809" t="str">
        <f>IF(Table1[[#This Row],[Days on Market]] &lt; 30,"Fast",IF(Table1[[#This Row],[Days on Market]]&lt;= 90,"Average", "Slow"))</f>
        <v>Average</v>
      </c>
      <c r="T809" t="str">
        <f>IF(Table1[[#This Row],[Price2]]&lt;500000,"Affordable",IF(Table1[[#This Row],[Price2]]&lt;1000000,"Mid range","Luxury"))</f>
        <v>Affordable</v>
      </c>
    </row>
    <row r="810" spans="1:20" x14ac:dyDescent="0.35">
      <c r="A810" s="3">
        <v>499972</v>
      </c>
      <c r="B810" s="2" t="s">
        <v>34</v>
      </c>
      <c r="C810">
        <v>83852</v>
      </c>
      <c r="D810" s="2" t="s">
        <v>29</v>
      </c>
      <c r="E810">
        <v>3</v>
      </c>
      <c r="F810">
        <v>3</v>
      </c>
      <c r="G810" s="4">
        <f>VALUE(SUBSTITUTE(SUBSTITUTE(Table1[[#This Row],[Price]],"$",""),",",""))</f>
        <v>499972</v>
      </c>
      <c r="H810" s="1">
        <f>Table1[[#This Row],[Price2]]/Table1[[#This Row],[Area]]</f>
        <v>139.42331288343559</v>
      </c>
      <c r="I810">
        <v>3586</v>
      </c>
      <c r="J810">
        <v>1965</v>
      </c>
      <c r="K810">
        <v>89</v>
      </c>
      <c r="L810" t="s">
        <v>30</v>
      </c>
      <c r="M810" t="s">
        <v>1366</v>
      </c>
      <c r="N810" s="2" t="s">
        <v>3029</v>
      </c>
      <c r="O810" t="s">
        <v>3030</v>
      </c>
      <c r="P810" t="s">
        <v>26</v>
      </c>
      <c r="Q810">
        <v>139.42331288343559</v>
      </c>
      <c r="R810">
        <f ca="1">YEAR(TODAY())-Table1[[#This Row],[Year Built]]</f>
        <v>61</v>
      </c>
      <c r="S810" t="str">
        <f>IF(Table1[[#This Row],[Days on Market]] &lt; 30,"Fast",IF(Table1[[#This Row],[Days on Market]]&lt;= 90,"Average", "Slow"))</f>
        <v>Average</v>
      </c>
      <c r="T810" t="str">
        <f>IF(Table1[[#This Row],[Price2]]&lt;500000,"Affordable",IF(Table1[[#This Row],[Price2]]&lt;1000000,"Mid range","Luxury"))</f>
        <v>Affordable</v>
      </c>
    </row>
    <row r="811" spans="1:20" x14ac:dyDescent="0.35">
      <c r="A811" s="3">
        <v>500037</v>
      </c>
      <c r="B811" s="2" t="s">
        <v>17</v>
      </c>
      <c r="C811">
        <v>95888</v>
      </c>
      <c r="D811" s="2" t="s">
        <v>13</v>
      </c>
      <c r="E811">
        <v>1</v>
      </c>
      <c r="F811">
        <v>2</v>
      </c>
      <c r="G811" s="4">
        <f>VALUE(SUBSTITUTE(SUBSTITUTE(Table1[[#This Row],[Price]],"$",""),",",""))</f>
        <v>500037</v>
      </c>
      <c r="H811" s="1">
        <f>Table1[[#This Row],[Price2]]/Table1[[#This Row],[Area]]</f>
        <v>466.4524253731343</v>
      </c>
      <c r="I811">
        <v>1072</v>
      </c>
      <c r="J811">
        <v>1979</v>
      </c>
      <c r="K811">
        <v>14</v>
      </c>
      <c r="L811" t="s">
        <v>14</v>
      </c>
      <c r="M811" t="s">
        <v>754</v>
      </c>
      <c r="N811" s="2" t="s">
        <v>3035</v>
      </c>
      <c r="O811" t="s">
        <v>3036</v>
      </c>
      <c r="P811" t="s">
        <v>26</v>
      </c>
      <c r="Q811">
        <v>466.4524253731343</v>
      </c>
      <c r="R811">
        <f ca="1">YEAR(TODAY())-Table1[[#This Row],[Year Built]]</f>
        <v>47</v>
      </c>
      <c r="S811" t="str">
        <f>IF(Table1[[#This Row],[Days on Market]] &lt; 30,"Fast",IF(Table1[[#This Row],[Days on Market]]&lt;= 90,"Average", "Slow"))</f>
        <v>Fast</v>
      </c>
      <c r="T811" t="str">
        <f>IF(Table1[[#This Row],[Price2]]&lt;500000,"Affordable",IF(Table1[[#This Row],[Price2]]&lt;1000000,"Mid range","Luxury"))</f>
        <v>Mid range</v>
      </c>
    </row>
    <row r="812" spans="1:20" x14ac:dyDescent="0.35">
      <c r="A812" s="3">
        <v>500477</v>
      </c>
      <c r="B812" s="2" t="s">
        <v>34</v>
      </c>
      <c r="C812">
        <v>53861</v>
      </c>
      <c r="D812" s="2" t="s">
        <v>35</v>
      </c>
      <c r="E812">
        <v>2</v>
      </c>
      <c r="F812">
        <v>2</v>
      </c>
      <c r="G812" s="4">
        <f>VALUE(SUBSTITUTE(SUBSTITUTE(Table1[[#This Row],[Price]],"$",""),",",""))</f>
        <v>500477</v>
      </c>
      <c r="H812" s="1">
        <f>Table1[[#This Row],[Price2]]/Table1[[#This Row],[Area]]</f>
        <v>179.12562634216178</v>
      </c>
      <c r="I812">
        <v>2794</v>
      </c>
      <c r="J812">
        <v>2015</v>
      </c>
      <c r="K812">
        <v>101</v>
      </c>
      <c r="L812" t="s">
        <v>30</v>
      </c>
      <c r="M812" t="s">
        <v>2764</v>
      </c>
      <c r="N812" s="2" t="s">
        <v>3033</v>
      </c>
      <c r="O812" t="s">
        <v>3034</v>
      </c>
      <c r="P812" t="s">
        <v>26</v>
      </c>
      <c r="Q812">
        <v>179.12562634216178</v>
      </c>
      <c r="R812">
        <f ca="1">YEAR(TODAY())-Table1[[#This Row],[Year Built]]</f>
        <v>11</v>
      </c>
      <c r="S812" t="str">
        <f>IF(Table1[[#This Row],[Days on Market]] &lt; 30,"Fast",IF(Table1[[#This Row],[Days on Market]]&lt;= 90,"Average", "Slow"))</f>
        <v>Slow</v>
      </c>
      <c r="T812" t="str">
        <f>IF(Table1[[#This Row],[Price2]]&lt;500000,"Affordable",IF(Table1[[#This Row],[Price2]]&lt;1000000,"Mid range","Luxury"))</f>
        <v>Mid range</v>
      </c>
    </row>
    <row r="813" spans="1:20" x14ac:dyDescent="0.35">
      <c r="A813" s="3">
        <v>500875</v>
      </c>
      <c r="B813" s="2" t="s">
        <v>17</v>
      </c>
      <c r="C813">
        <v>39103</v>
      </c>
      <c r="D813" s="2" t="s">
        <v>18</v>
      </c>
      <c r="E813">
        <v>6</v>
      </c>
      <c r="F813">
        <v>1</v>
      </c>
      <c r="G813" s="4">
        <f>VALUE(SUBSTITUTE(SUBSTITUTE(Table1[[#This Row],[Price]],"$",""),",",""))</f>
        <v>500875</v>
      </c>
      <c r="H813" s="1">
        <f>Table1[[#This Row],[Price2]]/Table1[[#This Row],[Area]]</f>
        <v>332.3656270736563</v>
      </c>
      <c r="I813">
        <v>1507</v>
      </c>
      <c r="J813">
        <v>1975</v>
      </c>
      <c r="K813">
        <v>2</v>
      </c>
      <c r="L813" t="s">
        <v>40</v>
      </c>
      <c r="M813" t="s">
        <v>1614</v>
      </c>
      <c r="N813" s="2" t="s">
        <v>3029</v>
      </c>
      <c r="O813" t="s">
        <v>3030</v>
      </c>
      <c r="P813" t="s">
        <v>16</v>
      </c>
      <c r="Q813">
        <v>332.3656270736563</v>
      </c>
      <c r="R813">
        <f ca="1">YEAR(TODAY())-Table1[[#This Row],[Year Built]]</f>
        <v>51</v>
      </c>
      <c r="S813" t="str">
        <f>IF(Table1[[#This Row],[Days on Market]] &lt; 30,"Fast",IF(Table1[[#This Row],[Days on Market]]&lt;= 90,"Average", "Slow"))</f>
        <v>Fast</v>
      </c>
      <c r="T813" t="str">
        <f>IF(Table1[[#This Row],[Price2]]&lt;500000,"Affordable",IF(Table1[[#This Row],[Price2]]&lt;1000000,"Mid range","Luxury"))</f>
        <v>Mid range</v>
      </c>
    </row>
    <row r="814" spans="1:20" x14ac:dyDescent="0.35">
      <c r="A814" s="3">
        <v>501201</v>
      </c>
      <c r="B814" s="2" t="s">
        <v>27</v>
      </c>
      <c r="C814">
        <v>45081</v>
      </c>
      <c r="D814" s="2" t="s">
        <v>29</v>
      </c>
      <c r="E814">
        <v>1</v>
      </c>
      <c r="F814">
        <v>3</v>
      </c>
      <c r="G814" s="4">
        <f>VALUE(SUBSTITUTE(SUBSTITUTE(Table1[[#This Row],[Price]],"$",""),",",""))</f>
        <v>501201</v>
      </c>
      <c r="H814" s="1">
        <f>Table1[[#This Row],[Price2]]/Table1[[#This Row],[Area]]</f>
        <v>165.08596837944663</v>
      </c>
      <c r="I814">
        <v>3036</v>
      </c>
      <c r="J814">
        <v>1967</v>
      </c>
      <c r="K814">
        <v>78</v>
      </c>
      <c r="L814" t="s">
        <v>52</v>
      </c>
      <c r="M814" t="s">
        <v>2033</v>
      </c>
      <c r="N814" s="2" t="s">
        <v>3029</v>
      </c>
      <c r="O814" t="s">
        <v>3030</v>
      </c>
      <c r="P814" t="s">
        <v>16</v>
      </c>
      <c r="Q814">
        <v>165.08596837944663</v>
      </c>
      <c r="R814">
        <f ca="1">YEAR(TODAY())-Table1[[#This Row],[Year Built]]</f>
        <v>59</v>
      </c>
      <c r="S814" t="str">
        <f>IF(Table1[[#This Row],[Days on Market]] &lt; 30,"Fast",IF(Table1[[#This Row],[Days on Market]]&lt;= 90,"Average", "Slow"))</f>
        <v>Average</v>
      </c>
      <c r="T814" t="str">
        <f>IF(Table1[[#This Row],[Price2]]&lt;500000,"Affordable",IF(Table1[[#This Row],[Price2]]&lt;1000000,"Mid range","Luxury"))</f>
        <v>Mid range</v>
      </c>
    </row>
    <row r="815" spans="1:20" x14ac:dyDescent="0.35">
      <c r="A815" s="3">
        <v>501380</v>
      </c>
      <c r="B815" s="2" t="s">
        <v>34</v>
      </c>
      <c r="C815">
        <v>94550</v>
      </c>
      <c r="D815" s="2" t="s">
        <v>23</v>
      </c>
      <c r="E815">
        <v>1</v>
      </c>
      <c r="F815">
        <v>4</v>
      </c>
      <c r="G815" s="4">
        <f>VALUE(SUBSTITUTE(SUBSTITUTE(Table1[[#This Row],[Price]],"$",""),",",""))</f>
        <v>501380</v>
      </c>
      <c r="H815" s="1">
        <f>Table1[[#This Row],[Price2]]/Table1[[#This Row],[Area]]</f>
        <v>307.59509202453989</v>
      </c>
      <c r="I815">
        <v>1630</v>
      </c>
      <c r="J815">
        <v>2023</v>
      </c>
      <c r="K815">
        <v>89</v>
      </c>
      <c r="L815" t="s">
        <v>52</v>
      </c>
      <c r="M815" t="s">
        <v>2468</v>
      </c>
      <c r="N815" s="2" t="s">
        <v>3031</v>
      </c>
      <c r="O815" t="s">
        <v>3032</v>
      </c>
      <c r="P815" t="s">
        <v>21</v>
      </c>
      <c r="Q815">
        <v>307.59509202453989</v>
      </c>
      <c r="R815">
        <f ca="1">YEAR(TODAY())-Table1[[#This Row],[Year Built]]</f>
        <v>3</v>
      </c>
      <c r="S815" t="str">
        <f>IF(Table1[[#This Row],[Days on Market]] &lt; 30,"Fast",IF(Table1[[#This Row],[Days on Market]]&lt;= 90,"Average", "Slow"))</f>
        <v>Average</v>
      </c>
      <c r="T815" t="str">
        <f>IF(Table1[[#This Row],[Price2]]&lt;500000,"Affordable",IF(Table1[[#This Row],[Price2]]&lt;1000000,"Mid range","Luxury"))</f>
        <v>Mid range</v>
      </c>
    </row>
    <row r="816" spans="1:20" x14ac:dyDescent="0.35">
      <c r="A816" s="3">
        <v>501890</v>
      </c>
      <c r="B816" s="2" t="s">
        <v>22</v>
      </c>
      <c r="C816">
        <v>47203</v>
      </c>
      <c r="D816" s="2" t="s">
        <v>13</v>
      </c>
      <c r="E816">
        <v>3</v>
      </c>
      <c r="F816">
        <v>1</v>
      </c>
      <c r="G816" s="4">
        <f>VALUE(SUBSTITUTE(SUBSTITUTE(Table1[[#This Row],[Price]],"$",""),",",""))</f>
        <v>501890</v>
      </c>
      <c r="H816" s="1">
        <f>Table1[[#This Row],[Price2]]/Table1[[#This Row],[Area]]</f>
        <v>413.4184514003295</v>
      </c>
      <c r="I816">
        <v>1214</v>
      </c>
      <c r="J816">
        <v>2018</v>
      </c>
      <c r="K816">
        <v>18</v>
      </c>
      <c r="L816" t="s">
        <v>40</v>
      </c>
      <c r="M816" t="s">
        <v>1280</v>
      </c>
      <c r="N816" s="2" t="s">
        <v>3029</v>
      </c>
      <c r="O816" t="s">
        <v>3030</v>
      </c>
      <c r="P816" t="s">
        <v>16</v>
      </c>
      <c r="Q816">
        <v>413.4184514003295</v>
      </c>
      <c r="R816">
        <f ca="1">YEAR(TODAY())-Table1[[#This Row],[Year Built]]</f>
        <v>8</v>
      </c>
      <c r="S816" t="str">
        <f>IF(Table1[[#This Row],[Days on Market]] &lt; 30,"Fast",IF(Table1[[#This Row],[Days on Market]]&lt;= 90,"Average", "Slow"))</f>
        <v>Fast</v>
      </c>
      <c r="T816" t="str">
        <f>IF(Table1[[#This Row],[Price2]]&lt;500000,"Affordable",IF(Table1[[#This Row],[Price2]]&lt;1000000,"Mid range","Luxury"))</f>
        <v>Mid range</v>
      </c>
    </row>
    <row r="817" spans="1:20" x14ac:dyDescent="0.35">
      <c r="A817" s="3">
        <v>502165</v>
      </c>
      <c r="B817" s="2" t="s">
        <v>22</v>
      </c>
      <c r="C817">
        <v>41797</v>
      </c>
      <c r="D817" s="2" t="s">
        <v>13</v>
      </c>
      <c r="E817">
        <v>3</v>
      </c>
      <c r="F817">
        <v>2</v>
      </c>
      <c r="G817" s="4">
        <f>VALUE(SUBSTITUTE(SUBSTITUTE(Table1[[#This Row],[Price]],"$",""),",",""))</f>
        <v>502165</v>
      </c>
      <c r="H817" s="1">
        <f>Table1[[#This Row],[Price2]]/Table1[[#This Row],[Area]]</f>
        <v>231.51913324112493</v>
      </c>
      <c r="I817">
        <v>2169</v>
      </c>
      <c r="J817">
        <v>1957</v>
      </c>
      <c r="K817">
        <v>36</v>
      </c>
      <c r="L817" t="s">
        <v>30</v>
      </c>
      <c r="M817" t="s">
        <v>2150</v>
      </c>
      <c r="N817" s="2" t="s">
        <v>3029</v>
      </c>
      <c r="O817" t="s">
        <v>3030</v>
      </c>
      <c r="P817" t="s">
        <v>21</v>
      </c>
      <c r="Q817">
        <v>231.51913324112493</v>
      </c>
      <c r="R817">
        <f ca="1">YEAR(TODAY())-Table1[[#This Row],[Year Built]]</f>
        <v>69</v>
      </c>
      <c r="S817" t="str">
        <f>IF(Table1[[#This Row],[Days on Market]] &lt; 30,"Fast",IF(Table1[[#This Row],[Days on Market]]&lt;= 90,"Average", "Slow"))</f>
        <v>Average</v>
      </c>
      <c r="T817" t="str">
        <f>IF(Table1[[#This Row],[Price2]]&lt;500000,"Affordable",IF(Table1[[#This Row],[Price2]]&lt;1000000,"Mid range","Luxury"))</f>
        <v>Mid range</v>
      </c>
    </row>
    <row r="818" spans="1:20" x14ac:dyDescent="0.35">
      <c r="A818" s="3">
        <v>502220</v>
      </c>
      <c r="B818" s="2" t="s">
        <v>22</v>
      </c>
      <c r="C818">
        <v>52654</v>
      </c>
      <c r="D818" s="2" t="s">
        <v>18</v>
      </c>
      <c r="E818">
        <v>2</v>
      </c>
      <c r="F818">
        <v>4</v>
      </c>
      <c r="G818" s="4">
        <f>VALUE(SUBSTITUTE(SUBSTITUTE(Table1[[#This Row],[Price]],"$",""),",",""))</f>
        <v>502220</v>
      </c>
      <c r="H818" s="1">
        <f>Table1[[#This Row],[Price2]]/Table1[[#This Row],[Area]]</f>
        <v>129.53830281145216</v>
      </c>
      <c r="I818">
        <v>3877</v>
      </c>
      <c r="J818">
        <v>2014</v>
      </c>
      <c r="K818">
        <v>84</v>
      </c>
      <c r="L818" t="s">
        <v>40</v>
      </c>
      <c r="M818" t="s">
        <v>2248</v>
      </c>
      <c r="N818" s="2" t="s">
        <v>3027</v>
      </c>
      <c r="O818" t="s">
        <v>3028</v>
      </c>
      <c r="P818" t="s">
        <v>21</v>
      </c>
      <c r="Q818">
        <v>129.53830281145216</v>
      </c>
      <c r="R818">
        <f ca="1">YEAR(TODAY())-Table1[[#This Row],[Year Built]]</f>
        <v>12</v>
      </c>
      <c r="S818" t="str">
        <f>IF(Table1[[#This Row],[Days on Market]] &lt; 30,"Fast",IF(Table1[[#This Row],[Days on Market]]&lt;= 90,"Average", "Slow"))</f>
        <v>Average</v>
      </c>
      <c r="T818" t="str">
        <f>IF(Table1[[#This Row],[Price2]]&lt;500000,"Affordable",IF(Table1[[#This Row],[Price2]]&lt;1000000,"Mid range","Luxury"))</f>
        <v>Mid range</v>
      </c>
    </row>
    <row r="819" spans="1:20" x14ac:dyDescent="0.35">
      <c r="A819" s="3">
        <v>503097</v>
      </c>
      <c r="B819" s="2" t="s">
        <v>22</v>
      </c>
      <c r="C819">
        <v>65991</v>
      </c>
      <c r="D819" s="2" t="s">
        <v>29</v>
      </c>
      <c r="E819">
        <v>6</v>
      </c>
      <c r="F819">
        <v>2</v>
      </c>
      <c r="G819" s="4">
        <f>VALUE(SUBSTITUTE(SUBSTITUTE(Table1[[#This Row],[Price]],"$",""),",",""))</f>
        <v>503097</v>
      </c>
      <c r="H819" s="1">
        <f>Table1[[#This Row],[Price2]]/Table1[[#This Row],[Area]]</f>
        <v>180.71012931034483</v>
      </c>
      <c r="I819">
        <v>2784</v>
      </c>
      <c r="J819">
        <v>1975</v>
      </c>
      <c r="K819">
        <v>13</v>
      </c>
      <c r="L819" t="s">
        <v>19</v>
      </c>
      <c r="M819" t="s">
        <v>1181</v>
      </c>
      <c r="N819" s="2" t="s">
        <v>3035</v>
      </c>
      <c r="O819" t="s">
        <v>3036</v>
      </c>
      <c r="P819" t="s">
        <v>16</v>
      </c>
      <c r="Q819">
        <v>180.71012931034483</v>
      </c>
      <c r="R819">
        <f ca="1">YEAR(TODAY())-Table1[[#This Row],[Year Built]]</f>
        <v>51</v>
      </c>
      <c r="S819" t="str">
        <f>IF(Table1[[#This Row],[Days on Market]] &lt; 30,"Fast",IF(Table1[[#This Row],[Days on Market]]&lt;= 90,"Average", "Slow"))</f>
        <v>Fast</v>
      </c>
      <c r="T819" t="str">
        <f>IF(Table1[[#This Row],[Price2]]&lt;500000,"Affordable",IF(Table1[[#This Row],[Price2]]&lt;1000000,"Mid range","Luxury"))</f>
        <v>Mid range</v>
      </c>
    </row>
    <row r="820" spans="1:20" x14ac:dyDescent="0.35">
      <c r="A820" s="3">
        <v>503182</v>
      </c>
      <c r="B820" s="2" t="s">
        <v>22</v>
      </c>
      <c r="C820">
        <v>30347</v>
      </c>
      <c r="D820" s="2" t="s">
        <v>13</v>
      </c>
      <c r="E820">
        <v>3</v>
      </c>
      <c r="F820">
        <v>4</v>
      </c>
      <c r="G820" s="4">
        <f>VALUE(SUBSTITUTE(SUBSTITUTE(Table1[[#This Row],[Price]],"$",""),",",""))</f>
        <v>503182</v>
      </c>
      <c r="H820" s="1">
        <f>Table1[[#This Row],[Price2]]/Table1[[#This Row],[Area]]</f>
        <v>213.03217612193058</v>
      </c>
      <c r="I820">
        <v>2362</v>
      </c>
      <c r="J820">
        <v>1998</v>
      </c>
      <c r="K820">
        <v>38</v>
      </c>
      <c r="L820" t="s">
        <v>30</v>
      </c>
      <c r="M820" t="s">
        <v>606</v>
      </c>
      <c r="N820" s="2" t="s">
        <v>3031</v>
      </c>
      <c r="O820" t="s">
        <v>3032</v>
      </c>
      <c r="P820" t="s">
        <v>21</v>
      </c>
      <c r="Q820">
        <v>213.03217612193058</v>
      </c>
      <c r="R820">
        <f ca="1">YEAR(TODAY())-Table1[[#This Row],[Year Built]]</f>
        <v>28</v>
      </c>
      <c r="S820" t="str">
        <f>IF(Table1[[#This Row],[Days on Market]] &lt; 30,"Fast",IF(Table1[[#This Row],[Days on Market]]&lt;= 90,"Average", "Slow"))</f>
        <v>Average</v>
      </c>
      <c r="T820" t="str">
        <f>IF(Table1[[#This Row],[Price2]]&lt;500000,"Affordable",IF(Table1[[#This Row],[Price2]]&lt;1000000,"Mid range","Luxury"))</f>
        <v>Mid range</v>
      </c>
    </row>
    <row r="821" spans="1:20" x14ac:dyDescent="0.35">
      <c r="A821" s="3">
        <v>503321</v>
      </c>
      <c r="B821" s="2" t="s">
        <v>34</v>
      </c>
      <c r="C821">
        <v>31860</v>
      </c>
      <c r="D821" s="2" t="s">
        <v>13</v>
      </c>
      <c r="E821">
        <v>2</v>
      </c>
      <c r="F821">
        <v>4</v>
      </c>
      <c r="G821" s="4">
        <f>VALUE(SUBSTITUTE(SUBSTITUTE(Table1[[#This Row],[Price]],"$",""),",",""))</f>
        <v>503321</v>
      </c>
      <c r="H821" s="1">
        <f>Table1[[#This Row],[Price2]]/Table1[[#This Row],[Area]]</f>
        <v>149.61979785969083</v>
      </c>
      <c r="I821">
        <v>3364</v>
      </c>
      <c r="J821">
        <v>2017</v>
      </c>
      <c r="K821">
        <v>26</v>
      </c>
      <c r="L821" t="s">
        <v>19</v>
      </c>
      <c r="M821" t="s">
        <v>2521</v>
      </c>
      <c r="N821" s="2" t="s">
        <v>3035</v>
      </c>
      <c r="O821" t="s">
        <v>3036</v>
      </c>
      <c r="P821" t="s">
        <v>16</v>
      </c>
      <c r="Q821">
        <v>149.61979785969083</v>
      </c>
      <c r="R821">
        <f ca="1">YEAR(TODAY())-Table1[[#This Row],[Year Built]]</f>
        <v>9</v>
      </c>
      <c r="S821" t="str">
        <f>IF(Table1[[#This Row],[Days on Market]] &lt; 30,"Fast",IF(Table1[[#This Row],[Days on Market]]&lt;= 90,"Average", "Slow"))</f>
        <v>Fast</v>
      </c>
      <c r="T821" t="str">
        <f>IF(Table1[[#This Row],[Price2]]&lt;500000,"Affordable",IF(Table1[[#This Row],[Price2]]&lt;1000000,"Mid range","Luxury"))</f>
        <v>Mid range</v>
      </c>
    </row>
    <row r="822" spans="1:20" x14ac:dyDescent="0.35">
      <c r="A822" s="3">
        <v>503512</v>
      </c>
      <c r="B822" s="2" t="s">
        <v>34</v>
      </c>
      <c r="C822">
        <v>53010</v>
      </c>
      <c r="D822" s="2" t="s">
        <v>29</v>
      </c>
      <c r="E822">
        <v>1</v>
      </c>
      <c r="F822">
        <v>3</v>
      </c>
      <c r="G822" s="4">
        <f>VALUE(SUBSTITUTE(SUBSTITUTE(Table1[[#This Row],[Price]],"$",""),",",""))</f>
        <v>503512</v>
      </c>
      <c r="H822" s="1">
        <f>Table1[[#This Row],[Price2]]/Table1[[#This Row],[Area]]</f>
        <v>205.93537832310838</v>
      </c>
      <c r="I822">
        <v>2445</v>
      </c>
      <c r="J822">
        <v>1950</v>
      </c>
      <c r="K822">
        <v>4</v>
      </c>
      <c r="L822" t="s">
        <v>19</v>
      </c>
      <c r="M822" t="s">
        <v>1323</v>
      </c>
      <c r="N822" s="2" t="s">
        <v>3035</v>
      </c>
      <c r="O822" t="s">
        <v>3036</v>
      </c>
      <c r="P822" t="s">
        <v>16</v>
      </c>
      <c r="Q822">
        <v>205.93537832310838</v>
      </c>
      <c r="R822">
        <f ca="1">YEAR(TODAY())-Table1[[#This Row],[Year Built]]</f>
        <v>76</v>
      </c>
      <c r="S822" t="str">
        <f>IF(Table1[[#This Row],[Days on Market]] &lt; 30,"Fast",IF(Table1[[#This Row],[Days on Market]]&lt;= 90,"Average", "Slow"))</f>
        <v>Fast</v>
      </c>
      <c r="T822" t="str">
        <f>IF(Table1[[#This Row],[Price2]]&lt;500000,"Affordable",IF(Table1[[#This Row],[Price2]]&lt;1000000,"Mid range","Luxury"))</f>
        <v>Mid range</v>
      </c>
    </row>
    <row r="823" spans="1:20" x14ac:dyDescent="0.35">
      <c r="A823" s="3">
        <v>504384</v>
      </c>
      <c r="B823" s="2" t="s">
        <v>34</v>
      </c>
      <c r="C823">
        <v>21874</v>
      </c>
      <c r="D823" s="2" t="s">
        <v>13</v>
      </c>
      <c r="E823">
        <v>3</v>
      </c>
      <c r="F823">
        <v>2</v>
      </c>
      <c r="G823" s="4">
        <f>VALUE(SUBSTITUTE(SUBSTITUTE(Table1[[#This Row],[Price]],"$",""),",",""))</f>
        <v>504384</v>
      </c>
      <c r="H823" s="1">
        <f>Table1[[#This Row],[Price2]]/Table1[[#This Row],[Area]]</f>
        <v>357.7191489361702</v>
      </c>
      <c r="I823">
        <v>1410</v>
      </c>
      <c r="J823">
        <v>2018</v>
      </c>
      <c r="K823">
        <v>1</v>
      </c>
      <c r="L823" t="s">
        <v>40</v>
      </c>
      <c r="M823" t="s">
        <v>1204</v>
      </c>
      <c r="N823" s="2" t="s">
        <v>3033</v>
      </c>
      <c r="O823" t="s">
        <v>3034</v>
      </c>
      <c r="P823" t="s">
        <v>26</v>
      </c>
      <c r="Q823">
        <v>357.7191489361702</v>
      </c>
      <c r="R823">
        <f ca="1">YEAR(TODAY())-Table1[[#This Row],[Year Built]]</f>
        <v>8</v>
      </c>
      <c r="S823" t="str">
        <f>IF(Table1[[#This Row],[Days on Market]] &lt; 30,"Fast",IF(Table1[[#This Row],[Days on Market]]&lt;= 90,"Average", "Slow"))</f>
        <v>Fast</v>
      </c>
      <c r="T823" t="str">
        <f>IF(Table1[[#This Row],[Price2]]&lt;500000,"Affordable",IF(Table1[[#This Row],[Price2]]&lt;1000000,"Mid range","Luxury"))</f>
        <v>Mid range</v>
      </c>
    </row>
    <row r="824" spans="1:20" x14ac:dyDescent="0.35">
      <c r="A824" s="3">
        <v>506080</v>
      </c>
      <c r="B824" s="2" t="s">
        <v>12</v>
      </c>
      <c r="C824">
        <v>97588</v>
      </c>
      <c r="D824" s="2" t="s">
        <v>29</v>
      </c>
      <c r="E824">
        <v>6</v>
      </c>
      <c r="F824">
        <v>2</v>
      </c>
      <c r="G824" s="4">
        <f>VALUE(SUBSTITUTE(SUBSTITUTE(Table1[[#This Row],[Price]],"$",""),",",""))</f>
        <v>506080</v>
      </c>
      <c r="H824" s="1">
        <f>Table1[[#This Row],[Price2]]/Table1[[#This Row],[Area]]</f>
        <v>286.8934240362812</v>
      </c>
      <c r="I824">
        <v>1764</v>
      </c>
      <c r="J824">
        <v>2001</v>
      </c>
      <c r="K824">
        <v>95</v>
      </c>
      <c r="L824" t="s">
        <v>14</v>
      </c>
      <c r="M824" t="s">
        <v>2945</v>
      </c>
      <c r="N824" s="2" t="s">
        <v>3031</v>
      </c>
      <c r="O824" t="s">
        <v>3032</v>
      </c>
      <c r="P824" t="s">
        <v>26</v>
      </c>
      <c r="Q824">
        <v>286.8934240362812</v>
      </c>
      <c r="R824">
        <f ca="1">YEAR(TODAY())-Table1[[#This Row],[Year Built]]</f>
        <v>25</v>
      </c>
      <c r="S824" t="str">
        <f>IF(Table1[[#This Row],[Days on Market]] &lt; 30,"Fast",IF(Table1[[#This Row],[Days on Market]]&lt;= 90,"Average", "Slow"))</f>
        <v>Slow</v>
      </c>
      <c r="T824" t="str">
        <f>IF(Table1[[#This Row],[Price2]]&lt;500000,"Affordable",IF(Table1[[#This Row],[Price2]]&lt;1000000,"Mid range","Luxury"))</f>
        <v>Mid range</v>
      </c>
    </row>
    <row r="825" spans="1:20" x14ac:dyDescent="0.35">
      <c r="A825" s="3">
        <v>506109</v>
      </c>
      <c r="B825" s="2" t="s">
        <v>17</v>
      </c>
      <c r="C825">
        <v>46866</v>
      </c>
      <c r="D825" s="2" t="s">
        <v>23</v>
      </c>
      <c r="E825">
        <v>4</v>
      </c>
      <c r="F825">
        <v>3</v>
      </c>
      <c r="G825" s="4">
        <f>VALUE(SUBSTITUTE(SUBSTITUTE(Table1[[#This Row],[Price]],"$",""),",",""))</f>
        <v>506109</v>
      </c>
      <c r="H825" s="1">
        <f>Table1[[#This Row],[Price2]]/Table1[[#This Row],[Area]]</f>
        <v>358.94255319148937</v>
      </c>
      <c r="I825">
        <v>1410</v>
      </c>
      <c r="J825">
        <v>1981</v>
      </c>
      <c r="K825">
        <v>88</v>
      </c>
      <c r="L825" t="s">
        <v>14</v>
      </c>
      <c r="M825" t="s">
        <v>1631</v>
      </c>
      <c r="N825" s="2" t="s">
        <v>3027</v>
      </c>
      <c r="O825" t="s">
        <v>3028</v>
      </c>
      <c r="P825" t="s">
        <v>21</v>
      </c>
      <c r="Q825">
        <v>358.94255319148937</v>
      </c>
      <c r="R825">
        <f ca="1">YEAR(TODAY())-Table1[[#This Row],[Year Built]]</f>
        <v>45</v>
      </c>
      <c r="S825" t="str">
        <f>IF(Table1[[#This Row],[Days on Market]] &lt; 30,"Fast",IF(Table1[[#This Row],[Days on Market]]&lt;= 90,"Average", "Slow"))</f>
        <v>Average</v>
      </c>
      <c r="T825" t="str">
        <f>IF(Table1[[#This Row],[Price2]]&lt;500000,"Affordable",IF(Table1[[#This Row],[Price2]]&lt;1000000,"Mid range","Luxury"))</f>
        <v>Mid range</v>
      </c>
    </row>
    <row r="826" spans="1:20" x14ac:dyDescent="0.35">
      <c r="A826" s="3">
        <v>506158</v>
      </c>
      <c r="B826" s="2" t="s">
        <v>17</v>
      </c>
      <c r="C826">
        <v>97228</v>
      </c>
      <c r="D826" s="2" t="s">
        <v>13</v>
      </c>
      <c r="E826">
        <v>5</v>
      </c>
      <c r="F826">
        <v>4</v>
      </c>
      <c r="G826" s="4">
        <f>VALUE(SUBSTITUTE(SUBSTITUTE(Table1[[#This Row],[Price]],"$",""),",",""))</f>
        <v>506158</v>
      </c>
      <c r="H826" s="1">
        <f>Table1[[#This Row],[Price2]]/Table1[[#This Row],[Area]]</f>
        <v>219.49609713790113</v>
      </c>
      <c r="I826">
        <v>2306</v>
      </c>
      <c r="J826">
        <v>1985</v>
      </c>
      <c r="K826">
        <v>8</v>
      </c>
      <c r="L826" t="s">
        <v>30</v>
      </c>
      <c r="M826" t="s">
        <v>196</v>
      </c>
      <c r="N826" s="2" t="s">
        <v>3035</v>
      </c>
      <c r="O826" t="s">
        <v>3036</v>
      </c>
      <c r="P826" t="s">
        <v>21</v>
      </c>
      <c r="Q826">
        <v>219.49609713790113</v>
      </c>
      <c r="R826">
        <f ca="1">YEAR(TODAY())-Table1[[#This Row],[Year Built]]</f>
        <v>41</v>
      </c>
      <c r="S826" t="str">
        <f>IF(Table1[[#This Row],[Days on Market]] &lt; 30,"Fast",IF(Table1[[#This Row],[Days on Market]]&lt;= 90,"Average", "Slow"))</f>
        <v>Fast</v>
      </c>
      <c r="T826" t="str">
        <f>IF(Table1[[#This Row],[Price2]]&lt;500000,"Affordable",IF(Table1[[#This Row],[Price2]]&lt;1000000,"Mid range","Luxury"))</f>
        <v>Mid range</v>
      </c>
    </row>
    <row r="827" spans="1:20" x14ac:dyDescent="0.35">
      <c r="A827" s="3">
        <v>507209</v>
      </c>
      <c r="B827" s="2" t="s">
        <v>34</v>
      </c>
      <c r="C827">
        <v>95350</v>
      </c>
      <c r="D827" s="2" t="s">
        <v>35</v>
      </c>
      <c r="E827">
        <v>4</v>
      </c>
      <c r="F827">
        <v>2</v>
      </c>
      <c r="G827" s="4">
        <f>VALUE(SUBSTITUTE(SUBSTITUTE(Table1[[#This Row],[Price]],"$",""),",",""))</f>
        <v>507209</v>
      </c>
      <c r="H827" s="1">
        <f>Table1[[#This Row],[Price2]]/Table1[[#This Row],[Area]]</f>
        <v>450.45204262877445</v>
      </c>
      <c r="I827">
        <v>1126</v>
      </c>
      <c r="J827">
        <v>1959</v>
      </c>
      <c r="K827">
        <v>97</v>
      </c>
      <c r="L827" t="s">
        <v>14</v>
      </c>
      <c r="M827" t="s">
        <v>2165</v>
      </c>
      <c r="N827" s="2" t="s">
        <v>3029</v>
      </c>
      <c r="O827" t="s">
        <v>3030</v>
      </c>
      <c r="P827" t="s">
        <v>26</v>
      </c>
      <c r="Q827">
        <v>450.45204262877445</v>
      </c>
      <c r="R827">
        <f ca="1">YEAR(TODAY())-Table1[[#This Row],[Year Built]]</f>
        <v>67</v>
      </c>
      <c r="S827" t="str">
        <f>IF(Table1[[#This Row],[Days on Market]] &lt; 30,"Fast",IF(Table1[[#This Row],[Days on Market]]&lt;= 90,"Average", "Slow"))</f>
        <v>Slow</v>
      </c>
      <c r="T827" t="str">
        <f>IF(Table1[[#This Row],[Price2]]&lt;500000,"Affordable",IF(Table1[[#This Row],[Price2]]&lt;1000000,"Mid range","Luxury"))</f>
        <v>Mid range</v>
      </c>
    </row>
    <row r="828" spans="1:20" x14ac:dyDescent="0.35">
      <c r="A828" s="3">
        <v>507793</v>
      </c>
      <c r="B828" s="2" t="s">
        <v>17</v>
      </c>
      <c r="C828">
        <v>29191</v>
      </c>
      <c r="D828" s="2" t="s">
        <v>13</v>
      </c>
      <c r="E828">
        <v>5</v>
      </c>
      <c r="F828">
        <v>4</v>
      </c>
      <c r="G828" s="4">
        <f>VALUE(SUBSTITUTE(SUBSTITUTE(Table1[[#This Row],[Price]],"$",""),",",""))</f>
        <v>507793</v>
      </c>
      <c r="H828" s="1">
        <f>Table1[[#This Row],[Price2]]/Table1[[#This Row],[Area]]</f>
        <v>145.91752873563217</v>
      </c>
      <c r="I828">
        <v>3480</v>
      </c>
      <c r="J828">
        <v>2007</v>
      </c>
      <c r="K828">
        <v>66</v>
      </c>
      <c r="L828" t="s">
        <v>30</v>
      </c>
      <c r="M828" t="s">
        <v>43</v>
      </c>
      <c r="N828" s="2" t="s">
        <v>3029</v>
      </c>
      <c r="O828" t="s">
        <v>3030</v>
      </c>
      <c r="P828" t="s">
        <v>21</v>
      </c>
      <c r="Q828">
        <v>145.91752873563217</v>
      </c>
      <c r="R828">
        <f ca="1">YEAR(TODAY())-Table1[[#This Row],[Year Built]]</f>
        <v>19</v>
      </c>
      <c r="S828" t="str">
        <f>IF(Table1[[#This Row],[Days on Market]] &lt; 30,"Fast",IF(Table1[[#This Row],[Days on Market]]&lt;= 90,"Average", "Slow"))</f>
        <v>Average</v>
      </c>
      <c r="T828" t="str">
        <f>IF(Table1[[#This Row],[Price2]]&lt;500000,"Affordable",IF(Table1[[#This Row],[Price2]]&lt;1000000,"Mid range","Luxury"))</f>
        <v>Mid range</v>
      </c>
    </row>
    <row r="829" spans="1:20" x14ac:dyDescent="0.35">
      <c r="A829" s="3">
        <v>507926</v>
      </c>
      <c r="B829" s="2" t="s">
        <v>22</v>
      </c>
      <c r="C829">
        <v>98562</v>
      </c>
      <c r="D829" s="2" t="s">
        <v>29</v>
      </c>
      <c r="E829">
        <v>5</v>
      </c>
      <c r="F829">
        <v>3</v>
      </c>
      <c r="G829" s="4">
        <f>VALUE(SUBSTITUTE(SUBSTITUTE(Table1[[#This Row],[Price]],"$",""),",",""))</f>
        <v>507926</v>
      </c>
      <c r="H829" s="1">
        <f>Table1[[#This Row],[Price2]]/Table1[[#This Row],[Area]]</f>
        <v>623.22208588957051</v>
      </c>
      <c r="I829">
        <v>815</v>
      </c>
      <c r="J829">
        <v>2006</v>
      </c>
      <c r="K829">
        <v>50</v>
      </c>
      <c r="L829" t="s">
        <v>40</v>
      </c>
      <c r="M829" t="s">
        <v>2172</v>
      </c>
      <c r="N829" s="2" t="s">
        <v>3035</v>
      </c>
      <c r="O829" t="s">
        <v>3036</v>
      </c>
      <c r="P829" t="s">
        <v>21</v>
      </c>
      <c r="Q829">
        <v>623.22208588957051</v>
      </c>
      <c r="R829">
        <f ca="1">YEAR(TODAY())-Table1[[#This Row],[Year Built]]</f>
        <v>20</v>
      </c>
      <c r="S829" t="str">
        <f>IF(Table1[[#This Row],[Days on Market]] &lt; 30,"Fast",IF(Table1[[#This Row],[Days on Market]]&lt;= 90,"Average", "Slow"))</f>
        <v>Average</v>
      </c>
      <c r="T829" t="str">
        <f>IF(Table1[[#This Row],[Price2]]&lt;500000,"Affordable",IF(Table1[[#This Row],[Price2]]&lt;1000000,"Mid range","Luxury"))</f>
        <v>Mid range</v>
      </c>
    </row>
    <row r="830" spans="1:20" x14ac:dyDescent="0.35">
      <c r="A830" s="3">
        <v>508171</v>
      </c>
      <c r="B830" s="2" t="s">
        <v>34</v>
      </c>
      <c r="C830">
        <v>22352</v>
      </c>
      <c r="D830" s="2" t="s">
        <v>23</v>
      </c>
      <c r="E830">
        <v>1</v>
      </c>
      <c r="F830">
        <v>3</v>
      </c>
      <c r="G830" s="4">
        <f>VALUE(SUBSTITUTE(SUBSTITUTE(Table1[[#This Row],[Price]],"$",""),",",""))</f>
        <v>508171</v>
      </c>
      <c r="H830" s="1">
        <f>Table1[[#This Row],[Price2]]/Table1[[#This Row],[Area]]</f>
        <v>154.83577087141987</v>
      </c>
      <c r="I830">
        <v>3282</v>
      </c>
      <c r="J830">
        <v>1972</v>
      </c>
      <c r="K830">
        <v>95</v>
      </c>
      <c r="L830" t="s">
        <v>40</v>
      </c>
      <c r="M830" t="s">
        <v>1510</v>
      </c>
      <c r="N830" s="2" t="s">
        <v>3029</v>
      </c>
      <c r="O830" t="s">
        <v>3030</v>
      </c>
      <c r="P830" t="s">
        <v>21</v>
      </c>
      <c r="Q830">
        <v>154.83577087141987</v>
      </c>
      <c r="R830">
        <f ca="1">YEAR(TODAY())-Table1[[#This Row],[Year Built]]</f>
        <v>54</v>
      </c>
      <c r="S830" t="str">
        <f>IF(Table1[[#This Row],[Days on Market]] &lt; 30,"Fast",IF(Table1[[#This Row],[Days on Market]]&lt;= 90,"Average", "Slow"))</f>
        <v>Slow</v>
      </c>
      <c r="T830" t="str">
        <f>IF(Table1[[#This Row],[Price2]]&lt;500000,"Affordable",IF(Table1[[#This Row],[Price2]]&lt;1000000,"Mid range","Luxury"))</f>
        <v>Mid range</v>
      </c>
    </row>
    <row r="831" spans="1:20" x14ac:dyDescent="0.35">
      <c r="A831" s="3">
        <v>508759</v>
      </c>
      <c r="B831" s="2" t="s">
        <v>12</v>
      </c>
      <c r="C831">
        <v>47970</v>
      </c>
      <c r="D831" s="2" t="s">
        <v>29</v>
      </c>
      <c r="E831">
        <v>3</v>
      </c>
      <c r="F831">
        <v>2</v>
      </c>
      <c r="G831" s="4">
        <f>VALUE(SUBSTITUTE(SUBSTITUTE(Table1[[#This Row],[Price]],"$",""),",",""))</f>
        <v>508759</v>
      </c>
      <c r="H831" s="1">
        <f>Table1[[#This Row],[Price2]]/Table1[[#This Row],[Area]]</f>
        <v>129.06113647894469</v>
      </c>
      <c r="I831">
        <v>3942</v>
      </c>
      <c r="J831">
        <v>1973</v>
      </c>
      <c r="K831">
        <v>110</v>
      </c>
      <c r="L831" t="s">
        <v>14</v>
      </c>
      <c r="M831" t="s">
        <v>675</v>
      </c>
      <c r="N831" s="2" t="s">
        <v>3035</v>
      </c>
      <c r="O831" t="s">
        <v>3036</v>
      </c>
      <c r="P831" t="s">
        <v>16</v>
      </c>
      <c r="Q831">
        <v>129.06113647894469</v>
      </c>
      <c r="R831">
        <f ca="1">YEAR(TODAY())-Table1[[#This Row],[Year Built]]</f>
        <v>53</v>
      </c>
      <c r="S831" t="str">
        <f>IF(Table1[[#This Row],[Days on Market]] &lt; 30,"Fast",IF(Table1[[#This Row],[Days on Market]]&lt;= 90,"Average", "Slow"))</f>
        <v>Slow</v>
      </c>
      <c r="T831" t="str">
        <f>IF(Table1[[#This Row],[Price2]]&lt;500000,"Affordable",IF(Table1[[#This Row],[Price2]]&lt;1000000,"Mid range","Luxury"))</f>
        <v>Mid range</v>
      </c>
    </row>
    <row r="832" spans="1:20" x14ac:dyDescent="0.35">
      <c r="A832" s="3">
        <v>508789</v>
      </c>
      <c r="B832" s="2" t="s">
        <v>34</v>
      </c>
      <c r="C832">
        <v>78665</v>
      </c>
      <c r="D832" s="2" t="s">
        <v>23</v>
      </c>
      <c r="E832">
        <v>4</v>
      </c>
      <c r="F832">
        <v>2</v>
      </c>
      <c r="G832" s="4">
        <f>VALUE(SUBSTITUTE(SUBSTITUTE(Table1[[#This Row],[Price]],"$",""),",",""))</f>
        <v>508789</v>
      </c>
      <c r="H832" s="1">
        <f>Table1[[#This Row],[Price2]]/Table1[[#This Row],[Area]]</f>
        <v>574.25395033860048</v>
      </c>
      <c r="I832">
        <v>886</v>
      </c>
      <c r="J832">
        <v>1974</v>
      </c>
      <c r="K832">
        <v>78</v>
      </c>
      <c r="L832" t="s">
        <v>19</v>
      </c>
      <c r="M832" t="s">
        <v>1640</v>
      </c>
      <c r="N832" s="2" t="s">
        <v>3035</v>
      </c>
      <c r="O832" t="s">
        <v>3036</v>
      </c>
      <c r="P832" t="s">
        <v>26</v>
      </c>
      <c r="Q832">
        <v>574.25395033860048</v>
      </c>
      <c r="R832">
        <f ca="1">YEAR(TODAY())-Table1[[#This Row],[Year Built]]</f>
        <v>52</v>
      </c>
      <c r="S832" t="str">
        <f>IF(Table1[[#This Row],[Days on Market]] &lt; 30,"Fast",IF(Table1[[#This Row],[Days on Market]]&lt;= 90,"Average", "Slow"))</f>
        <v>Average</v>
      </c>
      <c r="T832" t="str">
        <f>IF(Table1[[#This Row],[Price2]]&lt;500000,"Affordable",IF(Table1[[#This Row],[Price2]]&lt;1000000,"Mid range","Luxury"))</f>
        <v>Mid range</v>
      </c>
    </row>
    <row r="833" spans="1:20" x14ac:dyDescent="0.35">
      <c r="A833" s="3">
        <v>509205</v>
      </c>
      <c r="B833" s="2" t="s">
        <v>17</v>
      </c>
      <c r="C833">
        <v>94640</v>
      </c>
      <c r="D833" s="2" t="s">
        <v>23</v>
      </c>
      <c r="E833">
        <v>4</v>
      </c>
      <c r="F833">
        <v>2</v>
      </c>
      <c r="G833" s="4">
        <f>VALUE(SUBSTITUTE(SUBSTITUTE(Table1[[#This Row],[Price]],"$",""),",",""))</f>
        <v>509205</v>
      </c>
      <c r="H833" s="1">
        <f>Table1[[#This Row],[Price2]]/Table1[[#This Row],[Area]]</f>
        <v>570.85762331838566</v>
      </c>
      <c r="I833">
        <v>892</v>
      </c>
      <c r="J833">
        <v>1966</v>
      </c>
      <c r="K833">
        <v>68</v>
      </c>
      <c r="L833" t="s">
        <v>19</v>
      </c>
      <c r="M833" t="s">
        <v>1682</v>
      </c>
      <c r="N833" s="2" t="s">
        <v>3029</v>
      </c>
      <c r="O833" t="s">
        <v>3030</v>
      </c>
      <c r="P833" t="s">
        <v>26</v>
      </c>
      <c r="Q833">
        <v>570.85762331838566</v>
      </c>
      <c r="R833">
        <f ca="1">YEAR(TODAY())-Table1[[#This Row],[Year Built]]</f>
        <v>60</v>
      </c>
      <c r="S833" t="str">
        <f>IF(Table1[[#This Row],[Days on Market]] &lt; 30,"Fast",IF(Table1[[#This Row],[Days on Market]]&lt;= 90,"Average", "Slow"))</f>
        <v>Average</v>
      </c>
      <c r="T833" t="str">
        <f>IF(Table1[[#This Row],[Price2]]&lt;500000,"Affordable",IF(Table1[[#This Row],[Price2]]&lt;1000000,"Mid range","Luxury"))</f>
        <v>Mid range</v>
      </c>
    </row>
    <row r="834" spans="1:20" x14ac:dyDescent="0.35">
      <c r="A834" s="3">
        <v>509660</v>
      </c>
      <c r="B834" s="2" t="s">
        <v>17</v>
      </c>
      <c r="C834">
        <v>65915</v>
      </c>
      <c r="D834" s="2" t="s">
        <v>35</v>
      </c>
      <c r="E834">
        <v>5</v>
      </c>
      <c r="F834">
        <v>2</v>
      </c>
      <c r="G834" s="4">
        <f>VALUE(SUBSTITUTE(SUBSTITUTE(Table1[[#This Row],[Price]],"$",""),",",""))</f>
        <v>509660</v>
      </c>
      <c r="H834" s="1">
        <f>Table1[[#This Row],[Price2]]/Table1[[#This Row],[Area]]</f>
        <v>306.47023451593503</v>
      </c>
      <c r="I834">
        <v>1663</v>
      </c>
      <c r="J834">
        <v>2009</v>
      </c>
      <c r="K834">
        <v>94</v>
      </c>
      <c r="L834" t="s">
        <v>40</v>
      </c>
      <c r="M834" t="s">
        <v>2449</v>
      </c>
      <c r="N834" s="2" t="s">
        <v>3033</v>
      </c>
      <c r="O834" t="s">
        <v>3034</v>
      </c>
      <c r="P834" t="s">
        <v>16</v>
      </c>
      <c r="Q834">
        <v>306.47023451593503</v>
      </c>
      <c r="R834">
        <f ca="1">YEAR(TODAY())-Table1[[#This Row],[Year Built]]</f>
        <v>17</v>
      </c>
      <c r="S834" t="str">
        <f>IF(Table1[[#This Row],[Days on Market]] &lt; 30,"Fast",IF(Table1[[#This Row],[Days on Market]]&lt;= 90,"Average", "Slow"))</f>
        <v>Slow</v>
      </c>
      <c r="T834" t="str">
        <f>IF(Table1[[#This Row],[Price2]]&lt;500000,"Affordable",IF(Table1[[#This Row],[Price2]]&lt;1000000,"Mid range","Luxury"))</f>
        <v>Mid range</v>
      </c>
    </row>
    <row r="835" spans="1:20" x14ac:dyDescent="0.35">
      <c r="A835" s="3">
        <v>510098</v>
      </c>
      <c r="B835" s="2" t="s">
        <v>34</v>
      </c>
      <c r="C835">
        <v>57075</v>
      </c>
      <c r="D835" s="2" t="s">
        <v>35</v>
      </c>
      <c r="E835">
        <v>5</v>
      </c>
      <c r="F835">
        <v>1</v>
      </c>
      <c r="G835" s="4">
        <f>VALUE(SUBSTITUTE(SUBSTITUTE(Table1[[#This Row],[Price]],"$",""),",",""))</f>
        <v>510098</v>
      </c>
      <c r="H835" s="1">
        <f>Table1[[#This Row],[Price2]]/Table1[[#This Row],[Area]]</f>
        <v>186.91755221692927</v>
      </c>
      <c r="I835">
        <v>2729</v>
      </c>
      <c r="J835">
        <v>1977</v>
      </c>
      <c r="K835">
        <v>84</v>
      </c>
      <c r="L835" t="s">
        <v>30</v>
      </c>
      <c r="M835" t="s">
        <v>2972</v>
      </c>
      <c r="N835" s="2" t="s">
        <v>3033</v>
      </c>
      <c r="O835" t="s">
        <v>3034</v>
      </c>
      <c r="P835" t="s">
        <v>21</v>
      </c>
      <c r="Q835">
        <v>186.91755221692927</v>
      </c>
      <c r="R835">
        <f ca="1">YEAR(TODAY())-Table1[[#This Row],[Year Built]]</f>
        <v>49</v>
      </c>
      <c r="S835" t="str">
        <f>IF(Table1[[#This Row],[Days on Market]] &lt; 30,"Fast",IF(Table1[[#This Row],[Days on Market]]&lt;= 90,"Average", "Slow"))</f>
        <v>Average</v>
      </c>
      <c r="T835" t="str">
        <f>IF(Table1[[#This Row],[Price2]]&lt;500000,"Affordable",IF(Table1[[#This Row],[Price2]]&lt;1000000,"Mid range","Luxury"))</f>
        <v>Mid range</v>
      </c>
    </row>
    <row r="836" spans="1:20" x14ac:dyDescent="0.35">
      <c r="A836" s="3">
        <v>510123</v>
      </c>
      <c r="B836" s="2" t="s">
        <v>22</v>
      </c>
      <c r="C836">
        <v>85118</v>
      </c>
      <c r="D836" s="2" t="s">
        <v>35</v>
      </c>
      <c r="E836">
        <v>2</v>
      </c>
      <c r="F836">
        <v>3</v>
      </c>
      <c r="G836" s="4">
        <f>VALUE(SUBSTITUTE(SUBSTITUTE(Table1[[#This Row],[Price]],"$",""),",",""))</f>
        <v>510123</v>
      </c>
      <c r="H836" s="1">
        <f>Table1[[#This Row],[Price2]]/Table1[[#This Row],[Area]]</f>
        <v>250.92129857353663</v>
      </c>
      <c r="I836">
        <v>2033</v>
      </c>
      <c r="J836">
        <v>1987</v>
      </c>
      <c r="K836">
        <v>53</v>
      </c>
      <c r="L836" t="s">
        <v>30</v>
      </c>
      <c r="M836" t="s">
        <v>465</v>
      </c>
      <c r="N836" s="2" t="s">
        <v>3035</v>
      </c>
      <c r="O836" t="s">
        <v>3036</v>
      </c>
      <c r="P836" t="s">
        <v>26</v>
      </c>
      <c r="Q836">
        <v>250.92129857353663</v>
      </c>
      <c r="R836">
        <f ca="1">YEAR(TODAY())-Table1[[#This Row],[Year Built]]</f>
        <v>39</v>
      </c>
      <c r="S836" t="str">
        <f>IF(Table1[[#This Row],[Days on Market]] &lt; 30,"Fast",IF(Table1[[#This Row],[Days on Market]]&lt;= 90,"Average", "Slow"))</f>
        <v>Average</v>
      </c>
      <c r="T836" t="str">
        <f>IF(Table1[[#This Row],[Price2]]&lt;500000,"Affordable",IF(Table1[[#This Row],[Price2]]&lt;1000000,"Mid range","Luxury"))</f>
        <v>Mid range</v>
      </c>
    </row>
    <row r="837" spans="1:20" x14ac:dyDescent="0.35">
      <c r="A837" s="3">
        <v>510476</v>
      </c>
      <c r="B837" s="2" t="s">
        <v>34</v>
      </c>
      <c r="C837">
        <v>39748</v>
      </c>
      <c r="D837" s="2" t="s">
        <v>23</v>
      </c>
      <c r="E837">
        <v>1</v>
      </c>
      <c r="F837">
        <v>2</v>
      </c>
      <c r="G837" s="4">
        <f>VALUE(SUBSTITUTE(SUBSTITUTE(Table1[[#This Row],[Price]],"$",""),",",""))</f>
        <v>510476</v>
      </c>
      <c r="H837" s="1">
        <f>Table1[[#This Row],[Price2]]/Table1[[#This Row],[Area]]</f>
        <v>253.71570576540756</v>
      </c>
      <c r="I837">
        <v>2012</v>
      </c>
      <c r="J837">
        <v>2022</v>
      </c>
      <c r="K837">
        <v>9</v>
      </c>
      <c r="L837" t="s">
        <v>14</v>
      </c>
      <c r="M837" t="s">
        <v>2687</v>
      </c>
      <c r="N837" s="2" t="s">
        <v>3029</v>
      </c>
      <c r="O837" t="s">
        <v>3030</v>
      </c>
      <c r="P837" t="s">
        <v>26</v>
      </c>
      <c r="Q837">
        <v>253.71570576540756</v>
      </c>
      <c r="R837">
        <f ca="1">YEAR(TODAY())-Table1[[#This Row],[Year Built]]</f>
        <v>4</v>
      </c>
      <c r="S837" t="str">
        <f>IF(Table1[[#This Row],[Days on Market]] &lt; 30,"Fast",IF(Table1[[#This Row],[Days on Market]]&lt;= 90,"Average", "Slow"))</f>
        <v>Fast</v>
      </c>
      <c r="T837" t="str">
        <f>IF(Table1[[#This Row],[Price2]]&lt;500000,"Affordable",IF(Table1[[#This Row],[Price2]]&lt;1000000,"Mid range","Luxury"))</f>
        <v>Mid range</v>
      </c>
    </row>
    <row r="838" spans="1:20" x14ac:dyDescent="0.35">
      <c r="A838" s="3">
        <v>510491</v>
      </c>
      <c r="B838" s="2" t="s">
        <v>22</v>
      </c>
      <c r="C838">
        <v>40146</v>
      </c>
      <c r="D838" s="2" t="s">
        <v>13</v>
      </c>
      <c r="E838">
        <v>4</v>
      </c>
      <c r="F838">
        <v>4</v>
      </c>
      <c r="G838" s="4">
        <f>VALUE(SUBSTITUTE(SUBSTITUTE(Table1[[#This Row],[Price]],"$",""),",",""))</f>
        <v>510491</v>
      </c>
      <c r="H838" s="1">
        <f>Table1[[#This Row],[Price2]]/Table1[[#This Row],[Area]]</f>
        <v>241.36690307328604</v>
      </c>
      <c r="I838">
        <v>2115</v>
      </c>
      <c r="J838">
        <v>1980</v>
      </c>
      <c r="K838">
        <v>7</v>
      </c>
      <c r="L838" t="s">
        <v>40</v>
      </c>
      <c r="M838" t="s">
        <v>1779</v>
      </c>
      <c r="N838" s="2" t="s">
        <v>3027</v>
      </c>
      <c r="O838" t="s">
        <v>3028</v>
      </c>
      <c r="P838" t="s">
        <v>26</v>
      </c>
      <c r="Q838">
        <v>241.36690307328604</v>
      </c>
      <c r="R838">
        <f ca="1">YEAR(TODAY())-Table1[[#This Row],[Year Built]]</f>
        <v>46</v>
      </c>
      <c r="S838" t="str">
        <f>IF(Table1[[#This Row],[Days on Market]] &lt; 30,"Fast",IF(Table1[[#This Row],[Days on Market]]&lt;= 90,"Average", "Slow"))</f>
        <v>Fast</v>
      </c>
      <c r="T838" t="str">
        <f>IF(Table1[[#This Row],[Price2]]&lt;500000,"Affordable",IF(Table1[[#This Row],[Price2]]&lt;1000000,"Mid range","Luxury"))</f>
        <v>Mid range</v>
      </c>
    </row>
    <row r="839" spans="1:20" x14ac:dyDescent="0.35">
      <c r="A839" s="3">
        <v>510550</v>
      </c>
      <c r="B839" s="2" t="s">
        <v>22</v>
      </c>
      <c r="C839">
        <v>51702</v>
      </c>
      <c r="D839" s="2" t="s">
        <v>29</v>
      </c>
      <c r="E839">
        <v>3</v>
      </c>
      <c r="F839">
        <v>2</v>
      </c>
      <c r="G839" s="4">
        <f>VALUE(SUBSTITUTE(SUBSTITUTE(Table1[[#This Row],[Price]],"$",""),",",""))</f>
        <v>510550</v>
      </c>
      <c r="H839" s="1">
        <f>Table1[[#This Row],[Price2]]/Table1[[#This Row],[Area]]</f>
        <v>460.36970243462576</v>
      </c>
      <c r="I839">
        <v>1109</v>
      </c>
      <c r="J839">
        <v>1989</v>
      </c>
      <c r="K839">
        <v>39</v>
      </c>
      <c r="L839" t="s">
        <v>40</v>
      </c>
      <c r="M839" t="s">
        <v>2696</v>
      </c>
      <c r="N839" s="2" t="s">
        <v>3027</v>
      </c>
      <c r="O839" t="s">
        <v>3028</v>
      </c>
      <c r="P839" t="s">
        <v>26</v>
      </c>
      <c r="Q839">
        <v>460.36970243462576</v>
      </c>
      <c r="R839">
        <f ca="1">YEAR(TODAY())-Table1[[#This Row],[Year Built]]</f>
        <v>37</v>
      </c>
      <c r="S839" t="str">
        <f>IF(Table1[[#This Row],[Days on Market]] &lt; 30,"Fast",IF(Table1[[#This Row],[Days on Market]]&lt;= 90,"Average", "Slow"))</f>
        <v>Average</v>
      </c>
      <c r="T839" t="str">
        <f>IF(Table1[[#This Row],[Price2]]&lt;500000,"Affordable",IF(Table1[[#This Row],[Price2]]&lt;1000000,"Mid range","Luxury"))</f>
        <v>Mid range</v>
      </c>
    </row>
    <row r="840" spans="1:20" x14ac:dyDescent="0.35">
      <c r="A840" s="3">
        <v>511660</v>
      </c>
      <c r="B840" s="2" t="s">
        <v>27</v>
      </c>
      <c r="C840">
        <v>78755</v>
      </c>
      <c r="D840" s="2" t="s">
        <v>35</v>
      </c>
      <c r="E840">
        <v>6</v>
      </c>
      <c r="F840">
        <v>4</v>
      </c>
      <c r="G840" s="4">
        <f>VALUE(SUBSTITUTE(SUBSTITUTE(Table1[[#This Row],[Price]],"$",""),",",""))</f>
        <v>511660</v>
      </c>
      <c r="H840" s="1">
        <f>Table1[[#This Row],[Price2]]/Table1[[#This Row],[Area]]</f>
        <v>403.51735015772869</v>
      </c>
      <c r="I840">
        <v>1268</v>
      </c>
      <c r="J840">
        <v>1988</v>
      </c>
      <c r="K840">
        <v>45</v>
      </c>
      <c r="L840" t="s">
        <v>19</v>
      </c>
      <c r="M840" t="s">
        <v>206</v>
      </c>
      <c r="N840" s="2" t="s">
        <v>3033</v>
      </c>
      <c r="O840" t="s">
        <v>3034</v>
      </c>
      <c r="P840" t="s">
        <v>16</v>
      </c>
      <c r="Q840">
        <v>403.51735015772869</v>
      </c>
      <c r="R840">
        <f ca="1">YEAR(TODAY())-Table1[[#This Row],[Year Built]]</f>
        <v>38</v>
      </c>
      <c r="S840" t="str">
        <f>IF(Table1[[#This Row],[Days on Market]] &lt; 30,"Fast",IF(Table1[[#This Row],[Days on Market]]&lt;= 90,"Average", "Slow"))</f>
        <v>Average</v>
      </c>
      <c r="T840" t="str">
        <f>IF(Table1[[#This Row],[Price2]]&lt;500000,"Affordable",IF(Table1[[#This Row],[Price2]]&lt;1000000,"Mid range","Luxury"))</f>
        <v>Mid range</v>
      </c>
    </row>
    <row r="841" spans="1:20" x14ac:dyDescent="0.35">
      <c r="A841" s="3">
        <v>512195</v>
      </c>
      <c r="B841" s="2" t="s">
        <v>12</v>
      </c>
      <c r="C841">
        <v>49959</v>
      </c>
      <c r="D841" s="2" t="s">
        <v>29</v>
      </c>
      <c r="E841">
        <v>2</v>
      </c>
      <c r="F841">
        <v>3</v>
      </c>
      <c r="G841" s="4">
        <f>VALUE(SUBSTITUTE(SUBSTITUTE(Table1[[#This Row],[Price]],"$",""),",",""))</f>
        <v>512195</v>
      </c>
      <c r="H841" s="1">
        <f>Table1[[#This Row],[Price2]]/Table1[[#This Row],[Area]]</f>
        <v>320.32207629768607</v>
      </c>
      <c r="I841">
        <v>1599</v>
      </c>
      <c r="J841">
        <v>1956</v>
      </c>
      <c r="K841">
        <v>43</v>
      </c>
      <c r="L841" t="s">
        <v>52</v>
      </c>
      <c r="M841" t="s">
        <v>1226</v>
      </c>
      <c r="N841" s="2" t="s">
        <v>3033</v>
      </c>
      <c r="O841" t="s">
        <v>3034</v>
      </c>
      <c r="P841" t="s">
        <v>21</v>
      </c>
      <c r="Q841">
        <v>320.32207629768607</v>
      </c>
      <c r="R841">
        <f ca="1">YEAR(TODAY())-Table1[[#This Row],[Year Built]]</f>
        <v>70</v>
      </c>
      <c r="S841" t="str">
        <f>IF(Table1[[#This Row],[Days on Market]] &lt; 30,"Fast",IF(Table1[[#This Row],[Days on Market]]&lt;= 90,"Average", "Slow"))</f>
        <v>Average</v>
      </c>
      <c r="T841" t="str">
        <f>IF(Table1[[#This Row],[Price2]]&lt;500000,"Affordable",IF(Table1[[#This Row],[Price2]]&lt;1000000,"Mid range","Luxury"))</f>
        <v>Mid range</v>
      </c>
    </row>
    <row r="842" spans="1:20" x14ac:dyDescent="0.35">
      <c r="A842" s="3">
        <v>512415</v>
      </c>
      <c r="B842" s="2" t="s">
        <v>27</v>
      </c>
      <c r="C842">
        <v>32122</v>
      </c>
      <c r="D842" s="2" t="s">
        <v>29</v>
      </c>
      <c r="E842">
        <v>5</v>
      </c>
      <c r="F842">
        <v>4</v>
      </c>
      <c r="G842" s="4">
        <f>VALUE(SUBSTITUTE(SUBSTITUTE(Table1[[#This Row],[Price]],"$",""),",",""))</f>
        <v>512415</v>
      </c>
      <c r="H842" s="1">
        <f>Table1[[#This Row],[Price2]]/Table1[[#This Row],[Area]]</f>
        <v>209.66243862520457</v>
      </c>
      <c r="I842">
        <v>2444</v>
      </c>
      <c r="J842">
        <v>1991</v>
      </c>
      <c r="K842">
        <v>112</v>
      </c>
      <c r="L842" t="s">
        <v>19</v>
      </c>
      <c r="M842" t="s">
        <v>1958</v>
      </c>
      <c r="N842" s="2" t="s">
        <v>3027</v>
      </c>
      <c r="O842" t="s">
        <v>3028</v>
      </c>
      <c r="P842" t="s">
        <v>26</v>
      </c>
      <c r="Q842">
        <v>209.66243862520457</v>
      </c>
      <c r="R842">
        <f ca="1">YEAR(TODAY())-Table1[[#This Row],[Year Built]]</f>
        <v>35</v>
      </c>
      <c r="S842" t="str">
        <f>IF(Table1[[#This Row],[Days on Market]] &lt; 30,"Fast",IF(Table1[[#This Row],[Days on Market]]&lt;= 90,"Average", "Slow"))</f>
        <v>Slow</v>
      </c>
      <c r="T842" t="str">
        <f>IF(Table1[[#This Row],[Price2]]&lt;500000,"Affordable",IF(Table1[[#This Row],[Price2]]&lt;1000000,"Mid range","Luxury"))</f>
        <v>Mid range</v>
      </c>
    </row>
    <row r="843" spans="1:20" x14ac:dyDescent="0.35">
      <c r="A843" s="3">
        <v>512474</v>
      </c>
      <c r="B843" s="2" t="s">
        <v>17</v>
      </c>
      <c r="C843">
        <v>58601</v>
      </c>
      <c r="D843" s="2" t="s">
        <v>23</v>
      </c>
      <c r="E843">
        <v>5</v>
      </c>
      <c r="F843">
        <v>3</v>
      </c>
      <c r="G843" s="4">
        <f>VALUE(SUBSTITUTE(SUBSTITUTE(Table1[[#This Row],[Price]],"$",""),",",""))</f>
        <v>512474</v>
      </c>
      <c r="H843" s="1">
        <f>Table1[[#This Row],[Price2]]/Table1[[#This Row],[Area]]</f>
        <v>417.32410423452768</v>
      </c>
      <c r="I843">
        <v>1228</v>
      </c>
      <c r="J843">
        <v>2004</v>
      </c>
      <c r="K843">
        <v>69</v>
      </c>
      <c r="L843" t="s">
        <v>52</v>
      </c>
      <c r="M843" t="s">
        <v>1917</v>
      </c>
      <c r="N843" s="2" t="s">
        <v>3027</v>
      </c>
      <c r="O843" t="s">
        <v>3028</v>
      </c>
      <c r="P843" t="s">
        <v>21</v>
      </c>
      <c r="Q843">
        <v>417.32410423452768</v>
      </c>
      <c r="R843">
        <f ca="1">YEAR(TODAY())-Table1[[#This Row],[Year Built]]</f>
        <v>22</v>
      </c>
      <c r="S843" t="str">
        <f>IF(Table1[[#This Row],[Days on Market]] &lt; 30,"Fast",IF(Table1[[#This Row],[Days on Market]]&lt;= 90,"Average", "Slow"))</f>
        <v>Average</v>
      </c>
      <c r="T843" t="str">
        <f>IF(Table1[[#This Row],[Price2]]&lt;500000,"Affordable",IF(Table1[[#This Row],[Price2]]&lt;1000000,"Mid range","Luxury"))</f>
        <v>Mid range</v>
      </c>
    </row>
    <row r="844" spans="1:20" x14ac:dyDescent="0.35">
      <c r="A844" s="3">
        <v>512547</v>
      </c>
      <c r="B844" s="2" t="s">
        <v>22</v>
      </c>
      <c r="C844">
        <v>91809</v>
      </c>
      <c r="D844" s="2" t="s">
        <v>35</v>
      </c>
      <c r="E844">
        <v>4</v>
      </c>
      <c r="F844">
        <v>2</v>
      </c>
      <c r="G844" s="4">
        <f>VALUE(SUBSTITUTE(SUBSTITUTE(Table1[[#This Row],[Price]],"$",""),",",""))</f>
        <v>512547</v>
      </c>
      <c r="H844" s="1">
        <f>Table1[[#This Row],[Price2]]/Table1[[#This Row],[Area]]</f>
        <v>395.17887432536622</v>
      </c>
      <c r="I844">
        <v>1297</v>
      </c>
      <c r="J844">
        <v>1956</v>
      </c>
      <c r="K844">
        <v>113</v>
      </c>
      <c r="L844" t="s">
        <v>14</v>
      </c>
      <c r="M844" t="s">
        <v>2197</v>
      </c>
      <c r="N844" s="2" t="s">
        <v>3031</v>
      </c>
      <c r="O844" t="s">
        <v>3032</v>
      </c>
      <c r="P844" t="s">
        <v>26</v>
      </c>
      <c r="Q844">
        <v>395.17887432536622</v>
      </c>
      <c r="R844">
        <f ca="1">YEAR(TODAY())-Table1[[#This Row],[Year Built]]</f>
        <v>70</v>
      </c>
      <c r="S844" t="str">
        <f>IF(Table1[[#This Row],[Days on Market]] &lt; 30,"Fast",IF(Table1[[#This Row],[Days on Market]]&lt;= 90,"Average", "Slow"))</f>
        <v>Slow</v>
      </c>
      <c r="T844" t="str">
        <f>IF(Table1[[#This Row],[Price2]]&lt;500000,"Affordable",IF(Table1[[#This Row],[Price2]]&lt;1000000,"Mid range","Luxury"))</f>
        <v>Mid range</v>
      </c>
    </row>
    <row r="845" spans="1:20" x14ac:dyDescent="0.35">
      <c r="A845" s="3">
        <v>512841</v>
      </c>
      <c r="B845" s="2" t="s">
        <v>34</v>
      </c>
      <c r="C845">
        <v>45725</v>
      </c>
      <c r="D845" s="2" t="s">
        <v>29</v>
      </c>
      <c r="E845">
        <v>6</v>
      </c>
      <c r="F845">
        <v>1</v>
      </c>
      <c r="G845" s="4">
        <f>VALUE(SUBSTITUTE(SUBSTITUTE(Table1[[#This Row],[Price]],"$",""),",",""))</f>
        <v>512841</v>
      </c>
      <c r="H845" s="1">
        <f>Table1[[#This Row],[Price2]]/Table1[[#This Row],[Area]]</f>
        <v>187.51042047531993</v>
      </c>
      <c r="I845">
        <v>2735</v>
      </c>
      <c r="J845">
        <v>2012</v>
      </c>
      <c r="K845">
        <v>76</v>
      </c>
      <c r="L845" t="s">
        <v>40</v>
      </c>
      <c r="M845" t="s">
        <v>368</v>
      </c>
      <c r="N845" s="2" t="s">
        <v>3031</v>
      </c>
      <c r="O845" t="s">
        <v>3032</v>
      </c>
      <c r="P845" t="s">
        <v>26</v>
      </c>
      <c r="Q845">
        <v>187.51042047531993</v>
      </c>
      <c r="R845">
        <f ca="1">YEAR(TODAY())-Table1[[#This Row],[Year Built]]</f>
        <v>14</v>
      </c>
      <c r="S845" t="str">
        <f>IF(Table1[[#This Row],[Days on Market]] &lt; 30,"Fast",IF(Table1[[#This Row],[Days on Market]]&lt;= 90,"Average", "Slow"))</f>
        <v>Average</v>
      </c>
      <c r="T845" t="str">
        <f>IF(Table1[[#This Row],[Price2]]&lt;500000,"Affordable",IF(Table1[[#This Row],[Price2]]&lt;1000000,"Mid range","Luxury"))</f>
        <v>Mid range</v>
      </c>
    </row>
    <row r="846" spans="1:20" x14ac:dyDescent="0.35">
      <c r="A846" s="3">
        <v>513312</v>
      </c>
      <c r="B846" s="2" t="s">
        <v>17</v>
      </c>
      <c r="C846">
        <v>48796</v>
      </c>
      <c r="D846" s="2" t="s">
        <v>29</v>
      </c>
      <c r="E846">
        <v>1</v>
      </c>
      <c r="F846">
        <v>3</v>
      </c>
      <c r="G846" s="4">
        <f>VALUE(SUBSTITUTE(SUBSTITUTE(Table1[[#This Row],[Price]],"$",""),",",""))</f>
        <v>513312</v>
      </c>
      <c r="H846" s="1">
        <f>Table1[[#This Row],[Price2]]/Table1[[#This Row],[Area]]</f>
        <v>303.91474245115455</v>
      </c>
      <c r="I846">
        <v>1689</v>
      </c>
      <c r="J846">
        <v>1974</v>
      </c>
      <c r="K846">
        <v>65</v>
      </c>
      <c r="L846" t="s">
        <v>14</v>
      </c>
      <c r="M846" t="s">
        <v>2443</v>
      </c>
      <c r="N846" s="2" t="s">
        <v>3029</v>
      </c>
      <c r="O846" t="s">
        <v>3030</v>
      </c>
      <c r="P846" t="s">
        <v>26</v>
      </c>
      <c r="Q846">
        <v>303.91474245115455</v>
      </c>
      <c r="R846">
        <f ca="1">YEAR(TODAY())-Table1[[#This Row],[Year Built]]</f>
        <v>52</v>
      </c>
      <c r="S846" t="str">
        <f>IF(Table1[[#This Row],[Days on Market]] &lt; 30,"Fast",IF(Table1[[#This Row],[Days on Market]]&lt;= 90,"Average", "Slow"))</f>
        <v>Average</v>
      </c>
      <c r="T846" t="str">
        <f>IF(Table1[[#This Row],[Price2]]&lt;500000,"Affordable",IF(Table1[[#This Row],[Price2]]&lt;1000000,"Mid range","Luxury"))</f>
        <v>Mid range</v>
      </c>
    </row>
    <row r="847" spans="1:20" x14ac:dyDescent="0.35">
      <c r="A847" s="3">
        <v>514584</v>
      </c>
      <c r="B847" s="2" t="s">
        <v>12</v>
      </c>
      <c r="C847">
        <v>47734</v>
      </c>
      <c r="D847" s="2" t="s">
        <v>13</v>
      </c>
      <c r="E847">
        <v>2</v>
      </c>
      <c r="F847">
        <v>3</v>
      </c>
      <c r="G847" s="4">
        <f>VALUE(SUBSTITUTE(SUBSTITUTE(Table1[[#This Row],[Price]],"$",""),",",""))</f>
        <v>514584</v>
      </c>
      <c r="H847" s="1">
        <f>Table1[[#This Row],[Price2]]/Table1[[#This Row],[Area]]</f>
        <v>152.37903464613564</v>
      </c>
      <c r="I847">
        <v>3377</v>
      </c>
      <c r="J847">
        <v>1975</v>
      </c>
      <c r="K847">
        <v>54</v>
      </c>
      <c r="L847" t="s">
        <v>14</v>
      </c>
      <c r="M847" t="s">
        <v>1765</v>
      </c>
      <c r="N847" s="2" t="s">
        <v>3033</v>
      </c>
      <c r="O847" t="s">
        <v>3034</v>
      </c>
      <c r="P847" t="s">
        <v>21</v>
      </c>
      <c r="Q847">
        <v>152.37903464613564</v>
      </c>
      <c r="R847">
        <f ca="1">YEAR(TODAY())-Table1[[#This Row],[Year Built]]</f>
        <v>51</v>
      </c>
      <c r="S847" t="str">
        <f>IF(Table1[[#This Row],[Days on Market]] &lt; 30,"Fast",IF(Table1[[#This Row],[Days on Market]]&lt;= 90,"Average", "Slow"))</f>
        <v>Average</v>
      </c>
      <c r="T847" t="str">
        <f>IF(Table1[[#This Row],[Price2]]&lt;500000,"Affordable",IF(Table1[[#This Row],[Price2]]&lt;1000000,"Mid range","Luxury"))</f>
        <v>Mid range</v>
      </c>
    </row>
    <row r="848" spans="1:20" x14ac:dyDescent="0.35">
      <c r="A848" s="3">
        <v>516119</v>
      </c>
      <c r="B848" s="2" t="s">
        <v>34</v>
      </c>
      <c r="C848">
        <v>74420</v>
      </c>
      <c r="D848" s="2" t="s">
        <v>29</v>
      </c>
      <c r="E848">
        <v>2</v>
      </c>
      <c r="F848">
        <v>2</v>
      </c>
      <c r="G848" s="4">
        <f>VALUE(SUBSTITUTE(SUBSTITUTE(Table1[[#This Row],[Price]],"$",""),",",""))</f>
        <v>516119</v>
      </c>
      <c r="H848" s="1">
        <f>Table1[[#This Row],[Price2]]/Table1[[#This Row],[Area]]</f>
        <v>177.84941419710543</v>
      </c>
      <c r="I848">
        <v>2902</v>
      </c>
      <c r="J848">
        <v>2013</v>
      </c>
      <c r="K848">
        <v>58</v>
      </c>
      <c r="L848" t="s">
        <v>14</v>
      </c>
      <c r="M848" t="s">
        <v>400</v>
      </c>
      <c r="N848" s="2" t="s">
        <v>3033</v>
      </c>
      <c r="O848" t="s">
        <v>3034</v>
      </c>
      <c r="P848" t="s">
        <v>21</v>
      </c>
      <c r="Q848">
        <v>177.84941419710543</v>
      </c>
      <c r="R848">
        <f ca="1">YEAR(TODAY())-Table1[[#This Row],[Year Built]]</f>
        <v>13</v>
      </c>
      <c r="S848" t="str">
        <f>IF(Table1[[#This Row],[Days on Market]] &lt; 30,"Fast",IF(Table1[[#This Row],[Days on Market]]&lt;= 90,"Average", "Slow"))</f>
        <v>Average</v>
      </c>
      <c r="T848" t="str">
        <f>IF(Table1[[#This Row],[Price2]]&lt;500000,"Affordable",IF(Table1[[#This Row],[Price2]]&lt;1000000,"Mid range","Luxury"))</f>
        <v>Mid range</v>
      </c>
    </row>
    <row r="849" spans="1:20" x14ac:dyDescent="0.35">
      <c r="A849" s="3">
        <v>516185</v>
      </c>
      <c r="B849" s="2" t="s">
        <v>22</v>
      </c>
      <c r="C849">
        <v>32713</v>
      </c>
      <c r="D849" s="2" t="s">
        <v>29</v>
      </c>
      <c r="E849">
        <v>6</v>
      </c>
      <c r="F849">
        <v>3</v>
      </c>
      <c r="G849" s="4">
        <f>VALUE(SUBSTITUTE(SUBSTITUTE(Table1[[#This Row],[Price]],"$",""),",",""))</f>
        <v>516185</v>
      </c>
      <c r="H849" s="1">
        <f>Table1[[#This Row],[Price2]]/Table1[[#This Row],[Area]]</f>
        <v>189.98343761501656</v>
      </c>
      <c r="I849">
        <v>2717</v>
      </c>
      <c r="J849">
        <v>2022</v>
      </c>
      <c r="K849">
        <v>31</v>
      </c>
      <c r="L849" t="s">
        <v>40</v>
      </c>
      <c r="M849" t="s">
        <v>2512</v>
      </c>
      <c r="N849" s="2" t="s">
        <v>3029</v>
      </c>
      <c r="O849" t="s">
        <v>3030</v>
      </c>
      <c r="P849" t="s">
        <v>21</v>
      </c>
      <c r="Q849">
        <v>189.98343761501656</v>
      </c>
      <c r="R849">
        <f ca="1">YEAR(TODAY())-Table1[[#This Row],[Year Built]]</f>
        <v>4</v>
      </c>
      <c r="S849" t="str">
        <f>IF(Table1[[#This Row],[Days on Market]] &lt; 30,"Fast",IF(Table1[[#This Row],[Days on Market]]&lt;= 90,"Average", "Slow"))</f>
        <v>Average</v>
      </c>
      <c r="T849" t="str">
        <f>IF(Table1[[#This Row],[Price2]]&lt;500000,"Affordable",IF(Table1[[#This Row],[Price2]]&lt;1000000,"Mid range","Luxury"))</f>
        <v>Mid range</v>
      </c>
    </row>
    <row r="850" spans="1:20" x14ac:dyDescent="0.35">
      <c r="A850" s="3">
        <v>516722</v>
      </c>
      <c r="B850" s="2" t="s">
        <v>12</v>
      </c>
      <c r="C850">
        <v>38001</v>
      </c>
      <c r="D850" s="2" t="s">
        <v>29</v>
      </c>
      <c r="E850">
        <v>1</v>
      </c>
      <c r="F850">
        <v>4</v>
      </c>
      <c r="G850" s="4">
        <f>VALUE(SUBSTITUTE(SUBSTITUTE(Table1[[#This Row],[Price]],"$",""),",",""))</f>
        <v>516722</v>
      </c>
      <c r="H850" s="1">
        <f>Table1[[#This Row],[Price2]]/Table1[[#This Row],[Area]]</f>
        <v>159.38371375694015</v>
      </c>
      <c r="I850">
        <v>3242</v>
      </c>
      <c r="J850">
        <v>1955</v>
      </c>
      <c r="K850">
        <v>40</v>
      </c>
      <c r="L850" t="s">
        <v>52</v>
      </c>
      <c r="M850" t="s">
        <v>353</v>
      </c>
      <c r="N850" s="2" t="s">
        <v>3027</v>
      </c>
      <c r="O850" t="s">
        <v>3028</v>
      </c>
      <c r="P850" t="s">
        <v>21</v>
      </c>
      <c r="Q850">
        <v>159.38371375694015</v>
      </c>
      <c r="R850">
        <f ca="1">YEAR(TODAY())-Table1[[#This Row],[Year Built]]</f>
        <v>71</v>
      </c>
      <c r="S850" t="str">
        <f>IF(Table1[[#This Row],[Days on Market]] &lt; 30,"Fast",IF(Table1[[#This Row],[Days on Market]]&lt;= 90,"Average", "Slow"))</f>
        <v>Average</v>
      </c>
      <c r="T850" t="str">
        <f>IF(Table1[[#This Row],[Price2]]&lt;500000,"Affordable",IF(Table1[[#This Row],[Price2]]&lt;1000000,"Mid range","Luxury"))</f>
        <v>Mid range</v>
      </c>
    </row>
    <row r="851" spans="1:20" x14ac:dyDescent="0.35">
      <c r="A851" s="3">
        <v>516901</v>
      </c>
      <c r="B851" s="2" t="s">
        <v>34</v>
      </c>
      <c r="C851">
        <v>98522</v>
      </c>
      <c r="D851" s="2" t="s">
        <v>18</v>
      </c>
      <c r="E851">
        <v>2</v>
      </c>
      <c r="F851">
        <v>4</v>
      </c>
      <c r="G851" s="4">
        <f>VALUE(SUBSTITUTE(SUBSTITUTE(Table1[[#This Row],[Price]],"$",""),",",""))</f>
        <v>516901</v>
      </c>
      <c r="H851" s="1">
        <f>Table1[[#This Row],[Price2]]/Table1[[#This Row],[Area]]</f>
        <v>514.84163346613548</v>
      </c>
      <c r="I851">
        <v>1004</v>
      </c>
      <c r="J851">
        <v>1967</v>
      </c>
      <c r="K851">
        <v>33</v>
      </c>
      <c r="L851" t="s">
        <v>14</v>
      </c>
      <c r="M851" t="s">
        <v>915</v>
      </c>
      <c r="N851" s="2" t="s">
        <v>3027</v>
      </c>
      <c r="O851" t="s">
        <v>3028</v>
      </c>
      <c r="P851" t="s">
        <v>16</v>
      </c>
      <c r="Q851">
        <v>514.84163346613548</v>
      </c>
      <c r="R851">
        <f ca="1">YEAR(TODAY())-Table1[[#This Row],[Year Built]]</f>
        <v>59</v>
      </c>
      <c r="S851" t="str">
        <f>IF(Table1[[#This Row],[Days on Market]] &lt; 30,"Fast",IF(Table1[[#This Row],[Days on Market]]&lt;= 90,"Average", "Slow"))</f>
        <v>Average</v>
      </c>
      <c r="T851" t="str">
        <f>IF(Table1[[#This Row],[Price2]]&lt;500000,"Affordable",IF(Table1[[#This Row],[Price2]]&lt;1000000,"Mid range","Luxury"))</f>
        <v>Mid range</v>
      </c>
    </row>
    <row r="852" spans="1:20" x14ac:dyDescent="0.35">
      <c r="A852" s="3">
        <v>517031</v>
      </c>
      <c r="B852" s="2" t="s">
        <v>34</v>
      </c>
      <c r="C852">
        <v>16056</v>
      </c>
      <c r="D852" s="2" t="s">
        <v>18</v>
      </c>
      <c r="E852">
        <v>3</v>
      </c>
      <c r="F852">
        <v>1</v>
      </c>
      <c r="G852" s="4">
        <f>VALUE(SUBSTITUTE(SUBSTITUTE(Table1[[#This Row],[Price]],"$",""),",",""))</f>
        <v>517031</v>
      </c>
      <c r="H852" s="1">
        <f>Table1[[#This Row],[Price2]]/Table1[[#This Row],[Area]]</f>
        <v>196.36574249905053</v>
      </c>
      <c r="I852">
        <v>2633</v>
      </c>
      <c r="J852">
        <v>1972</v>
      </c>
      <c r="K852">
        <v>49</v>
      </c>
      <c r="L852" t="s">
        <v>52</v>
      </c>
      <c r="M852" t="s">
        <v>178</v>
      </c>
      <c r="N852" s="2" t="s">
        <v>3031</v>
      </c>
      <c r="O852" t="s">
        <v>3032</v>
      </c>
      <c r="P852" t="s">
        <v>21</v>
      </c>
      <c r="Q852">
        <v>196.36574249905053</v>
      </c>
      <c r="R852">
        <f ca="1">YEAR(TODAY())-Table1[[#This Row],[Year Built]]</f>
        <v>54</v>
      </c>
      <c r="S852" t="str">
        <f>IF(Table1[[#This Row],[Days on Market]] &lt; 30,"Fast",IF(Table1[[#This Row],[Days on Market]]&lt;= 90,"Average", "Slow"))</f>
        <v>Average</v>
      </c>
      <c r="T852" t="str">
        <f>IF(Table1[[#This Row],[Price2]]&lt;500000,"Affordable",IF(Table1[[#This Row],[Price2]]&lt;1000000,"Mid range","Luxury"))</f>
        <v>Mid range</v>
      </c>
    </row>
    <row r="853" spans="1:20" x14ac:dyDescent="0.35">
      <c r="A853" s="3">
        <v>517208</v>
      </c>
      <c r="B853" s="2" t="s">
        <v>12</v>
      </c>
      <c r="C853">
        <v>18625</v>
      </c>
      <c r="D853" s="2" t="s">
        <v>23</v>
      </c>
      <c r="E853">
        <v>1</v>
      </c>
      <c r="F853">
        <v>3</v>
      </c>
      <c r="G853" s="4">
        <f>VALUE(SUBSTITUTE(SUBSTITUTE(Table1[[#This Row],[Price]],"$",""),",",""))</f>
        <v>517208</v>
      </c>
      <c r="H853" s="1">
        <f>Table1[[#This Row],[Price2]]/Table1[[#This Row],[Area]]</f>
        <v>362.44428871758936</v>
      </c>
      <c r="I853">
        <v>1427</v>
      </c>
      <c r="J853">
        <v>2017</v>
      </c>
      <c r="K853">
        <v>108</v>
      </c>
      <c r="L853" t="s">
        <v>30</v>
      </c>
      <c r="M853" t="s">
        <v>2276</v>
      </c>
      <c r="N853" s="2" t="s">
        <v>3027</v>
      </c>
      <c r="O853" t="s">
        <v>3028</v>
      </c>
      <c r="P853" t="s">
        <v>26</v>
      </c>
      <c r="Q853">
        <v>362.44428871758936</v>
      </c>
      <c r="R853">
        <f ca="1">YEAR(TODAY())-Table1[[#This Row],[Year Built]]</f>
        <v>9</v>
      </c>
      <c r="S853" t="str">
        <f>IF(Table1[[#This Row],[Days on Market]] &lt; 30,"Fast",IF(Table1[[#This Row],[Days on Market]]&lt;= 90,"Average", "Slow"))</f>
        <v>Slow</v>
      </c>
      <c r="T853" t="str">
        <f>IF(Table1[[#This Row],[Price2]]&lt;500000,"Affordable",IF(Table1[[#This Row],[Price2]]&lt;1000000,"Mid range","Luxury"))</f>
        <v>Mid range</v>
      </c>
    </row>
    <row r="854" spans="1:20" x14ac:dyDescent="0.35">
      <c r="A854" s="3">
        <v>517449</v>
      </c>
      <c r="B854" s="2" t="s">
        <v>34</v>
      </c>
      <c r="C854">
        <v>80159</v>
      </c>
      <c r="D854" s="2" t="s">
        <v>13</v>
      </c>
      <c r="E854">
        <v>3</v>
      </c>
      <c r="F854">
        <v>3</v>
      </c>
      <c r="G854" s="4">
        <f>VALUE(SUBSTITUTE(SUBSTITUTE(Table1[[#This Row],[Price]],"$",""),",",""))</f>
        <v>517449</v>
      </c>
      <c r="H854" s="1">
        <f>Table1[[#This Row],[Price2]]/Table1[[#This Row],[Area]]</f>
        <v>176.60375426621161</v>
      </c>
      <c r="I854">
        <v>2930</v>
      </c>
      <c r="J854">
        <v>1961</v>
      </c>
      <c r="K854">
        <v>52</v>
      </c>
      <c r="L854" t="s">
        <v>19</v>
      </c>
      <c r="M854" t="s">
        <v>2117</v>
      </c>
      <c r="N854" s="2" t="s">
        <v>3031</v>
      </c>
      <c r="O854" t="s">
        <v>3032</v>
      </c>
      <c r="P854" t="s">
        <v>16</v>
      </c>
      <c r="Q854">
        <v>176.60375426621161</v>
      </c>
      <c r="R854">
        <f ca="1">YEAR(TODAY())-Table1[[#This Row],[Year Built]]</f>
        <v>65</v>
      </c>
      <c r="S854" t="str">
        <f>IF(Table1[[#This Row],[Days on Market]] &lt; 30,"Fast",IF(Table1[[#This Row],[Days on Market]]&lt;= 90,"Average", "Slow"))</f>
        <v>Average</v>
      </c>
      <c r="T854" t="str">
        <f>IF(Table1[[#This Row],[Price2]]&lt;500000,"Affordable",IF(Table1[[#This Row],[Price2]]&lt;1000000,"Mid range","Luxury"))</f>
        <v>Mid range</v>
      </c>
    </row>
    <row r="855" spans="1:20" x14ac:dyDescent="0.35">
      <c r="A855" s="3">
        <v>517845</v>
      </c>
      <c r="B855" s="2" t="s">
        <v>27</v>
      </c>
      <c r="C855">
        <v>85350</v>
      </c>
      <c r="D855" s="2" t="s">
        <v>13</v>
      </c>
      <c r="E855">
        <v>6</v>
      </c>
      <c r="F855">
        <v>3</v>
      </c>
      <c r="G855" s="4">
        <f>VALUE(SUBSTITUTE(SUBSTITUTE(Table1[[#This Row],[Price]],"$",""),",",""))</f>
        <v>517845</v>
      </c>
      <c r="H855" s="1">
        <f>Table1[[#This Row],[Price2]]/Table1[[#This Row],[Area]]</f>
        <v>386.45149253731341</v>
      </c>
      <c r="I855">
        <v>1340</v>
      </c>
      <c r="J855">
        <v>1954</v>
      </c>
      <c r="K855">
        <v>120</v>
      </c>
      <c r="L855" t="s">
        <v>19</v>
      </c>
      <c r="M855" t="s">
        <v>2547</v>
      </c>
      <c r="N855" s="2" t="s">
        <v>3035</v>
      </c>
      <c r="O855" t="s">
        <v>3036</v>
      </c>
      <c r="P855" t="s">
        <v>21</v>
      </c>
      <c r="Q855">
        <v>386.45149253731341</v>
      </c>
      <c r="R855">
        <f ca="1">YEAR(TODAY())-Table1[[#This Row],[Year Built]]</f>
        <v>72</v>
      </c>
      <c r="S855" t="str">
        <f>IF(Table1[[#This Row],[Days on Market]] &lt; 30,"Fast",IF(Table1[[#This Row],[Days on Market]]&lt;= 90,"Average", "Slow"))</f>
        <v>Slow</v>
      </c>
      <c r="T855" t="str">
        <f>IF(Table1[[#This Row],[Price2]]&lt;500000,"Affordable",IF(Table1[[#This Row],[Price2]]&lt;1000000,"Mid range","Luxury"))</f>
        <v>Mid range</v>
      </c>
    </row>
    <row r="856" spans="1:20" x14ac:dyDescent="0.35">
      <c r="A856" s="3">
        <v>517860</v>
      </c>
      <c r="B856" s="2" t="s">
        <v>17</v>
      </c>
      <c r="C856">
        <v>21350</v>
      </c>
      <c r="D856" s="2" t="s">
        <v>23</v>
      </c>
      <c r="E856">
        <v>5</v>
      </c>
      <c r="F856">
        <v>1</v>
      </c>
      <c r="G856" s="4">
        <f>VALUE(SUBSTITUTE(SUBSTITUTE(Table1[[#This Row],[Price]],"$",""),",",""))</f>
        <v>517860</v>
      </c>
      <c r="H856" s="1">
        <f>Table1[[#This Row],[Price2]]/Table1[[#This Row],[Area]]</f>
        <v>292.90723981900453</v>
      </c>
      <c r="I856">
        <v>1768</v>
      </c>
      <c r="J856">
        <v>1997</v>
      </c>
      <c r="K856">
        <v>111</v>
      </c>
      <c r="L856" t="s">
        <v>40</v>
      </c>
      <c r="M856" t="s">
        <v>2059</v>
      </c>
      <c r="N856" s="2" t="s">
        <v>3029</v>
      </c>
      <c r="O856" t="s">
        <v>3030</v>
      </c>
      <c r="P856" t="s">
        <v>26</v>
      </c>
      <c r="Q856">
        <v>292.90723981900453</v>
      </c>
      <c r="R856">
        <f ca="1">YEAR(TODAY())-Table1[[#This Row],[Year Built]]</f>
        <v>29</v>
      </c>
      <c r="S856" t="str">
        <f>IF(Table1[[#This Row],[Days on Market]] &lt; 30,"Fast",IF(Table1[[#This Row],[Days on Market]]&lt;= 90,"Average", "Slow"))</f>
        <v>Slow</v>
      </c>
      <c r="T856" t="str">
        <f>IF(Table1[[#This Row],[Price2]]&lt;500000,"Affordable",IF(Table1[[#This Row],[Price2]]&lt;1000000,"Mid range","Luxury"))</f>
        <v>Mid range</v>
      </c>
    </row>
    <row r="857" spans="1:20" x14ac:dyDescent="0.35">
      <c r="A857" s="3">
        <v>518222</v>
      </c>
      <c r="B857" s="2" t="s">
        <v>17</v>
      </c>
      <c r="C857">
        <v>84200</v>
      </c>
      <c r="D857" s="2" t="s">
        <v>29</v>
      </c>
      <c r="E857">
        <v>4</v>
      </c>
      <c r="F857">
        <v>2</v>
      </c>
      <c r="G857" s="4">
        <f>VALUE(SUBSTITUTE(SUBSTITUTE(Table1[[#This Row],[Price]],"$",""),",",""))</f>
        <v>518222</v>
      </c>
      <c r="H857" s="1">
        <f>Table1[[#This Row],[Price2]]/Table1[[#This Row],[Area]]</f>
        <v>354.46101231190153</v>
      </c>
      <c r="I857">
        <v>1462</v>
      </c>
      <c r="J857">
        <v>2000</v>
      </c>
      <c r="K857">
        <v>114</v>
      </c>
      <c r="L857" t="s">
        <v>52</v>
      </c>
      <c r="M857" t="s">
        <v>197</v>
      </c>
      <c r="N857" s="2" t="s">
        <v>3029</v>
      </c>
      <c r="O857" t="s">
        <v>3030</v>
      </c>
      <c r="P857" t="s">
        <v>26</v>
      </c>
      <c r="Q857">
        <v>354.46101231190153</v>
      </c>
      <c r="R857">
        <f ca="1">YEAR(TODAY())-Table1[[#This Row],[Year Built]]</f>
        <v>26</v>
      </c>
      <c r="S857" t="str">
        <f>IF(Table1[[#This Row],[Days on Market]] &lt; 30,"Fast",IF(Table1[[#This Row],[Days on Market]]&lt;= 90,"Average", "Slow"))</f>
        <v>Slow</v>
      </c>
      <c r="T857" t="str">
        <f>IF(Table1[[#This Row],[Price2]]&lt;500000,"Affordable",IF(Table1[[#This Row],[Price2]]&lt;1000000,"Mid range","Luxury"))</f>
        <v>Mid range</v>
      </c>
    </row>
    <row r="858" spans="1:20" x14ac:dyDescent="0.35">
      <c r="A858" s="3">
        <v>518811</v>
      </c>
      <c r="B858" s="2" t="s">
        <v>17</v>
      </c>
      <c r="C858">
        <v>65592</v>
      </c>
      <c r="D858" s="2" t="s">
        <v>29</v>
      </c>
      <c r="E858">
        <v>3</v>
      </c>
      <c r="F858">
        <v>4</v>
      </c>
      <c r="G858" s="4">
        <f>VALUE(SUBSTITUTE(SUBSTITUTE(Table1[[#This Row],[Price]],"$",""),",",""))</f>
        <v>518811</v>
      </c>
      <c r="H858" s="1">
        <f>Table1[[#This Row],[Price2]]/Table1[[#This Row],[Area]]</f>
        <v>184.04079460801702</v>
      </c>
      <c r="I858">
        <v>2819</v>
      </c>
      <c r="J858">
        <v>1988</v>
      </c>
      <c r="K858">
        <v>12</v>
      </c>
      <c r="L858" t="s">
        <v>40</v>
      </c>
      <c r="M858" t="s">
        <v>2937</v>
      </c>
      <c r="N858" s="2" t="s">
        <v>3027</v>
      </c>
      <c r="O858" t="s">
        <v>3028</v>
      </c>
      <c r="P858" t="s">
        <v>21</v>
      </c>
      <c r="Q858">
        <v>184.04079460801702</v>
      </c>
      <c r="R858">
        <f ca="1">YEAR(TODAY())-Table1[[#This Row],[Year Built]]</f>
        <v>38</v>
      </c>
      <c r="S858" t="str">
        <f>IF(Table1[[#This Row],[Days on Market]] &lt; 30,"Fast",IF(Table1[[#This Row],[Days on Market]]&lt;= 90,"Average", "Slow"))</f>
        <v>Fast</v>
      </c>
      <c r="T858" t="str">
        <f>IF(Table1[[#This Row],[Price2]]&lt;500000,"Affordable",IF(Table1[[#This Row],[Price2]]&lt;1000000,"Mid range","Luxury"))</f>
        <v>Mid range</v>
      </c>
    </row>
    <row r="859" spans="1:20" x14ac:dyDescent="0.35">
      <c r="A859" s="3">
        <v>520617</v>
      </c>
      <c r="B859" s="2" t="s">
        <v>22</v>
      </c>
      <c r="C859">
        <v>99469</v>
      </c>
      <c r="D859" s="2" t="s">
        <v>29</v>
      </c>
      <c r="E859">
        <v>4</v>
      </c>
      <c r="F859">
        <v>3</v>
      </c>
      <c r="G859" s="4">
        <f>VALUE(SUBSTITUTE(SUBSTITUTE(Table1[[#This Row],[Price]],"$",""),",",""))</f>
        <v>520617</v>
      </c>
      <c r="H859" s="1">
        <f>Table1[[#This Row],[Price2]]/Table1[[#This Row],[Area]]</f>
        <v>341.38819672131149</v>
      </c>
      <c r="I859">
        <v>1525</v>
      </c>
      <c r="J859">
        <v>1980</v>
      </c>
      <c r="K859">
        <v>64</v>
      </c>
      <c r="L859" t="s">
        <v>40</v>
      </c>
      <c r="M859" t="s">
        <v>1634</v>
      </c>
      <c r="N859" s="2" t="s">
        <v>3033</v>
      </c>
      <c r="O859" t="s">
        <v>3034</v>
      </c>
      <c r="P859" t="s">
        <v>26</v>
      </c>
      <c r="Q859">
        <v>341.38819672131149</v>
      </c>
      <c r="R859">
        <f ca="1">YEAR(TODAY())-Table1[[#This Row],[Year Built]]</f>
        <v>46</v>
      </c>
      <c r="S859" t="str">
        <f>IF(Table1[[#This Row],[Days on Market]] &lt; 30,"Fast",IF(Table1[[#This Row],[Days on Market]]&lt;= 90,"Average", "Slow"))</f>
        <v>Average</v>
      </c>
      <c r="T859" t="str">
        <f>IF(Table1[[#This Row],[Price2]]&lt;500000,"Affordable",IF(Table1[[#This Row],[Price2]]&lt;1000000,"Mid range","Luxury"))</f>
        <v>Mid range</v>
      </c>
    </row>
    <row r="860" spans="1:20" x14ac:dyDescent="0.35">
      <c r="A860" s="3">
        <v>520950</v>
      </c>
      <c r="B860" s="2" t="s">
        <v>34</v>
      </c>
      <c r="C860">
        <v>30651</v>
      </c>
      <c r="D860" s="2" t="s">
        <v>13</v>
      </c>
      <c r="E860">
        <v>1</v>
      </c>
      <c r="F860">
        <v>2</v>
      </c>
      <c r="G860" s="4">
        <f>VALUE(SUBSTITUTE(SUBSTITUTE(Table1[[#This Row],[Price]],"$",""),",",""))</f>
        <v>520950</v>
      </c>
      <c r="H860" s="1">
        <f>Table1[[#This Row],[Price2]]/Table1[[#This Row],[Area]]</f>
        <v>233.50515463917526</v>
      </c>
      <c r="I860">
        <v>2231</v>
      </c>
      <c r="J860">
        <v>1973</v>
      </c>
      <c r="K860">
        <v>36</v>
      </c>
      <c r="L860" t="s">
        <v>30</v>
      </c>
      <c r="M860" t="s">
        <v>1476</v>
      </c>
      <c r="N860" s="2" t="s">
        <v>3035</v>
      </c>
      <c r="O860" t="s">
        <v>3036</v>
      </c>
      <c r="P860" t="s">
        <v>21</v>
      </c>
      <c r="Q860">
        <v>233.50515463917526</v>
      </c>
      <c r="R860">
        <f ca="1">YEAR(TODAY())-Table1[[#This Row],[Year Built]]</f>
        <v>53</v>
      </c>
      <c r="S860" t="str">
        <f>IF(Table1[[#This Row],[Days on Market]] &lt; 30,"Fast",IF(Table1[[#This Row],[Days on Market]]&lt;= 90,"Average", "Slow"))</f>
        <v>Average</v>
      </c>
      <c r="T860" t="str">
        <f>IF(Table1[[#This Row],[Price2]]&lt;500000,"Affordable",IF(Table1[[#This Row],[Price2]]&lt;1000000,"Mid range","Luxury"))</f>
        <v>Mid range</v>
      </c>
    </row>
    <row r="861" spans="1:20" x14ac:dyDescent="0.35">
      <c r="A861" s="3">
        <v>522250</v>
      </c>
      <c r="B861" s="2" t="s">
        <v>12</v>
      </c>
      <c r="C861">
        <v>75023</v>
      </c>
      <c r="D861" s="2" t="s">
        <v>13</v>
      </c>
      <c r="E861">
        <v>4</v>
      </c>
      <c r="F861">
        <v>4</v>
      </c>
      <c r="G861" s="4">
        <f>VALUE(SUBSTITUTE(SUBSTITUTE(Table1[[#This Row],[Price]],"$",""),",",""))</f>
        <v>522250</v>
      </c>
      <c r="H861" s="1">
        <f>Table1[[#This Row],[Price2]]/Table1[[#This Row],[Area]]</f>
        <v>181.4628214037526</v>
      </c>
      <c r="I861">
        <v>2878</v>
      </c>
      <c r="J861">
        <v>1983</v>
      </c>
      <c r="K861">
        <v>68</v>
      </c>
      <c r="L861" t="s">
        <v>14</v>
      </c>
      <c r="M861" t="s">
        <v>2029</v>
      </c>
      <c r="N861" s="2" t="s">
        <v>3031</v>
      </c>
      <c r="O861" t="s">
        <v>3032</v>
      </c>
      <c r="P861" t="s">
        <v>26</v>
      </c>
      <c r="Q861">
        <v>181.4628214037526</v>
      </c>
      <c r="R861">
        <f ca="1">YEAR(TODAY())-Table1[[#This Row],[Year Built]]</f>
        <v>43</v>
      </c>
      <c r="S861" t="str">
        <f>IF(Table1[[#This Row],[Days on Market]] &lt; 30,"Fast",IF(Table1[[#This Row],[Days on Market]]&lt;= 90,"Average", "Slow"))</f>
        <v>Average</v>
      </c>
      <c r="T861" t="str">
        <f>IF(Table1[[#This Row],[Price2]]&lt;500000,"Affordable",IF(Table1[[#This Row],[Price2]]&lt;1000000,"Mid range","Luxury"))</f>
        <v>Mid range</v>
      </c>
    </row>
    <row r="862" spans="1:20" x14ac:dyDescent="0.35">
      <c r="A862" s="3">
        <v>522443</v>
      </c>
      <c r="B862" s="2" t="s">
        <v>27</v>
      </c>
      <c r="C862">
        <v>86034</v>
      </c>
      <c r="D862" s="2" t="s">
        <v>35</v>
      </c>
      <c r="E862">
        <v>4</v>
      </c>
      <c r="F862">
        <v>2</v>
      </c>
      <c r="G862" s="4">
        <f>VALUE(SUBSTITUTE(SUBSTITUTE(Table1[[#This Row],[Price]],"$",""),",",""))</f>
        <v>522443</v>
      </c>
      <c r="H862" s="1">
        <f>Table1[[#This Row],[Price2]]/Table1[[#This Row],[Area]]</f>
        <v>694.73803191489367</v>
      </c>
      <c r="I862">
        <v>752</v>
      </c>
      <c r="J862">
        <v>2007</v>
      </c>
      <c r="K862">
        <v>39</v>
      </c>
      <c r="L862" t="s">
        <v>30</v>
      </c>
      <c r="M862" t="s">
        <v>2402</v>
      </c>
      <c r="N862" s="2" t="s">
        <v>3031</v>
      </c>
      <c r="O862" t="s">
        <v>3032</v>
      </c>
      <c r="P862" t="s">
        <v>21</v>
      </c>
      <c r="Q862">
        <v>694.73803191489367</v>
      </c>
      <c r="R862">
        <f ca="1">YEAR(TODAY())-Table1[[#This Row],[Year Built]]</f>
        <v>19</v>
      </c>
      <c r="S862" t="str">
        <f>IF(Table1[[#This Row],[Days on Market]] &lt; 30,"Fast",IF(Table1[[#This Row],[Days on Market]]&lt;= 90,"Average", "Slow"))</f>
        <v>Average</v>
      </c>
      <c r="T862" t="str">
        <f>IF(Table1[[#This Row],[Price2]]&lt;500000,"Affordable",IF(Table1[[#This Row],[Price2]]&lt;1000000,"Mid range","Luxury"))</f>
        <v>Mid range</v>
      </c>
    </row>
    <row r="863" spans="1:20" x14ac:dyDescent="0.35">
      <c r="A863" s="3">
        <v>523011</v>
      </c>
      <c r="B863" s="2" t="s">
        <v>12</v>
      </c>
      <c r="C863">
        <v>69013</v>
      </c>
      <c r="D863" s="2" t="s">
        <v>13</v>
      </c>
      <c r="E863">
        <v>1</v>
      </c>
      <c r="F863">
        <v>4</v>
      </c>
      <c r="G863" s="4">
        <f>VALUE(SUBSTITUTE(SUBSTITUTE(Table1[[#This Row],[Price]],"$",""),",",""))</f>
        <v>523011</v>
      </c>
      <c r="H863" s="1">
        <f>Table1[[#This Row],[Price2]]/Table1[[#This Row],[Area]]</f>
        <v>329.55954631379961</v>
      </c>
      <c r="I863">
        <v>1587</v>
      </c>
      <c r="J863">
        <v>1956</v>
      </c>
      <c r="K863">
        <v>27</v>
      </c>
      <c r="L863" t="s">
        <v>30</v>
      </c>
      <c r="M863" t="s">
        <v>2629</v>
      </c>
      <c r="N863" s="2" t="s">
        <v>3035</v>
      </c>
      <c r="O863" t="s">
        <v>3036</v>
      </c>
      <c r="P863" t="s">
        <v>26</v>
      </c>
      <c r="Q863">
        <v>329.55954631379961</v>
      </c>
      <c r="R863">
        <f ca="1">YEAR(TODAY())-Table1[[#This Row],[Year Built]]</f>
        <v>70</v>
      </c>
      <c r="S863" t="str">
        <f>IF(Table1[[#This Row],[Days on Market]] &lt; 30,"Fast",IF(Table1[[#This Row],[Days on Market]]&lt;= 90,"Average", "Slow"))</f>
        <v>Fast</v>
      </c>
      <c r="T863" t="str">
        <f>IF(Table1[[#This Row],[Price2]]&lt;500000,"Affordable",IF(Table1[[#This Row],[Price2]]&lt;1000000,"Mid range","Luxury"))</f>
        <v>Mid range</v>
      </c>
    </row>
    <row r="864" spans="1:20" x14ac:dyDescent="0.35">
      <c r="A864" s="3">
        <v>523054</v>
      </c>
      <c r="B864" s="2" t="s">
        <v>12</v>
      </c>
      <c r="C864">
        <v>21893</v>
      </c>
      <c r="D864" s="2" t="s">
        <v>35</v>
      </c>
      <c r="E864">
        <v>1</v>
      </c>
      <c r="F864">
        <v>4</v>
      </c>
      <c r="G864" s="4">
        <f>VALUE(SUBSTITUTE(SUBSTITUTE(Table1[[#This Row],[Price]],"$",""),",",""))</f>
        <v>523054</v>
      </c>
      <c r="H864" s="1">
        <f>Table1[[#This Row],[Price2]]/Table1[[#This Row],[Area]]</f>
        <v>168.07647814910027</v>
      </c>
      <c r="I864">
        <v>3112</v>
      </c>
      <c r="J864">
        <v>2022</v>
      </c>
      <c r="K864">
        <v>103</v>
      </c>
      <c r="L864" t="s">
        <v>30</v>
      </c>
      <c r="M864" t="s">
        <v>1665</v>
      </c>
      <c r="N864" s="2" t="s">
        <v>3031</v>
      </c>
      <c r="O864" t="s">
        <v>3032</v>
      </c>
      <c r="P864" t="s">
        <v>16</v>
      </c>
      <c r="Q864">
        <v>168.07647814910027</v>
      </c>
      <c r="R864">
        <f ca="1">YEAR(TODAY())-Table1[[#This Row],[Year Built]]</f>
        <v>4</v>
      </c>
      <c r="S864" t="str">
        <f>IF(Table1[[#This Row],[Days on Market]] &lt; 30,"Fast",IF(Table1[[#This Row],[Days on Market]]&lt;= 90,"Average", "Slow"))</f>
        <v>Slow</v>
      </c>
      <c r="T864" t="str">
        <f>IF(Table1[[#This Row],[Price2]]&lt;500000,"Affordable",IF(Table1[[#This Row],[Price2]]&lt;1000000,"Mid range","Luxury"))</f>
        <v>Mid range</v>
      </c>
    </row>
    <row r="865" spans="1:20" x14ac:dyDescent="0.35">
      <c r="A865" s="3">
        <v>523704</v>
      </c>
      <c r="B865" s="2" t="s">
        <v>12</v>
      </c>
      <c r="C865">
        <v>17567</v>
      </c>
      <c r="D865" s="2" t="s">
        <v>18</v>
      </c>
      <c r="E865">
        <v>5</v>
      </c>
      <c r="F865">
        <v>3</v>
      </c>
      <c r="G865" s="4">
        <f>VALUE(SUBSTITUTE(SUBSTITUTE(Table1[[#This Row],[Price]],"$",""),",",""))</f>
        <v>523704</v>
      </c>
      <c r="H865" s="1">
        <f>Table1[[#This Row],[Price2]]/Table1[[#This Row],[Area]]</f>
        <v>235.9027027027027</v>
      </c>
      <c r="I865">
        <v>2220</v>
      </c>
      <c r="J865">
        <v>2012</v>
      </c>
      <c r="K865">
        <v>102</v>
      </c>
      <c r="L865" t="s">
        <v>14</v>
      </c>
      <c r="M865" t="s">
        <v>1769</v>
      </c>
      <c r="N865" s="2" t="s">
        <v>3035</v>
      </c>
      <c r="O865" t="s">
        <v>3036</v>
      </c>
      <c r="P865" t="s">
        <v>26</v>
      </c>
      <c r="Q865">
        <v>235.9027027027027</v>
      </c>
      <c r="R865">
        <f ca="1">YEAR(TODAY())-Table1[[#This Row],[Year Built]]</f>
        <v>14</v>
      </c>
      <c r="S865" t="str">
        <f>IF(Table1[[#This Row],[Days on Market]] &lt; 30,"Fast",IF(Table1[[#This Row],[Days on Market]]&lt;= 90,"Average", "Slow"))</f>
        <v>Slow</v>
      </c>
      <c r="T865" t="str">
        <f>IF(Table1[[#This Row],[Price2]]&lt;500000,"Affordable",IF(Table1[[#This Row],[Price2]]&lt;1000000,"Mid range","Luxury"))</f>
        <v>Mid range</v>
      </c>
    </row>
    <row r="866" spans="1:20" x14ac:dyDescent="0.35">
      <c r="A866" s="3">
        <v>524109</v>
      </c>
      <c r="B866" s="2" t="s">
        <v>22</v>
      </c>
      <c r="C866">
        <v>80756</v>
      </c>
      <c r="D866" s="2" t="s">
        <v>13</v>
      </c>
      <c r="E866">
        <v>6</v>
      </c>
      <c r="F866">
        <v>4</v>
      </c>
      <c r="G866" s="4">
        <f>VALUE(SUBSTITUTE(SUBSTITUTE(Table1[[#This Row],[Price]],"$",""),",",""))</f>
        <v>524109</v>
      </c>
      <c r="H866" s="1">
        <f>Table1[[#This Row],[Price2]]/Table1[[#This Row],[Area]]</f>
        <v>256.41340508806263</v>
      </c>
      <c r="I866">
        <v>2044</v>
      </c>
      <c r="J866">
        <v>2012</v>
      </c>
      <c r="K866">
        <v>117</v>
      </c>
      <c r="L866" t="s">
        <v>30</v>
      </c>
      <c r="M866" t="s">
        <v>715</v>
      </c>
      <c r="N866" s="2" t="s">
        <v>3029</v>
      </c>
      <c r="O866" t="s">
        <v>3030</v>
      </c>
      <c r="P866" t="s">
        <v>21</v>
      </c>
      <c r="Q866">
        <v>256.41340508806263</v>
      </c>
      <c r="R866">
        <f ca="1">YEAR(TODAY())-Table1[[#This Row],[Year Built]]</f>
        <v>14</v>
      </c>
      <c r="S866" t="str">
        <f>IF(Table1[[#This Row],[Days on Market]] &lt; 30,"Fast",IF(Table1[[#This Row],[Days on Market]]&lt;= 90,"Average", "Slow"))</f>
        <v>Slow</v>
      </c>
      <c r="T866" t="str">
        <f>IF(Table1[[#This Row],[Price2]]&lt;500000,"Affordable",IF(Table1[[#This Row],[Price2]]&lt;1000000,"Mid range","Luxury"))</f>
        <v>Mid range</v>
      </c>
    </row>
    <row r="867" spans="1:20" x14ac:dyDescent="0.35">
      <c r="A867" s="3">
        <v>524279</v>
      </c>
      <c r="B867" s="2" t="s">
        <v>27</v>
      </c>
      <c r="C867">
        <v>45798</v>
      </c>
      <c r="D867" s="2" t="s">
        <v>13</v>
      </c>
      <c r="E867">
        <v>4</v>
      </c>
      <c r="F867">
        <v>1</v>
      </c>
      <c r="G867" s="4">
        <f>VALUE(SUBSTITUTE(SUBSTITUTE(Table1[[#This Row],[Price]],"$",""),",",""))</f>
        <v>524279</v>
      </c>
      <c r="H867" s="1">
        <f>Table1[[#This Row],[Price2]]/Table1[[#This Row],[Area]]</f>
        <v>221.12146773513285</v>
      </c>
      <c r="I867">
        <v>2371</v>
      </c>
      <c r="J867">
        <v>1979</v>
      </c>
      <c r="K867">
        <v>86</v>
      </c>
      <c r="L867" t="s">
        <v>14</v>
      </c>
      <c r="M867" t="s">
        <v>599</v>
      </c>
      <c r="N867" s="2" t="s">
        <v>3033</v>
      </c>
      <c r="O867" t="s">
        <v>3034</v>
      </c>
      <c r="P867" t="s">
        <v>21</v>
      </c>
      <c r="Q867">
        <v>221.12146773513285</v>
      </c>
      <c r="R867">
        <f ca="1">YEAR(TODAY())-Table1[[#This Row],[Year Built]]</f>
        <v>47</v>
      </c>
      <c r="S867" t="str">
        <f>IF(Table1[[#This Row],[Days on Market]] &lt; 30,"Fast",IF(Table1[[#This Row],[Days on Market]]&lt;= 90,"Average", "Slow"))</f>
        <v>Average</v>
      </c>
      <c r="T867" t="str">
        <f>IF(Table1[[#This Row],[Price2]]&lt;500000,"Affordable",IF(Table1[[#This Row],[Price2]]&lt;1000000,"Mid range","Luxury"))</f>
        <v>Mid range</v>
      </c>
    </row>
    <row r="868" spans="1:20" x14ac:dyDescent="0.35">
      <c r="A868" s="3">
        <v>524335</v>
      </c>
      <c r="B868" s="2" t="s">
        <v>22</v>
      </c>
      <c r="C868">
        <v>74852</v>
      </c>
      <c r="D868" s="2" t="s">
        <v>13</v>
      </c>
      <c r="E868">
        <v>6</v>
      </c>
      <c r="F868">
        <v>3</v>
      </c>
      <c r="G868" s="4">
        <f>VALUE(SUBSTITUTE(SUBSTITUTE(Table1[[#This Row],[Price]],"$",""),",",""))</f>
        <v>524335</v>
      </c>
      <c r="H868" s="1">
        <f>Table1[[#This Row],[Price2]]/Table1[[#This Row],[Area]]</f>
        <v>275.5307409353652</v>
      </c>
      <c r="I868">
        <v>1903</v>
      </c>
      <c r="J868">
        <v>1954</v>
      </c>
      <c r="K868">
        <v>73</v>
      </c>
      <c r="L868" t="s">
        <v>14</v>
      </c>
      <c r="M868" t="s">
        <v>2797</v>
      </c>
      <c r="N868" s="2" t="s">
        <v>3033</v>
      </c>
      <c r="O868" t="s">
        <v>3034</v>
      </c>
      <c r="P868" t="s">
        <v>21</v>
      </c>
      <c r="Q868">
        <v>275.5307409353652</v>
      </c>
      <c r="R868">
        <f ca="1">YEAR(TODAY())-Table1[[#This Row],[Year Built]]</f>
        <v>72</v>
      </c>
      <c r="S868" t="str">
        <f>IF(Table1[[#This Row],[Days on Market]] &lt; 30,"Fast",IF(Table1[[#This Row],[Days on Market]]&lt;= 90,"Average", "Slow"))</f>
        <v>Average</v>
      </c>
      <c r="T868" t="str">
        <f>IF(Table1[[#This Row],[Price2]]&lt;500000,"Affordable",IF(Table1[[#This Row],[Price2]]&lt;1000000,"Mid range","Luxury"))</f>
        <v>Mid range</v>
      </c>
    </row>
    <row r="869" spans="1:20" x14ac:dyDescent="0.35">
      <c r="A869" s="3">
        <v>526045</v>
      </c>
      <c r="B869" s="2" t="s">
        <v>22</v>
      </c>
      <c r="C869">
        <v>92223</v>
      </c>
      <c r="D869" s="2" t="s">
        <v>18</v>
      </c>
      <c r="E869">
        <v>4</v>
      </c>
      <c r="F869">
        <v>3</v>
      </c>
      <c r="G869" s="4">
        <f>VALUE(SUBSTITUTE(SUBSTITUTE(Table1[[#This Row],[Price]],"$",""),",",""))</f>
        <v>526045</v>
      </c>
      <c r="H869" s="1">
        <f>Table1[[#This Row],[Price2]]/Table1[[#This Row],[Area]]</f>
        <v>169.96607431340871</v>
      </c>
      <c r="I869">
        <v>3095</v>
      </c>
      <c r="J869">
        <v>1956</v>
      </c>
      <c r="K869">
        <v>105</v>
      </c>
      <c r="L869" t="s">
        <v>40</v>
      </c>
      <c r="M869" t="s">
        <v>1377</v>
      </c>
      <c r="N869" s="2" t="s">
        <v>3035</v>
      </c>
      <c r="O869" t="s">
        <v>3036</v>
      </c>
      <c r="P869" t="s">
        <v>26</v>
      </c>
      <c r="Q869">
        <v>169.96607431340871</v>
      </c>
      <c r="R869">
        <f ca="1">YEAR(TODAY())-Table1[[#This Row],[Year Built]]</f>
        <v>70</v>
      </c>
      <c r="S869" t="str">
        <f>IF(Table1[[#This Row],[Days on Market]] &lt; 30,"Fast",IF(Table1[[#This Row],[Days on Market]]&lt;= 90,"Average", "Slow"))</f>
        <v>Slow</v>
      </c>
      <c r="T869" t="str">
        <f>IF(Table1[[#This Row],[Price2]]&lt;500000,"Affordable",IF(Table1[[#This Row],[Price2]]&lt;1000000,"Mid range","Luxury"))</f>
        <v>Mid range</v>
      </c>
    </row>
    <row r="870" spans="1:20" x14ac:dyDescent="0.35">
      <c r="A870" s="3">
        <v>526134</v>
      </c>
      <c r="B870" s="2" t="s">
        <v>17</v>
      </c>
      <c r="C870">
        <v>14760</v>
      </c>
      <c r="D870" s="2" t="s">
        <v>18</v>
      </c>
      <c r="E870">
        <v>3</v>
      </c>
      <c r="F870">
        <v>4</v>
      </c>
      <c r="G870" s="4">
        <f>VALUE(SUBSTITUTE(SUBSTITUTE(Table1[[#This Row],[Price]],"$",""),",",""))</f>
        <v>526134</v>
      </c>
      <c r="H870" s="1">
        <f>Table1[[#This Row],[Price2]]/Table1[[#This Row],[Area]]</f>
        <v>373.40951029098653</v>
      </c>
      <c r="I870">
        <v>1409</v>
      </c>
      <c r="J870">
        <v>1959</v>
      </c>
      <c r="K870">
        <v>119</v>
      </c>
      <c r="L870" t="s">
        <v>40</v>
      </c>
      <c r="M870" t="s">
        <v>986</v>
      </c>
      <c r="N870" s="2" t="s">
        <v>3031</v>
      </c>
      <c r="O870" t="s">
        <v>3032</v>
      </c>
      <c r="P870" t="s">
        <v>26</v>
      </c>
      <c r="Q870">
        <v>373.40951029098653</v>
      </c>
      <c r="R870">
        <f ca="1">YEAR(TODAY())-Table1[[#This Row],[Year Built]]</f>
        <v>67</v>
      </c>
      <c r="S870" t="str">
        <f>IF(Table1[[#This Row],[Days on Market]] &lt; 30,"Fast",IF(Table1[[#This Row],[Days on Market]]&lt;= 90,"Average", "Slow"))</f>
        <v>Slow</v>
      </c>
      <c r="T870" t="str">
        <f>IF(Table1[[#This Row],[Price2]]&lt;500000,"Affordable",IF(Table1[[#This Row],[Price2]]&lt;1000000,"Mid range","Luxury"))</f>
        <v>Mid range</v>
      </c>
    </row>
    <row r="871" spans="1:20" x14ac:dyDescent="0.35">
      <c r="A871" s="3">
        <v>526359</v>
      </c>
      <c r="B871" s="2" t="s">
        <v>34</v>
      </c>
      <c r="C871">
        <v>29858</v>
      </c>
      <c r="D871" s="2" t="s">
        <v>29</v>
      </c>
      <c r="E871">
        <v>1</v>
      </c>
      <c r="F871">
        <v>1</v>
      </c>
      <c r="G871" s="4">
        <f>VALUE(SUBSTITUTE(SUBSTITUTE(Table1[[#This Row],[Price]],"$",""),",",""))</f>
        <v>526359</v>
      </c>
      <c r="H871" s="1">
        <f>Table1[[#This Row],[Price2]]/Table1[[#This Row],[Area]]</f>
        <v>135.58964451313756</v>
      </c>
      <c r="I871">
        <v>3882</v>
      </c>
      <c r="J871">
        <v>1983</v>
      </c>
      <c r="K871">
        <v>18</v>
      </c>
      <c r="L871" t="s">
        <v>40</v>
      </c>
      <c r="M871" t="s">
        <v>1020</v>
      </c>
      <c r="N871" s="2" t="s">
        <v>3035</v>
      </c>
      <c r="O871" t="s">
        <v>3036</v>
      </c>
      <c r="P871" t="s">
        <v>16</v>
      </c>
      <c r="Q871">
        <v>135.58964451313756</v>
      </c>
      <c r="R871">
        <f ca="1">YEAR(TODAY())-Table1[[#This Row],[Year Built]]</f>
        <v>43</v>
      </c>
      <c r="S871" t="str">
        <f>IF(Table1[[#This Row],[Days on Market]] &lt; 30,"Fast",IF(Table1[[#This Row],[Days on Market]]&lt;= 90,"Average", "Slow"))</f>
        <v>Fast</v>
      </c>
      <c r="T871" t="str">
        <f>IF(Table1[[#This Row],[Price2]]&lt;500000,"Affordable",IF(Table1[[#This Row],[Price2]]&lt;1000000,"Mid range","Luxury"))</f>
        <v>Mid range</v>
      </c>
    </row>
    <row r="872" spans="1:20" x14ac:dyDescent="0.35">
      <c r="A872" s="3">
        <v>526692</v>
      </c>
      <c r="B872" s="2" t="s">
        <v>22</v>
      </c>
      <c r="C872">
        <v>11175</v>
      </c>
      <c r="D872" s="2" t="s">
        <v>35</v>
      </c>
      <c r="E872">
        <v>1</v>
      </c>
      <c r="F872">
        <v>3</v>
      </c>
      <c r="G872" s="4">
        <f>VALUE(SUBSTITUTE(SUBSTITUTE(Table1[[#This Row],[Price]],"$",""),",",""))</f>
        <v>526692</v>
      </c>
      <c r="H872" s="1">
        <f>Table1[[#This Row],[Price2]]/Table1[[#This Row],[Area]]</f>
        <v>383.8862973760933</v>
      </c>
      <c r="I872">
        <v>1372</v>
      </c>
      <c r="J872">
        <v>2009</v>
      </c>
      <c r="K872">
        <v>23</v>
      </c>
      <c r="L872" t="s">
        <v>40</v>
      </c>
      <c r="M872" t="s">
        <v>2256</v>
      </c>
      <c r="N872" s="2" t="s">
        <v>3029</v>
      </c>
      <c r="O872" t="s">
        <v>3030</v>
      </c>
      <c r="P872" t="s">
        <v>26</v>
      </c>
      <c r="Q872">
        <v>383.8862973760933</v>
      </c>
      <c r="R872">
        <f ca="1">YEAR(TODAY())-Table1[[#This Row],[Year Built]]</f>
        <v>17</v>
      </c>
      <c r="S872" t="str">
        <f>IF(Table1[[#This Row],[Days on Market]] &lt; 30,"Fast",IF(Table1[[#This Row],[Days on Market]]&lt;= 90,"Average", "Slow"))</f>
        <v>Fast</v>
      </c>
      <c r="T872" t="str">
        <f>IF(Table1[[#This Row],[Price2]]&lt;500000,"Affordable",IF(Table1[[#This Row],[Price2]]&lt;1000000,"Mid range","Luxury"))</f>
        <v>Mid range</v>
      </c>
    </row>
    <row r="873" spans="1:20" x14ac:dyDescent="0.35">
      <c r="A873" s="3">
        <v>527238</v>
      </c>
      <c r="B873" s="2" t="s">
        <v>27</v>
      </c>
      <c r="C873">
        <v>63443</v>
      </c>
      <c r="D873" s="2" t="s">
        <v>29</v>
      </c>
      <c r="E873">
        <v>4</v>
      </c>
      <c r="F873">
        <v>4</v>
      </c>
      <c r="G873" s="4">
        <f>VALUE(SUBSTITUTE(SUBSTITUTE(Table1[[#This Row],[Price]],"$",""),",",""))</f>
        <v>527238</v>
      </c>
      <c r="H873" s="1">
        <f>Table1[[#This Row],[Price2]]/Table1[[#This Row],[Area]]</f>
        <v>166.63653603034135</v>
      </c>
      <c r="I873">
        <v>3164</v>
      </c>
      <c r="J873">
        <v>1955</v>
      </c>
      <c r="K873">
        <v>33</v>
      </c>
      <c r="L873" t="s">
        <v>40</v>
      </c>
      <c r="M873" t="s">
        <v>50</v>
      </c>
      <c r="N873" s="2" t="s">
        <v>3035</v>
      </c>
      <c r="O873" t="s">
        <v>3036</v>
      </c>
      <c r="P873" t="s">
        <v>26</v>
      </c>
      <c r="Q873">
        <v>166.63653603034135</v>
      </c>
      <c r="R873">
        <f ca="1">YEAR(TODAY())-Table1[[#This Row],[Year Built]]</f>
        <v>71</v>
      </c>
      <c r="S873" t="str">
        <f>IF(Table1[[#This Row],[Days on Market]] &lt; 30,"Fast",IF(Table1[[#This Row],[Days on Market]]&lt;= 90,"Average", "Slow"))</f>
        <v>Average</v>
      </c>
      <c r="T873" t="str">
        <f>IF(Table1[[#This Row],[Price2]]&lt;500000,"Affordable",IF(Table1[[#This Row],[Price2]]&lt;1000000,"Mid range","Luxury"))</f>
        <v>Mid range</v>
      </c>
    </row>
    <row r="874" spans="1:20" x14ac:dyDescent="0.35">
      <c r="A874" s="3">
        <v>527252</v>
      </c>
      <c r="B874" s="2" t="s">
        <v>27</v>
      </c>
      <c r="C874">
        <v>95297</v>
      </c>
      <c r="D874" s="2" t="s">
        <v>29</v>
      </c>
      <c r="E874">
        <v>3</v>
      </c>
      <c r="F874">
        <v>1</v>
      </c>
      <c r="G874" s="4">
        <f>VALUE(SUBSTITUTE(SUBSTITUTE(Table1[[#This Row],[Price]],"$",""),",",""))</f>
        <v>527252</v>
      </c>
      <c r="H874" s="1">
        <f>Table1[[#This Row],[Price2]]/Table1[[#This Row],[Area]]</f>
        <v>565.72103004291841</v>
      </c>
      <c r="I874">
        <v>932</v>
      </c>
      <c r="J874">
        <v>1966</v>
      </c>
      <c r="K874">
        <v>47</v>
      </c>
      <c r="L874" t="s">
        <v>52</v>
      </c>
      <c r="M874" t="s">
        <v>2385</v>
      </c>
      <c r="N874" s="2" t="s">
        <v>3033</v>
      </c>
      <c r="O874" t="s">
        <v>3034</v>
      </c>
      <c r="P874" t="s">
        <v>26</v>
      </c>
      <c r="Q874">
        <v>565.72103004291841</v>
      </c>
      <c r="R874">
        <f ca="1">YEAR(TODAY())-Table1[[#This Row],[Year Built]]</f>
        <v>60</v>
      </c>
      <c r="S874" t="str">
        <f>IF(Table1[[#This Row],[Days on Market]] &lt; 30,"Fast",IF(Table1[[#This Row],[Days on Market]]&lt;= 90,"Average", "Slow"))</f>
        <v>Average</v>
      </c>
      <c r="T874" t="str">
        <f>IF(Table1[[#This Row],[Price2]]&lt;500000,"Affordable",IF(Table1[[#This Row],[Price2]]&lt;1000000,"Mid range","Luxury"))</f>
        <v>Mid range</v>
      </c>
    </row>
    <row r="875" spans="1:20" x14ac:dyDescent="0.35">
      <c r="A875" s="3">
        <v>529982</v>
      </c>
      <c r="B875" s="2" t="s">
        <v>17</v>
      </c>
      <c r="C875">
        <v>92928</v>
      </c>
      <c r="D875" s="2" t="s">
        <v>13</v>
      </c>
      <c r="E875">
        <v>5</v>
      </c>
      <c r="F875">
        <v>2</v>
      </c>
      <c r="G875" s="4">
        <f>VALUE(SUBSTITUTE(SUBSTITUTE(Table1[[#This Row],[Price]],"$",""),",",""))</f>
        <v>529982</v>
      </c>
      <c r="H875" s="1">
        <f>Table1[[#This Row],[Price2]]/Table1[[#This Row],[Area]]</f>
        <v>143.78241996744438</v>
      </c>
      <c r="I875">
        <v>3686</v>
      </c>
      <c r="J875">
        <v>2007</v>
      </c>
      <c r="K875">
        <v>54</v>
      </c>
      <c r="L875" t="s">
        <v>40</v>
      </c>
      <c r="M875" t="s">
        <v>912</v>
      </c>
      <c r="N875" s="2" t="s">
        <v>3033</v>
      </c>
      <c r="O875" t="s">
        <v>3034</v>
      </c>
      <c r="P875" t="s">
        <v>26</v>
      </c>
      <c r="Q875">
        <v>143.78241996744438</v>
      </c>
      <c r="R875">
        <f ca="1">YEAR(TODAY())-Table1[[#This Row],[Year Built]]</f>
        <v>19</v>
      </c>
      <c r="S875" t="str">
        <f>IF(Table1[[#This Row],[Days on Market]] &lt; 30,"Fast",IF(Table1[[#This Row],[Days on Market]]&lt;= 90,"Average", "Slow"))</f>
        <v>Average</v>
      </c>
      <c r="T875" t="str">
        <f>IF(Table1[[#This Row],[Price2]]&lt;500000,"Affordable",IF(Table1[[#This Row],[Price2]]&lt;1000000,"Mid range","Luxury"))</f>
        <v>Mid range</v>
      </c>
    </row>
    <row r="876" spans="1:20" x14ac:dyDescent="0.35">
      <c r="A876" s="3">
        <v>530184</v>
      </c>
      <c r="B876" s="2" t="s">
        <v>12</v>
      </c>
      <c r="C876">
        <v>55913</v>
      </c>
      <c r="D876" s="2" t="s">
        <v>29</v>
      </c>
      <c r="E876">
        <v>2</v>
      </c>
      <c r="F876">
        <v>3</v>
      </c>
      <c r="G876" s="4">
        <f>VALUE(SUBSTITUTE(SUBSTITUTE(Table1[[#This Row],[Price]],"$",""),",",""))</f>
        <v>530184</v>
      </c>
      <c r="H876" s="1">
        <f>Table1[[#This Row],[Price2]]/Table1[[#This Row],[Area]]</f>
        <v>667.73803526448364</v>
      </c>
      <c r="I876">
        <v>794</v>
      </c>
      <c r="J876">
        <v>1964</v>
      </c>
      <c r="K876">
        <v>60</v>
      </c>
      <c r="L876" t="s">
        <v>14</v>
      </c>
      <c r="M876" t="s">
        <v>1016</v>
      </c>
      <c r="N876" s="2" t="s">
        <v>3031</v>
      </c>
      <c r="O876" t="s">
        <v>3032</v>
      </c>
      <c r="P876" t="s">
        <v>26</v>
      </c>
      <c r="Q876">
        <v>667.73803526448364</v>
      </c>
      <c r="R876">
        <f ca="1">YEAR(TODAY())-Table1[[#This Row],[Year Built]]</f>
        <v>62</v>
      </c>
      <c r="S876" t="str">
        <f>IF(Table1[[#This Row],[Days on Market]] &lt; 30,"Fast",IF(Table1[[#This Row],[Days on Market]]&lt;= 90,"Average", "Slow"))</f>
        <v>Average</v>
      </c>
      <c r="T876" t="str">
        <f>IF(Table1[[#This Row],[Price2]]&lt;500000,"Affordable",IF(Table1[[#This Row],[Price2]]&lt;1000000,"Mid range","Luxury"))</f>
        <v>Mid range</v>
      </c>
    </row>
    <row r="877" spans="1:20" x14ac:dyDescent="0.35">
      <c r="A877" s="3">
        <v>530400</v>
      </c>
      <c r="B877" s="2" t="s">
        <v>34</v>
      </c>
      <c r="C877">
        <v>29586</v>
      </c>
      <c r="D877" s="2" t="s">
        <v>29</v>
      </c>
      <c r="E877">
        <v>6</v>
      </c>
      <c r="F877">
        <v>4</v>
      </c>
      <c r="G877" s="4">
        <f>VALUE(SUBSTITUTE(SUBSTITUTE(Table1[[#This Row],[Price]],"$",""),",",""))</f>
        <v>530400</v>
      </c>
      <c r="H877" s="1">
        <f>Table1[[#This Row],[Price2]]/Table1[[#This Row],[Area]]</f>
        <v>193.64731653888279</v>
      </c>
      <c r="I877">
        <v>2739</v>
      </c>
      <c r="J877">
        <v>1972</v>
      </c>
      <c r="K877">
        <v>58</v>
      </c>
      <c r="L877" t="s">
        <v>19</v>
      </c>
      <c r="M877" t="s">
        <v>598</v>
      </c>
      <c r="N877" s="2" t="s">
        <v>3035</v>
      </c>
      <c r="O877" t="s">
        <v>3036</v>
      </c>
      <c r="P877" t="s">
        <v>26</v>
      </c>
      <c r="Q877">
        <v>193.64731653888279</v>
      </c>
      <c r="R877">
        <f ca="1">YEAR(TODAY())-Table1[[#This Row],[Year Built]]</f>
        <v>54</v>
      </c>
      <c r="S877" t="str">
        <f>IF(Table1[[#This Row],[Days on Market]] &lt; 30,"Fast",IF(Table1[[#This Row],[Days on Market]]&lt;= 90,"Average", "Slow"))</f>
        <v>Average</v>
      </c>
      <c r="T877" t="str">
        <f>IF(Table1[[#This Row],[Price2]]&lt;500000,"Affordable",IF(Table1[[#This Row],[Price2]]&lt;1000000,"Mid range","Luxury"))</f>
        <v>Mid range</v>
      </c>
    </row>
    <row r="878" spans="1:20" x14ac:dyDescent="0.35">
      <c r="A878" s="3">
        <v>530558</v>
      </c>
      <c r="B878" s="2" t="s">
        <v>34</v>
      </c>
      <c r="C878">
        <v>88717</v>
      </c>
      <c r="D878" s="2" t="s">
        <v>18</v>
      </c>
      <c r="E878">
        <v>2</v>
      </c>
      <c r="F878">
        <v>4</v>
      </c>
      <c r="G878" s="4">
        <f>VALUE(SUBSTITUTE(SUBSTITUTE(Table1[[#This Row],[Price]],"$",""),",",""))</f>
        <v>530558</v>
      </c>
      <c r="H878" s="1">
        <f>Table1[[#This Row],[Price2]]/Table1[[#This Row],[Area]]</f>
        <v>483.64448495897904</v>
      </c>
      <c r="I878">
        <v>1097</v>
      </c>
      <c r="J878">
        <v>1964</v>
      </c>
      <c r="K878">
        <v>82</v>
      </c>
      <c r="L878" t="s">
        <v>30</v>
      </c>
      <c r="M878" t="s">
        <v>2489</v>
      </c>
      <c r="N878" s="2" t="s">
        <v>3027</v>
      </c>
      <c r="O878" t="s">
        <v>3028</v>
      </c>
      <c r="P878" t="s">
        <v>16</v>
      </c>
      <c r="Q878">
        <v>483.64448495897904</v>
      </c>
      <c r="R878">
        <f ca="1">YEAR(TODAY())-Table1[[#This Row],[Year Built]]</f>
        <v>62</v>
      </c>
      <c r="S878" t="str">
        <f>IF(Table1[[#This Row],[Days on Market]] &lt; 30,"Fast",IF(Table1[[#This Row],[Days on Market]]&lt;= 90,"Average", "Slow"))</f>
        <v>Average</v>
      </c>
      <c r="T878" t="str">
        <f>IF(Table1[[#This Row],[Price2]]&lt;500000,"Affordable",IF(Table1[[#This Row],[Price2]]&lt;1000000,"Mid range","Luxury"))</f>
        <v>Mid range</v>
      </c>
    </row>
    <row r="879" spans="1:20" x14ac:dyDescent="0.35">
      <c r="A879" s="3">
        <v>531098</v>
      </c>
      <c r="B879" s="2" t="s">
        <v>17</v>
      </c>
      <c r="C879">
        <v>51303</v>
      </c>
      <c r="D879" s="2" t="s">
        <v>18</v>
      </c>
      <c r="E879">
        <v>1</v>
      </c>
      <c r="F879">
        <v>3</v>
      </c>
      <c r="G879" s="4">
        <f>VALUE(SUBSTITUTE(SUBSTITUTE(Table1[[#This Row],[Price]],"$",""),",",""))</f>
        <v>531098</v>
      </c>
      <c r="H879" s="1">
        <f>Table1[[#This Row],[Price2]]/Table1[[#This Row],[Area]]</f>
        <v>159.39315726290516</v>
      </c>
      <c r="I879">
        <v>3332</v>
      </c>
      <c r="J879">
        <v>1958</v>
      </c>
      <c r="K879">
        <v>9</v>
      </c>
      <c r="L879" t="s">
        <v>52</v>
      </c>
      <c r="M879" t="s">
        <v>1658</v>
      </c>
      <c r="N879" s="2" t="s">
        <v>3027</v>
      </c>
      <c r="O879" t="s">
        <v>3028</v>
      </c>
      <c r="P879" t="s">
        <v>21</v>
      </c>
      <c r="Q879">
        <v>159.39315726290516</v>
      </c>
      <c r="R879">
        <f ca="1">YEAR(TODAY())-Table1[[#This Row],[Year Built]]</f>
        <v>68</v>
      </c>
      <c r="S879" t="str">
        <f>IF(Table1[[#This Row],[Days on Market]] &lt; 30,"Fast",IF(Table1[[#This Row],[Days on Market]]&lt;= 90,"Average", "Slow"))</f>
        <v>Fast</v>
      </c>
      <c r="T879" t="str">
        <f>IF(Table1[[#This Row],[Price2]]&lt;500000,"Affordable",IF(Table1[[#This Row],[Price2]]&lt;1000000,"Mid range","Luxury"))</f>
        <v>Mid range</v>
      </c>
    </row>
    <row r="880" spans="1:20" x14ac:dyDescent="0.35">
      <c r="A880" s="3">
        <v>533002</v>
      </c>
      <c r="B880" s="2" t="s">
        <v>34</v>
      </c>
      <c r="C880">
        <v>74937</v>
      </c>
      <c r="D880" s="2" t="s">
        <v>23</v>
      </c>
      <c r="E880">
        <v>6</v>
      </c>
      <c r="F880">
        <v>4</v>
      </c>
      <c r="G880" s="4">
        <f>VALUE(SUBSTITUTE(SUBSTITUTE(Table1[[#This Row],[Price]],"$",""),",",""))</f>
        <v>533002</v>
      </c>
      <c r="H880" s="1">
        <f>Table1[[#This Row],[Price2]]/Table1[[#This Row],[Area]]</f>
        <v>159.6292303084756</v>
      </c>
      <c r="I880">
        <v>3339</v>
      </c>
      <c r="J880">
        <v>1995</v>
      </c>
      <c r="K880">
        <v>9</v>
      </c>
      <c r="L880" t="s">
        <v>14</v>
      </c>
      <c r="M880" t="s">
        <v>2553</v>
      </c>
      <c r="N880" s="2" t="s">
        <v>3033</v>
      </c>
      <c r="O880" t="s">
        <v>3034</v>
      </c>
      <c r="P880" t="s">
        <v>16</v>
      </c>
      <c r="Q880">
        <v>159.6292303084756</v>
      </c>
      <c r="R880">
        <f ca="1">YEAR(TODAY())-Table1[[#This Row],[Year Built]]</f>
        <v>31</v>
      </c>
      <c r="S880" t="str">
        <f>IF(Table1[[#This Row],[Days on Market]] &lt; 30,"Fast",IF(Table1[[#This Row],[Days on Market]]&lt;= 90,"Average", "Slow"))</f>
        <v>Fast</v>
      </c>
      <c r="T880" t="str">
        <f>IF(Table1[[#This Row],[Price2]]&lt;500000,"Affordable",IF(Table1[[#This Row],[Price2]]&lt;1000000,"Mid range","Luxury"))</f>
        <v>Mid range</v>
      </c>
    </row>
    <row r="881" spans="1:20" x14ac:dyDescent="0.35">
      <c r="A881" s="3">
        <v>533084</v>
      </c>
      <c r="B881" s="2" t="s">
        <v>17</v>
      </c>
      <c r="C881">
        <v>46347</v>
      </c>
      <c r="D881" s="2" t="s">
        <v>35</v>
      </c>
      <c r="E881">
        <v>3</v>
      </c>
      <c r="F881">
        <v>1</v>
      </c>
      <c r="G881" s="4">
        <f>VALUE(SUBSTITUTE(SUBSTITUTE(Table1[[#This Row],[Price]],"$",""),",",""))</f>
        <v>533084</v>
      </c>
      <c r="H881" s="1">
        <f>Table1[[#This Row],[Price2]]/Table1[[#This Row],[Area]]</f>
        <v>645.38014527845041</v>
      </c>
      <c r="I881">
        <v>826</v>
      </c>
      <c r="J881">
        <v>2018</v>
      </c>
      <c r="K881">
        <v>55</v>
      </c>
      <c r="L881" t="s">
        <v>52</v>
      </c>
      <c r="M881" t="s">
        <v>1553</v>
      </c>
      <c r="N881" s="2" t="s">
        <v>3035</v>
      </c>
      <c r="O881" t="s">
        <v>3036</v>
      </c>
      <c r="P881" t="s">
        <v>16</v>
      </c>
      <c r="Q881">
        <v>645.38014527845041</v>
      </c>
      <c r="R881">
        <f ca="1">YEAR(TODAY())-Table1[[#This Row],[Year Built]]</f>
        <v>8</v>
      </c>
      <c r="S881" t="str">
        <f>IF(Table1[[#This Row],[Days on Market]] &lt; 30,"Fast",IF(Table1[[#This Row],[Days on Market]]&lt;= 90,"Average", "Slow"))</f>
        <v>Average</v>
      </c>
      <c r="T881" t="str">
        <f>IF(Table1[[#This Row],[Price2]]&lt;500000,"Affordable",IF(Table1[[#This Row],[Price2]]&lt;1000000,"Mid range","Luxury"))</f>
        <v>Mid range</v>
      </c>
    </row>
    <row r="882" spans="1:20" x14ac:dyDescent="0.35">
      <c r="A882" s="3">
        <v>533645</v>
      </c>
      <c r="B882" s="2" t="s">
        <v>34</v>
      </c>
      <c r="C882">
        <v>95184</v>
      </c>
      <c r="D882" s="2" t="s">
        <v>29</v>
      </c>
      <c r="E882">
        <v>3</v>
      </c>
      <c r="F882">
        <v>2</v>
      </c>
      <c r="G882" s="4">
        <f>VALUE(SUBSTITUTE(SUBSTITUTE(Table1[[#This Row],[Price]],"$",""),",",""))</f>
        <v>533645</v>
      </c>
      <c r="H882" s="1">
        <f>Table1[[#This Row],[Price2]]/Table1[[#This Row],[Area]]</f>
        <v>212.35376044568244</v>
      </c>
      <c r="I882">
        <v>2513</v>
      </c>
      <c r="J882">
        <v>1982</v>
      </c>
      <c r="K882">
        <v>68</v>
      </c>
      <c r="L882" t="s">
        <v>52</v>
      </c>
      <c r="M882" t="s">
        <v>999</v>
      </c>
      <c r="N882" s="2" t="s">
        <v>3031</v>
      </c>
      <c r="O882" t="s">
        <v>3032</v>
      </c>
      <c r="P882" t="s">
        <v>16</v>
      </c>
      <c r="Q882">
        <v>212.35376044568244</v>
      </c>
      <c r="R882">
        <f ca="1">YEAR(TODAY())-Table1[[#This Row],[Year Built]]</f>
        <v>44</v>
      </c>
      <c r="S882" t="str">
        <f>IF(Table1[[#This Row],[Days on Market]] &lt; 30,"Fast",IF(Table1[[#This Row],[Days on Market]]&lt;= 90,"Average", "Slow"))</f>
        <v>Average</v>
      </c>
      <c r="T882" t="str">
        <f>IF(Table1[[#This Row],[Price2]]&lt;500000,"Affordable",IF(Table1[[#This Row],[Price2]]&lt;1000000,"Mid range","Luxury"))</f>
        <v>Mid range</v>
      </c>
    </row>
    <row r="883" spans="1:20" x14ac:dyDescent="0.35">
      <c r="A883" s="3">
        <v>534310</v>
      </c>
      <c r="B883" s="2" t="s">
        <v>34</v>
      </c>
      <c r="C883">
        <v>82969</v>
      </c>
      <c r="D883" s="2" t="s">
        <v>13</v>
      </c>
      <c r="E883">
        <v>6</v>
      </c>
      <c r="F883">
        <v>1</v>
      </c>
      <c r="G883" s="4">
        <f>VALUE(SUBSTITUTE(SUBSTITUTE(Table1[[#This Row],[Price]],"$",""),",",""))</f>
        <v>534310</v>
      </c>
      <c r="H883" s="1">
        <f>Table1[[#This Row],[Price2]]/Table1[[#This Row],[Area]]</f>
        <v>229.41605839416059</v>
      </c>
      <c r="I883">
        <v>2329</v>
      </c>
      <c r="J883">
        <v>1962</v>
      </c>
      <c r="K883">
        <v>32</v>
      </c>
      <c r="L883" t="s">
        <v>30</v>
      </c>
      <c r="M883" t="s">
        <v>653</v>
      </c>
      <c r="N883" s="2" t="s">
        <v>3029</v>
      </c>
      <c r="O883" t="s">
        <v>3030</v>
      </c>
      <c r="P883" t="s">
        <v>21</v>
      </c>
      <c r="Q883">
        <v>229.41605839416059</v>
      </c>
      <c r="R883">
        <f ca="1">YEAR(TODAY())-Table1[[#This Row],[Year Built]]</f>
        <v>64</v>
      </c>
      <c r="S883" t="str">
        <f>IF(Table1[[#This Row],[Days on Market]] &lt; 30,"Fast",IF(Table1[[#This Row],[Days on Market]]&lt;= 90,"Average", "Slow"))</f>
        <v>Average</v>
      </c>
      <c r="T883" t="str">
        <f>IF(Table1[[#This Row],[Price2]]&lt;500000,"Affordable",IF(Table1[[#This Row],[Price2]]&lt;1000000,"Mid range","Luxury"))</f>
        <v>Mid range</v>
      </c>
    </row>
    <row r="884" spans="1:20" x14ac:dyDescent="0.35">
      <c r="A884" s="3">
        <v>534688</v>
      </c>
      <c r="B884" s="2" t="s">
        <v>34</v>
      </c>
      <c r="C884">
        <v>17359</v>
      </c>
      <c r="D884" s="2" t="s">
        <v>23</v>
      </c>
      <c r="E884">
        <v>3</v>
      </c>
      <c r="F884">
        <v>1</v>
      </c>
      <c r="G884" s="4">
        <f>VALUE(SUBSTITUTE(SUBSTITUTE(Table1[[#This Row],[Price]],"$",""),",",""))</f>
        <v>534688</v>
      </c>
      <c r="H884" s="1">
        <f>Table1[[#This Row],[Price2]]/Table1[[#This Row],[Area]]</f>
        <v>226.94736842105263</v>
      </c>
      <c r="I884">
        <v>2356</v>
      </c>
      <c r="J884">
        <v>1958</v>
      </c>
      <c r="K884">
        <v>114</v>
      </c>
      <c r="L884" t="s">
        <v>14</v>
      </c>
      <c r="M884" t="s">
        <v>46</v>
      </c>
      <c r="N884" s="2" t="s">
        <v>3033</v>
      </c>
      <c r="O884" t="s">
        <v>3034</v>
      </c>
      <c r="P884" t="s">
        <v>26</v>
      </c>
      <c r="Q884">
        <v>226.94736842105263</v>
      </c>
      <c r="R884">
        <f ca="1">YEAR(TODAY())-Table1[[#This Row],[Year Built]]</f>
        <v>68</v>
      </c>
      <c r="S884" t="str">
        <f>IF(Table1[[#This Row],[Days on Market]] &lt; 30,"Fast",IF(Table1[[#This Row],[Days on Market]]&lt;= 90,"Average", "Slow"))</f>
        <v>Slow</v>
      </c>
      <c r="T884" t="str">
        <f>IF(Table1[[#This Row],[Price2]]&lt;500000,"Affordable",IF(Table1[[#This Row],[Price2]]&lt;1000000,"Mid range","Luxury"))</f>
        <v>Mid range</v>
      </c>
    </row>
    <row r="885" spans="1:20" x14ac:dyDescent="0.35">
      <c r="A885" s="3">
        <v>535024</v>
      </c>
      <c r="B885" s="2" t="s">
        <v>17</v>
      </c>
      <c r="C885">
        <v>41971</v>
      </c>
      <c r="D885" s="2" t="s">
        <v>35</v>
      </c>
      <c r="E885">
        <v>4</v>
      </c>
      <c r="F885">
        <v>4</v>
      </c>
      <c r="G885" s="4">
        <f>VALUE(SUBSTITUTE(SUBSTITUTE(Table1[[#This Row],[Price]],"$",""),",",""))</f>
        <v>535024</v>
      </c>
      <c r="H885" s="1">
        <f>Table1[[#This Row],[Price2]]/Table1[[#This Row],[Area]]</f>
        <v>135.34631925120161</v>
      </c>
      <c r="I885">
        <v>3953</v>
      </c>
      <c r="J885">
        <v>2013</v>
      </c>
      <c r="K885">
        <v>11</v>
      </c>
      <c r="L885" t="s">
        <v>14</v>
      </c>
      <c r="M885" t="s">
        <v>1132</v>
      </c>
      <c r="N885" s="2" t="s">
        <v>3029</v>
      </c>
      <c r="O885" t="s">
        <v>3030</v>
      </c>
      <c r="P885" t="s">
        <v>21</v>
      </c>
      <c r="Q885">
        <v>135.34631925120161</v>
      </c>
      <c r="R885">
        <f ca="1">YEAR(TODAY())-Table1[[#This Row],[Year Built]]</f>
        <v>13</v>
      </c>
      <c r="S885" t="str">
        <f>IF(Table1[[#This Row],[Days on Market]] &lt; 30,"Fast",IF(Table1[[#This Row],[Days on Market]]&lt;= 90,"Average", "Slow"))</f>
        <v>Fast</v>
      </c>
      <c r="T885" t="str">
        <f>IF(Table1[[#This Row],[Price2]]&lt;500000,"Affordable",IF(Table1[[#This Row],[Price2]]&lt;1000000,"Mid range","Luxury"))</f>
        <v>Mid range</v>
      </c>
    </row>
    <row r="886" spans="1:20" x14ac:dyDescent="0.35">
      <c r="A886" s="3">
        <v>535463</v>
      </c>
      <c r="B886" s="2" t="s">
        <v>17</v>
      </c>
      <c r="C886">
        <v>17671</v>
      </c>
      <c r="D886" s="2" t="s">
        <v>13</v>
      </c>
      <c r="E886">
        <v>5</v>
      </c>
      <c r="F886">
        <v>4</v>
      </c>
      <c r="G886" s="4">
        <f>VALUE(SUBSTITUTE(SUBSTITUTE(Table1[[#This Row],[Price]],"$",""),",",""))</f>
        <v>535463</v>
      </c>
      <c r="H886" s="1">
        <f>Table1[[#This Row],[Price2]]/Table1[[#This Row],[Area]]</f>
        <v>592.98228128460687</v>
      </c>
      <c r="I886">
        <v>903</v>
      </c>
      <c r="J886">
        <v>1962</v>
      </c>
      <c r="K886">
        <v>37</v>
      </c>
      <c r="L886" t="s">
        <v>30</v>
      </c>
      <c r="M886" t="s">
        <v>609</v>
      </c>
      <c r="N886" s="2" t="s">
        <v>3033</v>
      </c>
      <c r="O886" t="s">
        <v>3034</v>
      </c>
      <c r="P886" t="s">
        <v>26</v>
      </c>
      <c r="Q886">
        <v>592.98228128460687</v>
      </c>
      <c r="R886">
        <f ca="1">YEAR(TODAY())-Table1[[#This Row],[Year Built]]</f>
        <v>64</v>
      </c>
      <c r="S886" t="str">
        <f>IF(Table1[[#This Row],[Days on Market]] &lt; 30,"Fast",IF(Table1[[#This Row],[Days on Market]]&lt;= 90,"Average", "Slow"))</f>
        <v>Average</v>
      </c>
      <c r="T886" t="str">
        <f>IF(Table1[[#This Row],[Price2]]&lt;500000,"Affordable",IF(Table1[[#This Row],[Price2]]&lt;1000000,"Mid range","Luxury"))</f>
        <v>Mid range</v>
      </c>
    </row>
    <row r="887" spans="1:20" x14ac:dyDescent="0.35">
      <c r="A887" s="3">
        <v>537103</v>
      </c>
      <c r="B887" s="2" t="s">
        <v>12</v>
      </c>
      <c r="C887">
        <v>81454</v>
      </c>
      <c r="D887" s="2" t="s">
        <v>29</v>
      </c>
      <c r="E887">
        <v>4</v>
      </c>
      <c r="F887">
        <v>1</v>
      </c>
      <c r="G887" s="4">
        <f>VALUE(SUBSTITUTE(SUBSTITUTE(Table1[[#This Row],[Price]],"$",""),",",""))</f>
        <v>537103</v>
      </c>
      <c r="H887" s="1">
        <f>Table1[[#This Row],[Price2]]/Table1[[#This Row],[Area]]</f>
        <v>201.16217228464419</v>
      </c>
      <c r="I887">
        <v>2670</v>
      </c>
      <c r="J887">
        <v>1958</v>
      </c>
      <c r="K887">
        <v>69</v>
      </c>
      <c r="L887" t="s">
        <v>30</v>
      </c>
      <c r="M887" t="s">
        <v>1416</v>
      </c>
      <c r="N887" s="2" t="s">
        <v>3029</v>
      </c>
      <c r="O887" t="s">
        <v>3030</v>
      </c>
      <c r="P887" t="s">
        <v>26</v>
      </c>
      <c r="Q887">
        <v>201.16217228464419</v>
      </c>
      <c r="R887">
        <f ca="1">YEAR(TODAY())-Table1[[#This Row],[Year Built]]</f>
        <v>68</v>
      </c>
      <c r="S887" t="str">
        <f>IF(Table1[[#This Row],[Days on Market]] &lt; 30,"Fast",IF(Table1[[#This Row],[Days on Market]]&lt;= 90,"Average", "Slow"))</f>
        <v>Average</v>
      </c>
      <c r="T887" t="str">
        <f>IF(Table1[[#This Row],[Price2]]&lt;500000,"Affordable",IF(Table1[[#This Row],[Price2]]&lt;1000000,"Mid range","Luxury"))</f>
        <v>Mid range</v>
      </c>
    </row>
    <row r="888" spans="1:20" x14ac:dyDescent="0.35">
      <c r="A888" s="3">
        <v>537598</v>
      </c>
      <c r="B888" s="2" t="s">
        <v>34</v>
      </c>
      <c r="C888">
        <v>11210</v>
      </c>
      <c r="D888" s="2" t="s">
        <v>18</v>
      </c>
      <c r="E888">
        <v>5</v>
      </c>
      <c r="F888">
        <v>2</v>
      </c>
      <c r="G888" s="4">
        <f>VALUE(SUBSTITUTE(SUBSTITUTE(Table1[[#This Row],[Price]],"$",""),",",""))</f>
        <v>537598</v>
      </c>
      <c r="H888" s="1">
        <f>Table1[[#This Row],[Price2]]/Table1[[#This Row],[Area]]</f>
        <v>145.53275582024906</v>
      </c>
      <c r="I888">
        <v>3694</v>
      </c>
      <c r="J888">
        <v>1973</v>
      </c>
      <c r="K888">
        <v>16</v>
      </c>
      <c r="L888" t="s">
        <v>52</v>
      </c>
      <c r="M888" t="s">
        <v>505</v>
      </c>
      <c r="N888" s="2" t="s">
        <v>3031</v>
      </c>
      <c r="O888" t="s">
        <v>3032</v>
      </c>
      <c r="P888" t="s">
        <v>16</v>
      </c>
      <c r="Q888">
        <v>145.53275582024906</v>
      </c>
      <c r="R888">
        <f ca="1">YEAR(TODAY())-Table1[[#This Row],[Year Built]]</f>
        <v>53</v>
      </c>
      <c r="S888" t="str">
        <f>IF(Table1[[#This Row],[Days on Market]] &lt; 30,"Fast",IF(Table1[[#This Row],[Days on Market]]&lt;= 90,"Average", "Slow"))</f>
        <v>Fast</v>
      </c>
      <c r="T888" t="str">
        <f>IF(Table1[[#This Row],[Price2]]&lt;500000,"Affordable",IF(Table1[[#This Row],[Price2]]&lt;1000000,"Mid range","Luxury"))</f>
        <v>Mid range</v>
      </c>
    </row>
    <row r="889" spans="1:20" x14ac:dyDescent="0.35">
      <c r="A889" s="3">
        <v>537863</v>
      </c>
      <c r="B889" s="2" t="s">
        <v>12</v>
      </c>
      <c r="C889">
        <v>50347</v>
      </c>
      <c r="D889" s="2" t="s">
        <v>13</v>
      </c>
      <c r="E889">
        <v>4</v>
      </c>
      <c r="F889">
        <v>3</v>
      </c>
      <c r="G889" s="4">
        <f>VALUE(SUBSTITUTE(SUBSTITUTE(Table1[[#This Row],[Price]],"$",""),",",""))</f>
        <v>537863</v>
      </c>
      <c r="H889" s="1">
        <f>Table1[[#This Row],[Price2]]/Table1[[#This Row],[Area]]</f>
        <v>148.74529867256638</v>
      </c>
      <c r="I889">
        <v>3616</v>
      </c>
      <c r="J889">
        <v>1990</v>
      </c>
      <c r="K889">
        <v>83</v>
      </c>
      <c r="L889" t="s">
        <v>40</v>
      </c>
      <c r="M889" t="s">
        <v>645</v>
      </c>
      <c r="N889" s="2" t="s">
        <v>3035</v>
      </c>
      <c r="O889" t="s">
        <v>3036</v>
      </c>
      <c r="P889" t="s">
        <v>26</v>
      </c>
      <c r="Q889">
        <v>148.74529867256638</v>
      </c>
      <c r="R889">
        <f ca="1">YEAR(TODAY())-Table1[[#This Row],[Year Built]]</f>
        <v>36</v>
      </c>
      <c r="S889" t="str">
        <f>IF(Table1[[#This Row],[Days on Market]] &lt; 30,"Fast",IF(Table1[[#This Row],[Days on Market]]&lt;= 90,"Average", "Slow"))</f>
        <v>Average</v>
      </c>
      <c r="T889" t="str">
        <f>IF(Table1[[#This Row],[Price2]]&lt;500000,"Affordable",IF(Table1[[#This Row],[Price2]]&lt;1000000,"Mid range","Luxury"))</f>
        <v>Mid range</v>
      </c>
    </row>
    <row r="890" spans="1:20" x14ac:dyDescent="0.35">
      <c r="A890" s="3">
        <v>539037</v>
      </c>
      <c r="B890" s="2" t="s">
        <v>12</v>
      </c>
      <c r="C890">
        <v>20161</v>
      </c>
      <c r="D890" s="2" t="s">
        <v>35</v>
      </c>
      <c r="E890">
        <v>1</v>
      </c>
      <c r="F890">
        <v>2</v>
      </c>
      <c r="G890" s="4">
        <f>VALUE(SUBSTITUTE(SUBSTITUTE(Table1[[#This Row],[Price]],"$",""),",",""))</f>
        <v>539037</v>
      </c>
      <c r="H890" s="1">
        <f>Table1[[#This Row],[Price2]]/Table1[[#This Row],[Area]]</f>
        <v>249.43868579361407</v>
      </c>
      <c r="I890">
        <v>2161</v>
      </c>
      <c r="J890">
        <v>1975</v>
      </c>
      <c r="K890">
        <v>45</v>
      </c>
      <c r="L890" t="s">
        <v>19</v>
      </c>
      <c r="M890" t="s">
        <v>670</v>
      </c>
      <c r="N890" s="2" t="s">
        <v>3029</v>
      </c>
      <c r="O890" t="s">
        <v>3030</v>
      </c>
      <c r="P890" t="s">
        <v>21</v>
      </c>
      <c r="Q890">
        <v>249.43868579361407</v>
      </c>
      <c r="R890">
        <f ca="1">YEAR(TODAY())-Table1[[#This Row],[Year Built]]</f>
        <v>51</v>
      </c>
      <c r="S890" t="str">
        <f>IF(Table1[[#This Row],[Days on Market]] &lt; 30,"Fast",IF(Table1[[#This Row],[Days on Market]]&lt;= 90,"Average", "Slow"))</f>
        <v>Average</v>
      </c>
      <c r="T890" t="str">
        <f>IF(Table1[[#This Row],[Price2]]&lt;500000,"Affordable",IF(Table1[[#This Row],[Price2]]&lt;1000000,"Mid range","Luxury"))</f>
        <v>Mid range</v>
      </c>
    </row>
    <row r="891" spans="1:20" x14ac:dyDescent="0.35">
      <c r="A891" s="3">
        <v>539489</v>
      </c>
      <c r="B891" s="2" t="s">
        <v>34</v>
      </c>
      <c r="C891">
        <v>51861</v>
      </c>
      <c r="D891" s="2" t="s">
        <v>29</v>
      </c>
      <c r="E891">
        <v>1</v>
      </c>
      <c r="F891">
        <v>2</v>
      </c>
      <c r="G891" s="4">
        <f>VALUE(SUBSTITUTE(SUBSTITUTE(Table1[[#This Row],[Price]],"$",""),",",""))</f>
        <v>539489</v>
      </c>
      <c r="H891" s="1">
        <f>Table1[[#This Row],[Price2]]/Table1[[#This Row],[Area]]</f>
        <v>223.02149648615131</v>
      </c>
      <c r="I891">
        <v>2419</v>
      </c>
      <c r="J891">
        <v>2013</v>
      </c>
      <c r="K891">
        <v>78</v>
      </c>
      <c r="L891" t="s">
        <v>19</v>
      </c>
      <c r="M891" t="s">
        <v>1162</v>
      </c>
      <c r="N891" s="2" t="s">
        <v>3031</v>
      </c>
      <c r="O891" t="s">
        <v>3032</v>
      </c>
      <c r="P891" t="s">
        <v>21</v>
      </c>
      <c r="Q891">
        <v>223.02149648615131</v>
      </c>
      <c r="R891">
        <f ca="1">YEAR(TODAY())-Table1[[#This Row],[Year Built]]</f>
        <v>13</v>
      </c>
      <c r="S891" t="str">
        <f>IF(Table1[[#This Row],[Days on Market]] &lt; 30,"Fast",IF(Table1[[#This Row],[Days on Market]]&lt;= 90,"Average", "Slow"))</f>
        <v>Average</v>
      </c>
      <c r="T891" t="str">
        <f>IF(Table1[[#This Row],[Price2]]&lt;500000,"Affordable",IF(Table1[[#This Row],[Price2]]&lt;1000000,"Mid range","Luxury"))</f>
        <v>Mid range</v>
      </c>
    </row>
    <row r="892" spans="1:20" x14ac:dyDescent="0.35">
      <c r="A892" s="3">
        <v>539722</v>
      </c>
      <c r="B892" s="2" t="s">
        <v>17</v>
      </c>
      <c r="C892">
        <v>74354</v>
      </c>
      <c r="D892" s="2" t="s">
        <v>35</v>
      </c>
      <c r="E892">
        <v>6</v>
      </c>
      <c r="F892">
        <v>4</v>
      </c>
      <c r="G892" s="4">
        <f>VALUE(SUBSTITUTE(SUBSTITUTE(Table1[[#This Row],[Price]],"$",""),",",""))</f>
        <v>539722</v>
      </c>
      <c r="H892" s="1">
        <f>Table1[[#This Row],[Price2]]/Table1[[#This Row],[Area]]</f>
        <v>199.74907475943746</v>
      </c>
      <c r="I892">
        <v>2702</v>
      </c>
      <c r="J892">
        <v>1972</v>
      </c>
      <c r="K892">
        <v>50</v>
      </c>
      <c r="L892" t="s">
        <v>14</v>
      </c>
      <c r="M892" t="s">
        <v>695</v>
      </c>
      <c r="N892" s="2" t="s">
        <v>3029</v>
      </c>
      <c r="O892" t="s">
        <v>3030</v>
      </c>
      <c r="P892" t="s">
        <v>26</v>
      </c>
      <c r="Q892">
        <v>199.74907475943746</v>
      </c>
      <c r="R892">
        <f ca="1">YEAR(TODAY())-Table1[[#This Row],[Year Built]]</f>
        <v>54</v>
      </c>
      <c r="S892" t="str">
        <f>IF(Table1[[#This Row],[Days on Market]] &lt; 30,"Fast",IF(Table1[[#This Row],[Days on Market]]&lt;= 90,"Average", "Slow"))</f>
        <v>Average</v>
      </c>
      <c r="T892" t="str">
        <f>IF(Table1[[#This Row],[Price2]]&lt;500000,"Affordable",IF(Table1[[#This Row],[Price2]]&lt;1000000,"Mid range","Luxury"))</f>
        <v>Mid range</v>
      </c>
    </row>
    <row r="893" spans="1:20" x14ac:dyDescent="0.35">
      <c r="A893" s="3">
        <v>540820</v>
      </c>
      <c r="B893" s="2" t="s">
        <v>22</v>
      </c>
      <c r="C893">
        <v>38759</v>
      </c>
      <c r="D893" s="2" t="s">
        <v>23</v>
      </c>
      <c r="E893">
        <v>5</v>
      </c>
      <c r="F893">
        <v>3</v>
      </c>
      <c r="G893" s="4">
        <f>VALUE(SUBSTITUTE(SUBSTITUTE(Table1[[#This Row],[Price]],"$",""),",",""))</f>
        <v>540820</v>
      </c>
      <c r="H893" s="1">
        <f>Table1[[#This Row],[Price2]]/Table1[[#This Row],[Area]]</f>
        <v>141.42782426778243</v>
      </c>
      <c r="I893">
        <v>3824</v>
      </c>
      <c r="J893">
        <v>1973</v>
      </c>
      <c r="K893">
        <v>29</v>
      </c>
      <c r="L893" t="s">
        <v>52</v>
      </c>
      <c r="M893" t="s">
        <v>250</v>
      </c>
      <c r="N893" s="2" t="s">
        <v>3033</v>
      </c>
      <c r="O893" t="s">
        <v>3034</v>
      </c>
      <c r="P893" t="s">
        <v>21</v>
      </c>
      <c r="Q893">
        <v>141.42782426778243</v>
      </c>
      <c r="R893">
        <f ca="1">YEAR(TODAY())-Table1[[#This Row],[Year Built]]</f>
        <v>53</v>
      </c>
      <c r="S893" t="str">
        <f>IF(Table1[[#This Row],[Days on Market]] &lt; 30,"Fast",IF(Table1[[#This Row],[Days on Market]]&lt;= 90,"Average", "Slow"))</f>
        <v>Fast</v>
      </c>
      <c r="T893" t="str">
        <f>IF(Table1[[#This Row],[Price2]]&lt;500000,"Affordable",IF(Table1[[#This Row],[Price2]]&lt;1000000,"Mid range","Luxury"))</f>
        <v>Mid range</v>
      </c>
    </row>
    <row r="894" spans="1:20" x14ac:dyDescent="0.35">
      <c r="A894" s="3">
        <v>541228</v>
      </c>
      <c r="B894" s="2" t="s">
        <v>34</v>
      </c>
      <c r="C894">
        <v>68868</v>
      </c>
      <c r="D894" s="2" t="s">
        <v>35</v>
      </c>
      <c r="E894">
        <v>5</v>
      </c>
      <c r="F894">
        <v>1</v>
      </c>
      <c r="G894" s="4">
        <f>VALUE(SUBSTITUTE(SUBSTITUTE(Table1[[#This Row],[Price]],"$",""),",",""))</f>
        <v>541228</v>
      </c>
      <c r="H894" s="1">
        <f>Table1[[#This Row],[Price2]]/Table1[[#This Row],[Area]]</f>
        <v>180.40933333333334</v>
      </c>
      <c r="I894">
        <v>3000</v>
      </c>
      <c r="J894">
        <v>1966</v>
      </c>
      <c r="K894">
        <v>87</v>
      </c>
      <c r="L894" t="s">
        <v>40</v>
      </c>
      <c r="M894" t="s">
        <v>535</v>
      </c>
      <c r="N894" s="2" t="s">
        <v>3033</v>
      </c>
      <c r="O894" t="s">
        <v>3034</v>
      </c>
      <c r="P894" t="s">
        <v>26</v>
      </c>
      <c r="Q894">
        <v>180.40933333333334</v>
      </c>
      <c r="R894">
        <f ca="1">YEAR(TODAY())-Table1[[#This Row],[Year Built]]</f>
        <v>60</v>
      </c>
      <c r="S894" t="str">
        <f>IF(Table1[[#This Row],[Days on Market]] &lt; 30,"Fast",IF(Table1[[#This Row],[Days on Market]]&lt;= 90,"Average", "Slow"))</f>
        <v>Average</v>
      </c>
      <c r="T894" t="str">
        <f>IF(Table1[[#This Row],[Price2]]&lt;500000,"Affordable",IF(Table1[[#This Row],[Price2]]&lt;1000000,"Mid range","Luxury"))</f>
        <v>Mid range</v>
      </c>
    </row>
    <row r="895" spans="1:20" x14ac:dyDescent="0.35">
      <c r="A895" s="3">
        <v>541666</v>
      </c>
      <c r="B895" s="2" t="s">
        <v>34</v>
      </c>
      <c r="C895">
        <v>31458</v>
      </c>
      <c r="D895" s="2" t="s">
        <v>29</v>
      </c>
      <c r="E895">
        <v>5</v>
      </c>
      <c r="F895">
        <v>4</v>
      </c>
      <c r="G895" s="4">
        <f>VALUE(SUBSTITUTE(SUBSTITUTE(Table1[[#This Row],[Price]],"$",""),",",""))</f>
        <v>541666</v>
      </c>
      <c r="H895" s="1">
        <f>Table1[[#This Row],[Price2]]/Table1[[#This Row],[Area]]</f>
        <v>152.32452193475817</v>
      </c>
      <c r="I895">
        <v>3556</v>
      </c>
      <c r="J895">
        <v>2022</v>
      </c>
      <c r="K895">
        <v>17</v>
      </c>
      <c r="L895" t="s">
        <v>14</v>
      </c>
      <c r="M895" t="s">
        <v>1703</v>
      </c>
      <c r="N895" s="2" t="s">
        <v>3031</v>
      </c>
      <c r="O895" t="s">
        <v>3032</v>
      </c>
      <c r="P895" t="s">
        <v>21</v>
      </c>
      <c r="Q895">
        <v>152.32452193475817</v>
      </c>
      <c r="R895">
        <f ca="1">YEAR(TODAY())-Table1[[#This Row],[Year Built]]</f>
        <v>4</v>
      </c>
      <c r="S895" t="str">
        <f>IF(Table1[[#This Row],[Days on Market]] &lt; 30,"Fast",IF(Table1[[#This Row],[Days on Market]]&lt;= 90,"Average", "Slow"))</f>
        <v>Fast</v>
      </c>
      <c r="T895" t="str">
        <f>IF(Table1[[#This Row],[Price2]]&lt;500000,"Affordable",IF(Table1[[#This Row],[Price2]]&lt;1000000,"Mid range","Luxury"))</f>
        <v>Mid range</v>
      </c>
    </row>
    <row r="896" spans="1:20" x14ac:dyDescent="0.35">
      <c r="A896" s="3">
        <v>541873</v>
      </c>
      <c r="B896" s="2" t="s">
        <v>34</v>
      </c>
      <c r="C896">
        <v>79825</v>
      </c>
      <c r="D896" s="2" t="s">
        <v>18</v>
      </c>
      <c r="E896">
        <v>1</v>
      </c>
      <c r="F896">
        <v>3</v>
      </c>
      <c r="G896" s="4">
        <f>VALUE(SUBSTITUTE(SUBSTITUTE(Table1[[#This Row],[Price]],"$",""),",",""))</f>
        <v>541873</v>
      </c>
      <c r="H896" s="1">
        <f>Table1[[#This Row],[Price2]]/Table1[[#This Row],[Area]]</f>
        <v>168.07475186104219</v>
      </c>
      <c r="I896">
        <v>3224</v>
      </c>
      <c r="J896">
        <v>1965</v>
      </c>
      <c r="K896">
        <v>100</v>
      </c>
      <c r="L896" t="s">
        <v>30</v>
      </c>
      <c r="M896" t="s">
        <v>2157</v>
      </c>
      <c r="N896" s="2" t="s">
        <v>3027</v>
      </c>
      <c r="O896" t="s">
        <v>3028</v>
      </c>
      <c r="P896" t="s">
        <v>26</v>
      </c>
      <c r="Q896">
        <v>168.07475186104219</v>
      </c>
      <c r="R896">
        <f ca="1">YEAR(TODAY())-Table1[[#This Row],[Year Built]]</f>
        <v>61</v>
      </c>
      <c r="S896" t="str">
        <f>IF(Table1[[#This Row],[Days on Market]] &lt; 30,"Fast",IF(Table1[[#This Row],[Days on Market]]&lt;= 90,"Average", "Slow"))</f>
        <v>Slow</v>
      </c>
      <c r="T896" t="str">
        <f>IF(Table1[[#This Row],[Price2]]&lt;500000,"Affordable",IF(Table1[[#This Row],[Price2]]&lt;1000000,"Mid range","Luxury"))</f>
        <v>Mid range</v>
      </c>
    </row>
    <row r="897" spans="1:20" x14ac:dyDescent="0.35">
      <c r="A897" s="3">
        <v>541910</v>
      </c>
      <c r="B897" s="2" t="s">
        <v>12</v>
      </c>
      <c r="C897">
        <v>62730</v>
      </c>
      <c r="D897" s="2" t="s">
        <v>35</v>
      </c>
      <c r="E897">
        <v>6</v>
      </c>
      <c r="F897">
        <v>2</v>
      </c>
      <c r="G897" s="4">
        <f>VALUE(SUBSTITUTE(SUBSTITUTE(Table1[[#This Row],[Price]],"$",""),",",""))</f>
        <v>541910</v>
      </c>
      <c r="H897" s="1">
        <f>Table1[[#This Row],[Price2]]/Table1[[#This Row],[Area]]</f>
        <v>173.85627205646455</v>
      </c>
      <c r="I897">
        <v>3117</v>
      </c>
      <c r="J897">
        <v>2015</v>
      </c>
      <c r="K897">
        <v>24</v>
      </c>
      <c r="L897" t="s">
        <v>40</v>
      </c>
      <c r="M897" t="s">
        <v>2677</v>
      </c>
      <c r="N897" s="2" t="s">
        <v>3035</v>
      </c>
      <c r="O897" t="s">
        <v>3036</v>
      </c>
      <c r="P897" t="s">
        <v>21</v>
      </c>
      <c r="Q897">
        <v>173.85627205646455</v>
      </c>
      <c r="R897">
        <f ca="1">YEAR(TODAY())-Table1[[#This Row],[Year Built]]</f>
        <v>11</v>
      </c>
      <c r="S897" t="str">
        <f>IF(Table1[[#This Row],[Days on Market]] &lt; 30,"Fast",IF(Table1[[#This Row],[Days on Market]]&lt;= 90,"Average", "Slow"))</f>
        <v>Fast</v>
      </c>
      <c r="T897" t="str">
        <f>IF(Table1[[#This Row],[Price2]]&lt;500000,"Affordable",IF(Table1[[#This Row],[Price2]]&lt;1000000,"Mid range","Luxury"))</f>
        <v>Mid range</v>
      </c>
    </row>
    <row r="898" spans="1:20" x14ac:dyDescent="0.35">
      <c r="A898" s="3">
        <v>542776</v>
      </c>
      <c r="B898" s="2" t="s">
        <v>27</v>
      </c>
      <c r="C898">
        <v>93184</v>
      </c>
      <c r="D898" s="2" t="s">
        <v>13</v>
      </c>
      <c r="E898">
        <v>1</v>
      </c>
      <c r="F898">
        <v>2</v>
      </c>
      <c r="G898" s="4">
        <f>VALUE(SUBSTITUTE(SUBSTITUTE(Table1[[#This Row],[Price]],"$",""),",",""))</f>
        <v>542776</v>
      </c>
      <c r="H898" s="1">
        <f>Table1[[#This Row],[Price2]]/Table1[[#This Row],[Area]]</f>
        <v>192.40552995391704</v>
      </c>
      <c r="I898">
        <v>2821</v>
      </c>
      <c r="J898">
        <v>1952</v>
      </c>
      <c r="K898">
        <v>18</v>
      </c>
      <c r="L898" t="s">
        <v>40</v>
      </c>
      <c r="M898" t="s">
        <v>1728</v>
      </c>
      <c r="N898" s="2" t="s">
        <v>3029</v>
      </c>
      <c r="O898" t="s">
        <v>3030</v>
      </c>
      <c r="P898" t="s">
        <v>16</v>
      </c>
      <c r="Q898">
        <v>192.40552995391704</v>
      </c>
      <c r="R898">
        <f ca="1">YEAR(TODAY())-Table1[[#This Row],[Year Built]]</f>
        <v>74</v>
      </c>
      <c r="S898" t="str">
        <f>IF(Table1[[#This Row],[Days on Market]] &lt; 30,"Fast",IF(Table1[[#This Row],[Days on Market]]&lt;= 90,"Average", "Slow"))</f>
        <v>Fast</v>
      </c>
      <c r="T898" t="str">
        <f>IF(Table1[[#This Row],[Price2]]&lt;500000,"Affordable",IF(Table1[[#This Row],[Price2]]&lt;1000000,"Mid range","Luxury"))</f>
        <v>Mid range</v>
      </c>
    </row>
    <row r="899" spans="1:20" x14ac:dyDescent="0.35">
      <c r="A899" s="3">
        <v>542852</v>
      </c>
      <c r="B899" s="2" t="s">
        <v>17</v>
      </c>
      <c r="C899">
        <v>23513</v>
      </c>
      <c r="D899" s="2" t="s">
        <v>13</v>
      </c>
      <c r="E899">
        <v>3</v>
      </c>
      <c r="F899">
        <v>1</v>
      </c>
      <c r="G899" s="4">
        <f>VALUE(SUBSTITUTE(SUBSTITUTE(Table1[[#This Row],[Price]],"$",""),",",""))</f>
        <v>542852</v>
      </c>
      <c r="H899" s="1">
        <f>Table1[[#This Row],[Price2]]/Table1[[#This Row],[Area]]</f>
        <v>379.61678321678323</v>
      </c>
      <c r="I899">
        <v>1430</v>
      </c>
      <c r="J899">
        <v>1988</v>
      </c>
      <c r="K899">
        <v>71</v>
      </c>
      <c r="L899" t="s">
        <v>19</v>
      </c>
      <c r="M899" t="s">
        <v>2757</v>
      </c>
      <c r="N899" s="2" t="s">
        <v>3027</v>
      </c>
      <c r="O899" t="s">
        <v>3028</v>
      </c>
      <c r="P899" t="s">
        <v>16</v>
      </c>
      <c r="Q899">
        <v>379.61678321678323</v>
      </c>
      <c r="R899">
        <f ca="1">YEAR(TODAY())-Table1[[#This Row],[Year Built]]</f>
        <v>38</v>
      </c>
      <c r="S899" t="str">
        <f>IF(Table1[[#This Row],[Days on Market]] &lt; 30,"Fast",IF(Table1[[#This Row],[Days on Market]]&lt;= 90,"Average", "Slow"))</f>
        <v>Average</v>
      </c>
      <c r="T899" t="str">
        <f>IF(Table1[[#This Row],[Price2]]&lt;500000,"Affordable",IF(Table1[[#This Row],[Price2]]&lt;1000000,"Mid range","Luxury"))</f>
        <v>Mid range</v>
      </c>
    </row>
    <row r="900" spans="1:20" x14ac:dyDescent="0.35">
      <c r="A900" s="3">
        <v>543804</v>
      </c>
      <c r="B900" s="2" t="s">
        <v>12</v>
      </c>
      <c r="C900">
        <v>19935</v>
      </c>
      <c r="D900" s="2" t="s">
        <v>13</v>
      </c>
      <c r="E900">
        <v>2</v>
      </c>
      <c r="F900">
        <v>2</v>
      </c>
      <c r="G900" s="4">
        <f>VALUE(SUBSTITUTE(SUBSTITUTE(Table1[[#This Row],[Price]],"$",""),",",""))</f>
        <v>543804</v>
      </c>
      <c r="H900" s="1">
        <f>Table1[[#This Row],[Price2]]/Table1[[#This Row],[Area]]</f>
        <v>145.71382636655949</v>
      </c>
      <c r="I900">
        <v>3732</v>
      </c>
      <c r="J900">
        <v>2019</v>
      </c>
      <c r="K900">
        <v>30</v>
      </c>
      <c r="L900" t="s">
        <v>30</v>
      </c>
      <c r="M900" t="s">
        <v>482</v>
      </c>
      <c r="N900" s="2" t="s">
        <v>3029</v>
      </c>
      <c r="O900" t="s">
        <v>3030</v>
      </c>
      <c r="P900" t="s">
        <v>26</v>
      </c>
      <c r="Q900">
        <v>145.71382636655949</v>
      </c>
      <c r="R900">
        <f ca="1">YEAR(TODAY())-Table1[[#This Row],[Year Built]]</f>
        <v>7</v>
      </c>
      <c r="S900" t="str">
        <f>IF(Table1[[#This Row],[Days on Market]] &lt; 30,"Fast",IF(Table1[[#This Row],[Days on Market]]&lt;= 90,"Average", "Slow"))</f>
        <v>Average</v>
      </c>
      <c r="T900" t="str">
        <f>IF(Table1[[#This Row],[Price2]]&lt;500000,"Affordable",IF(Table1[[#This Row],[Price2]]&lt;1000000,"Mid range","Luxury"))</f>
        <v>Mid range</v>
      </c>
    </row>
    <row r="901" spans="1:20" x14ac:dyDescent="0.35">
      <c r="A901" s="3">
        <v>543847</v>
      </c>
      <c r="B901" s="2" t="s">
        <v>27</v>
      </c>
      <c r="C901">
        <v>24009</v>
      </c>
      <c r="D901" s="2" t="s">
        <v>18</v>
      </c>
      <c r="E901">
        <v>5</v>
      </c>
      <c r="F901">
        <v>2</v>
      </c>
      <c r="G901" s="4">
        <f>VALUE(SUBSTITUTE(SUBSTITUTE(Table1[[#This Row],[Price]],"$",""),",",""))</f>
        <v>543847</v>
      </c>
      <c r="H901" s="1">
        <f>Table1[[#This Row],[Price2]]/Table1[[#This Row],[Area]]</f>
        <v>142.62968790978232</v>
      </c>
      <c r="I901">
        <v>3813</v>
      </c>
      <c r="J901">
        <v>1962</v>
      </c>
      <c r="K901">
        <v>114</v>
      </c>
      <c r="L901" t="s">
        <v>14</v>
      </c>
      <c r="M901" t="s">
        <v>757</v>
      </c>
      <c r="N901" s="2" t="s">
        <v>3031</v>
      </c>
      <c r="O901" t="s">
        <v>3032</v>
      </c>
      <c r="P901" t="s">
        <v>26</v>
      </c>
      <c r="Q901">
        <v>142.62968790978232</v>
      </c>
      <c r="R901">
        <f ca="1">YEAR(TODAY())-Table1[[#This Row],[Year Built]]</f>
        <v>64</v>
      </c>
      <c r="S901" t="str">
        <f>IF(Table1[[#This Row],[Days on Market]] &lt; 30,"Fast",IF(Table1[[#This Row],[Days on Market]]&lt;= 90,"Average", "Slow"))</f>
        <v>Slow</v>
      </c>
      <c r="T901" t="str">
        <f>IF(Table1[[#This Row],[Price2]]&lt;500000,"Affordable",IF(Table1[[#This Row],[Price2]]&lt;1000000,"Mid range","Luxury"))</f>
        <v>Mid range</v>
      </c>
    </row>
    <row r="902" spans="1:20" x14ac:dyDescent="0.35">
      <c r="A902" s="3">
        <v>543914</v>
      </c>
      <c r="B902" s="2" t="s">
        <v>27</v>
      </c>
      <c r="C902">
        <v>50049</v>
      </c>
      <c r="D902" s="2" t="s">
        <v>23</v>
      </c>
      <c r="E902">
        <v>6</v>
      </c>
      <c r="F902">
        <v>3</v>
      </c>
      <c r="G902" s="4">
        <f>VALUE(SUBSTITUTE(SUBSTITUTE(Table1[[#This Row],[Price]],"$",""),",",""))</f>
        <v>543914</v>
      </c>
      <c r="H902" s="1">
        <f>Table1[[#This Row],[Price2]]/Table1[[#This Row],[Area]]</f>
        <v>531.68523949169105</v>
      </c>
      <c r="I902">
        <v>1023</v>
      </c>
      <c r="J902">
        <v>1989</v>
      </c>
      <c r="K902">
        <v>39</v>
      </c>
      <c r="L902" t="s">
        <v>40</v>
      </c>
      <c r="M902" t="s">
        <v>2247</v>
      </c>
      <c r="N902" s="2" t="s">
        <v>3031</v>
      </c>
      <c r="O902" t="s">
        <v>3032</v>
      </c>
      <c r="P902" t="s">
        <v>26</v>
      </c>
      <c r="Q902">
        <v>531.68523949169105</v>
      </c>
      <c r="R902">
        <f ca="1">YEAR(TODAY())-Table1[[#This Row],[Year Built]]</f>
        <v>37</v>
      </c>
      <c r="S902" t="str">
        <f>IF(Table1[[#This Row],[Days on Market]] &lt; 30,"Fast",IF(Table1[[#This Row],[Days on Market]]&lt;= 90,"Average", "Slow"))</f>
        <v>Average</v>
      </c>
      <c r="T902" t="str">
        <f>IF(Table1[[#This Row],[Price2]]&lt;500000,"Affordable",IF(Table1[[#This Row],[Price2]]&lt;1000000,"Mid range","Luxury"))</f>
        <v>Mid range</v>
      </c>
    </row>
    <row r="903" spans="1:20" x14ac:dyDescent="0.35">
      <c r="A903" s="3">
        <v>543938</v>
      </c>
      <c r="B903" s="2" t="s">
        <v>17</v>
      </c>
      <c r="C903">
        <v>57201</v>
      </c>
      <c r="D903" s="2" t="s">
        <v>23</v>
      </c>
      <c r="E903">
        <v>5</v>
      </c>
      <c r="F903">
        <v>2</v>
      </c>
      <c r="G903" s="4">
        <f>VALUE(SUBSTITUTE(SUBSTITUTE(Table1[[#This Row],[Price]],"$",""),",",""))</f>
        <v>543938</v>
      </c>
      <c r="H903" s="1">
        <f>Table1[[#This Row],[Price2]]/Table1[[#This Row],[Area]]</f>
        <v>224.6749277158199</v>
      </c>
      <c r="I903">
        <v>2421</v>
      </c>
      <c r="J903">
        <v>2012</v>
      </c>
      <c r="K903">
        <v>106</v>
      </c>
      <c r="L903" t="s">
        <v>19</v>
      </c>
      <c r="M903" t="s">
        <v>2310</v>
      </c>
      <c r="N903" s="2" t="s">
        <v>3035</v>
      </c>
      <c r="O903" t="s">
        <v>3036</v>
      </c>
      <c r="P903" t="s">
        <v>21</v>
      </c>
      <c r="Q903">
        <v>224.6749277158199</v>
      </c>
      <c r="R903">
        <f ca="1">YEAR(TODAY())-Table1[[#This Row],[Year Built]]</f>
        <v>14</v>
      </c>
      <c r="S903" t="str">
        <f>IF(Table1[[#This Row],[Days on Market]] &lt; 30,"Fast",IF(Table1[[#This Row],[Days on Market]]&lt;= 90,"Average", "Slow"))</f>
        <v>Slow</v>
      </c>
      <c r="T903" t="str">
        <f>IF(Table1[[#This Row],[Price2]]&lt;500000,"Affordable",IF(Table1[[#This Row],[Price2]]&lt;1000000,"Mid range","Luxury"))</f>
        <v>Mid range</v>
      </c>
    </row>
    <row r="904" spans="1:20" x14ac:dyDescent="0.35">
      <c r="A904" s="3">
        <v>544557</v>
      </c>
      <c r="B904" s="2" t="s">
        <v>27</v>
      </c>
      <c r="C904">
        <v>43095</v>
      </c>
      <c r="D904" s="2" t="s">
        <v>13</v>
      </c>
      <c r="E904">
        <v>3</v>
      </c>
      <c r="F904">
        <v>4</v>
      </c>
      <c r="G904" s="4">
        <f>VALUE(SUBSTITUTE(SUBSTITUTE(Table1[[#This Row],[Price]],"$",""),",",""))</f>
        <v>544557</v>
      </c>
      <c r="H904" s="1">
        <f>Table1[[#This Row],[Price2]]/Table1[[#This Row],[Area]]</f>
        <v>137.93237082066869</v>
      </c>
      <c r="I904">
        <v>3948</v>
      </c>
      <c r="J904">
        <v>1976</v>
      </c>
      <c r="K904">
        <v>113</v>
      </c>
      <c r="L904" t="s">
        <v>30</v>
      </c>
      <c r="M904" t="s">
        <v>2731</v>
      </c>
      <c r="N904" s="2" t="s">
        <v>3033</v>
      </c>
      <c r="O904" t="s">
        <v>3034</v>
      </c>
      <c r="P904" t="s">
        <v>21</v>
      </c>
      <c r="Q904">
        <v>137.93237082066869</v>
      </c>
      <c r="R904">
        <f ca="1">YEAR(TODAY())-Table1[[#This Row],[Year Built]]</f>
        <v>50</v>
      </c>
      <c r="S904" t="str">
        <f>IF(Table1[[#This Row],[Days on Market]] &lt; 30,"Fast",IF(Table1[[#This Row],[Days on Market]]&lt;= 90,"Average", "Slow"))</f>
        <v>Slow</v>
      </c>
      <c r="T904" t="str">
        <f>IF(Table1[[#This Row],[Price2]]&lt;500000,"Affordable",IF(Table1[[#This Row],[Price2]]&lt;1000000,"Mid range","Luxury"))</f>
        <v>Mid range</v>
      </c>
    </row>
    <row r="905" spans="1:20" x14ac:dyDescent="0.35">
      <c r="A905" s="3">
        <v>545103</v>
      </c>
      <c r="B905" s="2" t="s">
        <v>34</v>
      </c>
      <c r="C905">
        <v>62739</v>
      </c>
      <c r="D905" s="2" t="s">
        <v>23</v>
      </c>
      <c r="E905">
        <v>2</v>
      </c>
      <c r="F905">
        <v>1</v>
      </c>
      <c r="G905" s="4">
        <f>VALUE(SUBSTITUTE(SUBSTITUTE(Table1[[#This Row],[Price]],"$",""),",",""))</f>
        <v>545103</v>
      </c>
      <c r="H905" s="1">
        <f>Table1[[#This Row],[Price2]]/Table1[[#This Row],[Area]]</f>
        <v>595.74098360655739</v>
      </c>
      <c r="I905">
        <v>915</v>
      </c>
      <c r="J905">
        <v>2012</v>
      </c>
      <c r="K905">
        <v>78</v>
      </c>
      <c r="L905" t="s">
        <v>30</v>
      </c>
      <c r="M905" t="s">
        <v>1151</v>
      </c>
      <c r="N905" s="2" t="s">
        <v>3033</v>
      </c>
      <c r="O905" t="s">
        <v>3034</v>
      </c>
      <c r="P905" t="s">
        <v>26</v>
      </c>
      <c r="Q905">
        <v>595.74098360655739</v>
      </c>
      <c r="R905">
        <f ca="1">YEAR(TODAY())-Table1[[#This Row],[Year Built]]</f>
        <v>14</v>
      </c>
      <c r="S905" t="str">
        <f>IF(Table1[[#This Row],[Days on Market]] &lt; 30,"Fast",IF(Table1[[#This Row],[Days on Market]]&lt;= 90,"Average", "Slow"))</f>
        <v>Average</v>
      </c>
      <c r="T905" t="str">
        <f>IF(Table1[[#This Row],[Price2]]&lt;500000,"Affordable",IF(Table1[[#This Row],[Price2]]&lt;1000000,"Mid range","Luxury"))</f>
        <v>Mid range</v>
      </c>
    </row>
    <row r="906" spans="1:20" x14ac:dyDescent="0.35">
      <c r="A906" s="3">
        <v>545380</v>
      </c>
      <c r="B906" s="2" t="s">
        <v>27</v>
      </c>
      <c r="C906">
        <v>35544</v>
      </c>
      <c r="D906" s="2" t="s">
        <v>13</v>
      </c>
      <c r="E906">
        <v>1</v>
      </c>
      <c r="F906">
        <v>3</v>
      </c>
      <c r="G906" s="4">
        <f>VALUE(SUBSTITUTE(SUBSTITUTE(Table1[[#This Row],[Price]],"$",""),",",""))</f>
        <v>545380</v>
      </c>
      <c r="H906" s="1">
        <f>Table1[[#This Row],[Price2]]/Table1[[#This Row],[Area]]</f>
        <v>267.73686794305348</v>
      </c>
      <c r="I906">
        <v>2037</v>
      </c>
      <c r="J906">
        <v>1972</v>
      </c>
      <c r="K906">
        <v>64</v>
      </c>
      <c r="L906" t="s">
        <v>19</v>
      </c>
      <c r="M906" t="s">
        <v>503</v>
      </c>
      <c r="N906" s="2" t="s">
        <v>3031</v>
      </c>
      <c r="O906" t="s">
        <v>3032</v>
      </c>
      <c r="P906" t="s">
        <v>16</v>
      </c>
      <c r="Q906">
        <v>267.73686794305348</v>
      </c>
      <c r="R906">
        <f ca="1">YEAR(TODAY())-Table1[[#This Row],[Year Built]]</f>
        <v>54</v>
      </c>
      <c r="S906" t="str">
        <f>IF(Table1[[#This Row],[Days on Market]] &lt; 30,"Fast",IF(Table1[[#This Row],[Days on Market]]&lt;= 90,"Average", "Slow"))</f>
        <v>Average</v>
      </c>
      <c r="T906" t="str">
        <f>IF(Table1[[#This Row],[Price2]]&lt;500000,"Affordable",IF(Table1[[#This Row],[Price2]]&lt;1000000,"Mid range","Luxury"))</f>
        <v>Mid range</v>
      </c>
    </row>
    <row r="907" spans="1:20" x14ac:dyDescent="0.35">
      <c r="A907" s="3">
        <v>546196</v>
      </c>
      <c r="B907" s="2" t="s">
        <v>27</v>
      </c>
      <c r="C907">
        <v>35408</v>
      </c>
      <c r="D907" s="2" t="s">
        <v>23</v>
      </c>
      <c r="E907">
        <v>2</v>
      </c>
      <c r="F907">
        <v>3</v>
      </c>
      <c r="G907" s="4">
        <f>VALUE(SUBSTITUTE(SUBSTITUTE(Table1[[#This Row],[Price]],"$",""),",",""))</f>
        <v>546196</v>
      </c>
      <c r="H907" s="1">
        <f>Table1[[#This Row],[Price2]]/Table1[[#This Row],[Area]]</f>
        <v>625.6540664375716</v>
      </c>
      <c r="I907">
        <v>873</v>
      </c>
      <c r="J907">
        <v>1984</v>
      </c>
      <c r="K907">
        <v>5</v>
      </c>
      <c r="L907" t="s">
        <v>40</v>
      </c>
      <c r="M907" t="s">
        <v>2662</v>
      </c>
      <c r="N907" s="2" t="s">
        <v>3035</v>
      </c>
      <c r="O907" t="s">
        <v>3036</v>
      </c>
      <c r="P907" t="s">
        <v>21</v>
      </c>
      <c r="Q907">
        <v>625.6540664375716</v>
      </c>
      <c r="R907">
        <f ca="1">YEAR(TODAY())-Table1[[#This Row],[Year Built]]</f>
        <v>42</v>
      </c>
      <c r="S907" t="str">
        <f>IF(Table1[[#This Row],[Days on Market]] &lt; 30,"Fast",IF(Table1[[#This Row],[Days on Market]]&lt;= 90,"Average", "Slow"))</f>
        <v>Fast</v>
      </c>
      <c r="T907" t="str">
        <f>IF(Table1[[#This Row],[Price2]]&lt;500000,"Affordable",IF(Table1[[#This Row],[Price2]]&lt;1000000,"Mid range","Luxury"))</f>
        <v>Mid range</v>
      </c>
    </row>
    <row r="908" spans="1:20" x14ac:dyDescent="0.35">
      <c r="A908" s="3">
        <v>546284</v>
      </c>
      <c r="B908" s="2" t="s">
        <v>12</v>
      </c>
      <c r="C908">
        <v>76029</v>
      </c>
      <c r="D908" s="2" t="s">
        <v>23</v>
      </c>
      <c r="E908">
        <v>4</v>
      </c>
      <c r="F908">
        <v>4</v>
      </c>
      <c r="G908" s="4">
        <f>VALUE(SUBSTITUTE(SUBSTITUTE(Table1[[#This Row],[Price]],"$",""),",",""))</f>
        <v>546284</v>
      </c>
      <c r="H908" s="1">
        <f>Table1[[#This Row],[Price2]]/Table1[[#This Row],[Area]]</f>
        <v>267.78627450980395</v>
      </c>
      <c r="I908">
        <v>2040</v>
      </c>
      <c r="J908">
        <v>2011</v>
      </c>
      <c r="K908">
        <v>113</v>
      </c>
      <c r="L908" t="s">
        <v>40</v>
      </c>
      <c r="M908" t="s">
        <v>703</v>
      </c>
      <c r="N908" s="2" t="s">
        <v>3031</v>
      </c>
      <c r="O908" t="s">
        <v>3032</v>
      </c>
      <c r="P908" t="s">
        <v>16</v>
      </c>
      <c r="Q908">
        <v>267.78627450980395</v>
      </c>
      <c r="R908">
        <f ca="1">YEAR(TODAY())-Table1[[#This Row],[Year Built]]</f>
        <v>15</v>
      </c>
      <c r="S908" t="str">
        <f>IF(Table1[[#This Row],[Days on Market]] &lt; 30,"Fast",IF(Table1[[#This Row],[Days on Market]]&lt;= 90,"Average", "Slow"))</f>
        <v>Slow</v>
      </c>
      <c r="T908" t="str">
        <f>IF(Table1[[#This Row],[Price2]]&lt;500000,"Affordable",IF(Table1[[#This Row],[Price2]]&lt;1000000,"Mid range","Luxury"))</f>
        <v>Mid range</v>
      </c>
    </row>
    <row r="909" spans="1:20" x14ac:dyDescent="0.35">
      <c r="A909" s="3">
        <v>546329</v>
      </c>
      <c r="B909" s="2" t="s">
        <v>12</v>
      </c>
      <c r="C909">
        <v>21852</v>
      </c>
      <c r="D909" s="2" t="s">
        <v>18</v>
      </c>
      <c r="E909">
        <v>4</v>
      </c>
      <c r="F909">
        <v>4</v>
      </c>
      <c r="G909" s="4">
        <f>VALUE(SUBSTITUTE(SUBSTITUTE(Table1[[#This Row],[Price]],"$",""),",",""))</f>
        <v>546329</v>
      </c>
      <c r="H909" s="1">
        <f>Table1[[#This Row],[Price2]]/Table1[[#This Row],[Area]]</f>
        <v>229.83971392511569</v>
      </c>
      <c r="I909">
        <v>2377</v>
      </c>
      <c r="J909">
        <v>1994</v>
      </c>
      <c r="K909">
        <v>80</v>
      </c>
      <c r="L909" t="s">
        <v>14</v>
      </c>
      <c r="M909" t="s">
        <v>476</v>
      </c>
      <c r="N909" s="2" t="s">
        <v>3027</v>
      </c>
      <c r="O909" t="s">
        <v>3028</v>
      </c>
      <c r="P909" t="s">
        <v>26</v>
      </c>
      <c r="Q909">
        <v>229.83971392511569</v>
      </c>
      <c r="R909">
        <f ca="1">YEAR(TODAY())-Table1[[#This Row],[Year Built]]</f>
        <v>32</v>
      </c>
      <c r="S909" t="str">
        <f>IF(Table1[[#This Row],[Days on Market]] &lt; 30,"Fast",IF(Table1[[#This Row],[Days on Market]]&lt;= 90,"Average", "Slow"))</f>
        <v>Average</v>
      </c>
      <c r="T909" t="str">
        <f>IF(Table1[[#This Row],[Price2]]&lt;500000,"Affordable",IF(Table1[[#This Row],[Price2]]&lt;1000000,"Mid range","Luxury"))</f>
        <v>Mid range</v>
      </c>
    </row>
    <row r="910" spans="1:20" x14ac:dyDescent="0.35">
      <c r="A910" s="3">
        <v>547298</v>
      </c>
      <c r="B910" s="2" t="s">
        <v>27</v>
      </c>
      <c r="C910">
        <v>81824</v>
      </c>
      <c r="D910" s="2" t="s">
        <v>18</v>
      </c>
      <c r="E910">
        <v>5</v>
      </c>
      <c r="F910">
        <v>4</v>
      </c>
      <c r="G910" s="4">
        <f>VALUE(SUBSTITUTE(SUBSTITUTE(Table1[[#This Row],[Price]],"$",""),",",""))</f>
        <v>547298</v>
      </c>
      <c r="H910" s="1">
        <f>Table1[[#This Row],[Price2]]/Table1[[#This Row],[Area]]</f>
        <v>170.12682623562324</v>
      </c>
      <c r="I910">
        <v>3217</v>
      </c>
      <c r="J910">
        <v>2007</v>
      </c>
      <c r="K910">
        <v>76</v>
      </c>
      <c r="L910" t="s">
        <v>40</v>
      </c>
      <c r="M910" t="s">
        <v>622</v>
      </c>
      <c r="N910" s="2" t="s">
        <v>3031</v>
      </c>
      <c r="O910" t="s">
        <v>3032</v>
      </c>
      <c r="P910" t="s">
        <v>26</v>
      </c>
      <c r="Q910">
        <v>170.12682623562324</v>
      </c>
      <c r="R910">
        <f ca="1">YEAR(TODAY())-Table1[[#This Row],[Year Built]]</f>
        <v>19</v>
      </c>
      <c r="S910" t="str">
        <f>IF(Table1[[#This Row],[Days on Market]] &lt; 30,"Fast",IF(Table1[[#This Row],[Days on Market]]&lt;= 90,"Average", "Slow"))</f>
        <v>Average</v>
      </c>
      <c r="T910" t="str">
        <f>IF(Table1[[#This Row],[Price2]]&lt;500000,"Affordable",IF(Table1[[#This Row],[Price2]]&lt;1000000,"Mid range","Luxury"))</f>
        <v>Mid range</v>
      </c>
    </row>
    <row r="911" spans="1:20" x14ac:dyDescent="0.35">
      <c r="A911" s="3">
        <v>547385</v>
      </c>
      <c r="B911" s="2" t="s">
        <v>17</v>
      </c>
      <c r="C911">
        <v>94096</v>
      </c>
      <c r="D911" s="2" t="s">
        <v>29</v>
      </c>
      <c r="E911">
        <v>1</v>
      </c>
      <c r="F911">
        <v>3</v>
      </c>
      <c r="G911" s="4">
        <f>VALUE(SUBSTITUTE(SUBSTITUTE(Table1[[#This Row],[Price]],"$",""),",",""))</f>
        <v>547385</v>
      </c>
      <c r="H911" s="1">
        <f>Table1[[#This Row],[Price2]]/Table1[[#This Row],[Area]]</f>
        <v>305.46037946428572</v>
      </c>
      <c r="I911">
        <v>1792</v>
      </c>
      <c r="J911">
        <v>1951</v>
      </c>
      <c r="K911">
        <v>41</v>
      </c>
      <c r="L911" t="s">
        <v>30</v>
      </c>
      <c r="M911" t="s">
        <v>2636</v>
      </c>
      <c r="N911" s="2" t="s">
        <v>3031</v>
      </c>
      <c r="O911" t="s">
        <v>3032</v>
      </c>
      <c r="P911" t="s">
        <v>16</v>
      </c>
      <c r="Q911">
        <v>305.46037946428572</v>
      </c>
      <c r="R911">
        <f ca="1">YEAR(TODAY())-Table1[[#This Row],[Year Built]]</f>
        <v>75</v>
      </c>
      <c r="S911" t="str">
        <f>IF(Table1[[#This Row],[Days on Market]] &lt; 30,"Fast",IF(Table1[[#This Row],[Days on Market]]&lt;= 90,"Average", "Slow"))</f>
        <v>Average</v>
      </c>
      <c r="T911" t="str">
        <f>IF(Table1[[#This Row],[Price2]]&lt;500000,"Affordable",IF(Table1[[#This Row],[Price2]]&lt;1000000,"Mid range","Luxury"))</f>
        <v>Mid range</v>
      </c>
    </row>
    <row r="912" spans="1:20" x14ac:dyDescent="0.35">
      <c r="A912" s="3">
        <v>547648</v>
      </c>
      <c r="B912" s="2" t="s">
        <v>12</v>
      </c>
      <c r="C912">
        <v>17597</v>
      </c>
      <c r="D912" s="2" t="s">
        <v>18</v>
      </c>
      <c r="E912">
        <v>4</v>
      </c>
      <c r="F912">
        <v>3</v>
      </c>
      <c r="G912" s="4">
        <f>VALUE(SUBSTITUTE(SUBSTITUTE(Table1[[#This Row],[Price]],"$",""),",",""))</f>
        <v>547648</v>
      </c>
      <c r="H912" s="1">
        <f>Table1[[#This Row],[Price2]]/Table1[[#This Row],[Area]]</f>
        <v>560.54042988741048</v>
      </c>
      <c r="I912">
        <v>977</v>
      </c>
      <c r="J912">
        <v>1993</v>
      </c>
      <c r="K912">
        <v>23</v>
      </c>
      <c r="L912" t="s">
        <v>52</v>
      </c>
      <c r="M912" t="s">
        <v>1962</v>
      </c>
      <c r="N912" s="2" t="s">
        <v>3031</v>
      </c>
      <c r="O912" t="s">
        <v>3032</v>
      </c>
      <c r="P912" t="s">
        <v>16</v>
      </c>
      <c r="Q912">
        <v>560.54042988741048</v>
      </c>
      <c r="R912">
        <f ca="1">YEAR(TODAY())-Table1[[#This Row],[Year Built]]</f>
        <v>33</v>
      </c>
      <c r="S912" t="str">
        <f>IF(Table1[[#This Row],[Days on Market]] &lt; 30,"Fast",IF(Table1[[#This Row],[Days on Market]]&lt;= 90,"Average", "Slow"))</f>
        <v>Fast</v>
      </c>
      <c r="T912" t="str">
        <f>IF(Table1[[#This Row],[Price2]]&lt;500000,"Affordable",IF(Table1[[#This Row],[Price2]]&lt;1000000,"Mid range","Luxury"))</f>
        <v>Mid range</v>
      </c>
    </row>
    <row r="913" spans="1:20" x14ac:dyDescent="0.35">
      <c r="A913" s="3">
        <v>547912</v>
      </c>
      <c r="B913" s="2" t="s">
        <v>27</v>
      </c>
      <c r="C913">
        <v>20851</v>
      </c>
      <c r="D913" s="2" t="s">
        <v>35</v>
      </c>
      <c r="E913">
        <v>3</v>
      </c>
      <c r="F913">
        <v>4</v>
      </c>
      <c r="G913" s="4">
        <f>VALUE(SUBSTITUTE(SUBSTITUTE(Table1[[#This Row],[Price]],"$",""),",",""))</f>
        <v>547912</v>
      </c>
      <c r="H913" s="1">
        <f>Table1[[#This Row],[Price2]]/Table1[[#This Row],[Area]]</f>
        <v>151.27332965212591</v>
      </c>
      <c r="I913">
        <v>3622</v>
      </c>
      <c r="J913">
        <v>1972</v>
      </c>
      <c r="K913">
        <v>13</v>
      </c>
      <c r="L913" t="s">
        <v>19</v>
      </c>
      <c r="M913" t="s">
        <v>2070</v>
      </c>
      <c r="N913" s="2" t="s">
        <v>3027</v>
      </c>
      <c r="O913" t="s">
        <v>3028</v>
      </c>
      <c r="P913" t="s">
        <v>16</v>
      </c>
      <c r="Q913">
        <v>151.27332965212591</v>
      </c>
      <c r="R913">
        <f ca="1">YEAR(TODAY())-Table1[[#This Row],[Year Built]]</f>
        <v>54</v>
      </c>
      <c r="S913" t="str">
        <f>IF(Table1[[#This Row],[Days on Market]] &lt; 30,"Fast",IF(Table1[[#This Row],[Days on Market]]&lt;= 90,"Average", "Slow"))</f>
        <v>Fast</v>
      </c>
      <c r="T913" t="str">
        <f>IF(Table1[[#This Row],[Price2]]&lt;500000,"Affordable",IF(Table1[[#This Row],[Price2]]&lt;1000000,"Mid range","Luxury"))</f>
        <v>Mid range</v>
      </c>
    </row>
    <row r="914" spans="1:20" x14ac:dyDescent="0.35">
      <c r="A914" s="3">
        <v>548614</v>
      </c>
      <c r="B914" s="2" t="s">
        <v>22</v>
      </c>
      <c r="C914">
        <v>85891</v>
      </c>
      <c r="D914" s="2" t="s">
        <v>18</v>
      </c>
      <c r="E914">
        <v>3</v>
      </c>
      <c r="F914">
        <v>1</v>
      </c>
      <c r="G914" s="4">
        <f>VALUE(SUBSTITUTE(SUBSTITUTE(Table1[[#This Row],[Price]],"$",""),",",""))</f>
        <v>548614</v>
      </c>
      <c r="H914" s="1">
        <f>Table1[[#This Row],[Price2]]/Table1[[#This Row],[Area]]</f>
        <v>155.54692373121634</v>
      </c>
      <c r="I914">
        <v>3527</v>
      </c>
      <c r="J914">
        <v>2008</v>
      </c>
      <c r="K914">
        <v>108</v>
      </c>
      <c r="L914" t="s">
        <v>40</v>
      </c>
      <c r="M914" t="s">
        <v>127</v>
      </c>
      <c r="N914" s="2" t="s">
        <v>3033</v>
      </c>
      <c r="O914" t="s">
        <v>3034</v>
      </c>
      <c r="P914" t="s">
        <v>16</v>
      </c>
      <c r="Q914">
        <v>155.54692373121634</v>
      </c>
      <c r="R914">
        <f ca="1">YEAR(TODAY())-Table1[[#This Row],[Year Built]]</f>
        <v>18</v>
      </c>
      <c r="S914" t="str">
        <f>IF(Table1[[#This Row],[Days on Market]] &lt; 30,"Fast",IF(Table1[[#This Row],[Days on Market]]&lt;= 90,"Average", "Slow"))</f>
        <v>Slow</v>
      </c>
      <c r="T914" t="str">
        <f>IF(Table1[[#This Row],[Price2]]&lt;500000,"Affordable",IF(Table1[[#This Row],[Price2]]&lt;1000000,"Mid range","Luxury"))</f>
        <v>Mid range</v>
      </c>
    </row>
    <row r="915" spans="1:20" x14ac:dyDescent="0.35">
      <c r="A915" s="3">
        <v>549210</v>
      </c>
      <c r="B915" s="2" t="s">
        <v>12</v>
      </c>
      <c r="C915">
        <v>84314</v>
      </c>
      <c r="D915" s="2" t="s">
        <v>18</v>
      </c>
      <c r="E915">
        <v>2</v>
      </c>
      <c r="F915">
        <v>3</v>
      </c>
      <c r="G915" s="4">
        <f>VALUE(SUBSTITUTE(SUBSTITUTE(Table1[[#This Row],[Price]],"$",""),",",""))</f>
        <v>549210</v>
      </c>
      <c r="H915" s="1">
        <f>Table1[[#This Row],[Price2]]/Table1[[#This Row],[Area]]</f>
        <v>527.57925072046112</v>
      </c>
      <c r="I915">
        <v>1041</v>
      </c>
      <c r="J915">
        <v>1950</v>
      </c>
      <c r="K915">
        <v>7</v>
      </c>
      <c r="L915" t="s">
        <v>30</v>
      </c>
      <c r="M915" t="s">
        <v>2144</v>
      </c>
      <c r="N915" s="2" t="s">
        <v>3035</v>
      </c>
      <c r="O915" t="s">
        <v>3036</v>
      </c>
      <c r="P915" t="s">
        <v>21</v>
      </c>
      <c r="Q915">
        <v>527.57925072046112</v>
      </c>
      <c r="R915">
        <f ca="1">YEAR(TODAY())-Table1[[#This Row],[Year Built]]</f>
        <v>76</v>
      </c>
      <c r="S915" t="str">
        <f>IF(Table1[[#This Row],[Days on Market]] &lt; 30,"Fast",IF(Table1[[#This Row],[Days on Market]]&lt;= 90,"Average", "Slow"))</f>
        <v>Fast</v>
      </c>
      <c r="T915" t="str">
        <f>IF(Table1[[#This Row],[Price2]]&lt;500000,"Affordable",IF(Table1[[#This Row],[Price2]]&lt;1000000,"Mid range","Luxury"))</f>
        <v>Mid range</v>
      </c>
    </row>
    <row r="916" spans="1:20" x14ac:dyDescent="0.35">
      <c r="A916" s="3">
        <v>549690</v>
      </c>
      <c r="B916" s="2" t="s">
        <v>27</v>
      </c>
      <c r="C916">
        <v>10068</v>
      </c>
      <c r="D916" s="2" t="s">
        <v>23</v>
      </c>
      <c r="E916">
        <v>1</v>
      </c>
      <c r="F916">
        <v>4</v>
      </c>
      <c r="G916" s="4">
        <f>VALUE(SUBSTITUTE(SUBSTITUTE(Table1[[#This Row],[Price]],"$",""),",",""))</f>
        <v>549690</v>
      </c>
      <c r="H916" s="1">
        <f>Table1[[#This Row],[Price2]]/Table1[[#This Row],[Area]]</f>
        <v>139.26779832784393</v>
      </c>
      <c r="I916">
        <v>3947</v>
      </c>
      <c r="J916">
        <v>1991</v>
      </c>
      <c r="K916">
        <v>13</v>
      </c>
      <c r="L916" t="s">
        <v>30</v>
      </c>
      <c r="M916" t="s">
        <v>2480</v>
      </c>
      <c r="N916" s="2" t="s">
        <v>3031</v>
      </c>
      <c r="O916" t="s">
        <v>3032</v>
      </c>
      <c r="P916" t="s">
        <v>26</v>
      </c>
      <c r="Q916">
        <v>139.26779832784393</v>
      </c>
      <c r="R916">
        <f ca="1">YEAR(TODAY())-Table1[[#This Row],[Year Built]]</f>
        <v>35</v>
      </c>
      <c r="S916" t="str">
        <f>IF(Table1[[#This Row],[Days on Market]] &lt; 30,"Fast",IF(Table1[[#This Row],[Days on Market]]&lt;= 90,"Average", "Slow"))</f>
        <v>Fast</v>
      </c>
      <c r="T916" t="str">
        <f>IF(Table1[[#This Row],[Price2]]&lt;500000,"Affordable",IF(Table1[[#This Row],[Price2]]&lt;1000000,"Mid range","Luxury"))</f>
        <v>Mid range</v>
      </c>
    </row>
    <row r="917" spans="1:20" x14ac:dyDescent="0.35">
      <c r="A917" s="3">
        <v>550158</v>
      </c>
      <c r="B917" s="2" t="s">
        <v>22</v>
      </c>
      <c r="C917">
        <v>88216</v>
      </c>
      <c r="D917" s="2" t="s">
        <v>35</v>
      </c>
      <c r="E917">
        <v>6</v>
      </c>
      <c r="F917">
        <v>2</v>
      </c>
      <c r="G917" s="4">
        <f>VALUE(SUBSTITUTE(SUBSTITUTE(Table1[[#This Row],[Price]],"$",""),",",""))</f>
        <v>550158</v>
      </c>
      <c r="H917" s="1">
        <f>Table1[[#This Row],[Price2]]/Table1[[#This Row],[Area]]</f>
        <v>159.7439024390244</v>
      </c>
      <c r="I917">
        <v>3444</v>
      </c>
      <c r="J917">
        <v>1954</v>
      </c>
      <c r="K917">
        <v>106</v>
      </c>
      <c r="L917" t="s">
        <v>14</v>
      </c>
      <c r="M917" t="s">
        <v>2195</v>
      </c>
      <c r="N917" s="2" t="s">
        <v>3029</v>
      </c>
      <c r="O917" t="s">
        <v>3030</v>
      </c>
      <c r="P917" t="s">
        <v>21</v>
      </c>
      <c r="Q917">
        <v>159.7439024390244</v>
      </c>
      <c r="R917">
        <f ca="1">YEAR(TODAY())-Table1[[#This Row],[Year Built]]</f>
        <v>72</v>
      </c>
      <c r="S917" t="str">
        <f>IF(Table1[[#This Row],[Days on Market]] &lt; 30,"Fast",IF(Table1[[#This Row],[Days on Market]]&lt;= 90,"Average", "Slow"))</f>
        <v>Slow</v>
      </c>
      <c r="T917" t="str">
        <f>IF(Table1[[#This Row],[Price2]]&lt;500000,"Affordable",IF(Table1[[#This Row],[Price2]]&lt;1000000,"Mid range","Luxury"))</f>
        <v>Mid range</v>
      </c>
    </row>
    <row r="918" spans="1:20" x14ac:dyDescent="0.35">
      <c r="A918" s="3">
        <v>550460</v>
      </c>
      <c r="B918" s="2" t="s">
        <v>34</v>
      </c>
      <c r="C918">
        <v>93926</v>
      </c>
      <c r="D918" s="2" t="s">
        <v>23</v>
      </c>
      <c r="E918">
        <v>4</v>
      </c>
      <c r="F918">
        <v>2</v>
      </c>
      <c r="G918" s="4">
        <f>VALUE(SUBSTITUTE(SUBSTITUTE(Table1[[#This Row],[Price]],"$",""),",",""))</f>
        <v>550460</v>
      </c>
      <c r="H918" s="1">
        <f>Table1[[#This Row],[Price2]]/Table1[[#This Row],[Area]]</f>
        <v>228.88149688149687</v>
      </c>
      <c r="I918">
        <v>2405</v>
      </c>
      <c r="J918">
        <v>1987</v>
      </c>
      <c r="K918">
        <v>22</v>
      </c>
      <c r="L918" t="s">
        <v>30</v>
      </c>
      <c r="M918" t="s">
        <v>1493</v>
      </c>
      <c r="N918" s="2" t="s">
        <v>3033</v>
      </c>
      <c r="O918" t="s">
        <v>3034</v>
      </c>
      <c r="P918" t="s">
        <v>16</v>
      </c>
      <c r="Q918">
        <v>228.88149688149687</v>
      </c>
      <c r="R918">
        <f ca="1">YEAR(TODAY())-Table1[[#This Row],[Year Built]]</f>
        <v>39</v>
      </c>
      <c r="S918" t="str">
        <f>IF(Table1[[#This Row],[Days on Market]] &lt; 30,"Fast",IF(Table1[[#This Row],[Days on Market]]&lt;= 90,"Average", "Slow"))</f>
        <v>Fast</v>
      </c>
      <c r="T918" t="str">
        <f>IF(Table1[[#This Row],[Price2]]&lt;500000,"Affordable",IF(Table1[[#This Row],[Price2]]&lt;1000000,"Mid range","Luxury"))</f>
        <v>Mid range</v>
      </c>
    </row>
    <row r="919" spans="1:20" x14ac:dyDescent="0.35">
      <c r="A919" s="3">
        <v>550731</v>
      </c>
      <c r="B919" s="2" t="s">
        <v>12</v>
      </c>
      <c r="C919">
        <v>43311</v>
      </c>
      <c r="D919" s="2" t="s">
        <v>29</v>
      </c>
      <c r="E919">
        <v>5</v>
      </c>
      <c r="F919">
        <v>2</v>
      </c>
      <c r="G919" s="4">
        <f>VALUE(SUBSTITUTE(SUBSTITUTE(Table1[[#This Row],[Price]],"$",""),",",""))</f>
        <v>550731</v>
      </c>
      <c r="H919" s="1">
        <f>Table1[[#This Row],[Price2]]/Table1[[#This Row],[Area]]</f>
        <v>666.74455205811137</v>
      </c>
      <c r="I919">
        <v>826</v>
      </c>
      <c r="J919">
        <v>2021</v>
      </c>
      <c r="K919">
        <v>46</v>
      </c>
      <c r="L919" t="s">
        <v>52</v>
      </c>
      <c r="M919" t="s">
        <v>1488</v>
      </c>
      <c r="N919" s="2" t="s">
        <v>3035</v>
      </c>
      <c r="O919" t="s">
        <v>3036</v>
      </c>
      <c r="P919" t="s">
        <v>26</v>
      </c>
      <c r="Q919">
        <v>666.74455205811137</v>
      </c>
      <c r="R919">
        <f ca="1">YEAR(TODAY())-Table1[[#This Row],[Year Built]]</f>
        <v>5</v>
      </c>
      <c r="S919" t="str">
        <f>IF(Table1[[#This Row],[Days on Market]] &lt; 30,"Fast",IF(Table1[[#This Row],[Days on Market]]&lt;= 90,"Average", "Slow"))</f>
        <v>Average</v>
      </c>
      <c r="T919" t="str">
        <f>IF(Table1[[#This Row],[Price2]]&lt;500000,"Affordable",IF(Table1[[#This Row],[Price2]]&lt;1000000,"Mid range","Luxury"))</f>
        <v>Mid range</v>
      </c>
    </row>
    <row r="920" spans="1:20" x14ac:dyDescent="0.35">
      <c r="A920" s="3">
        <v>551347</v>
      </c>
      <c r="B920" s="2" t="s">
        <v>22</v>
      </c>
      <c r="C920">
        <v>18019</v>
      </c>
      <c r="D920" s="2" t="s">
        <v>29</v>
      </c>
      <c r="E920">
        <v>2</v>
      </c>
      <c r="F920">
        <v>4</v>
      </c>
      <c r="G920" s="4">
        <f>VALUE(SUBSTITUTE(SUBSTITUTE(Table1[[#This Row],[Price]],"$",""),",",""))</f>
        <v>551347</v>
      </c>
      <c r="H920" s="1">
        <f>Table1[[#This Row],[Price2]]/Table1[[#This Row],[Area]]</f>
        <v>214.78262563303468</v>
      </c>
      <c r="I920">
        <v>2567</v>
      </c>
      <c r="J920">
        <v>2002</v>
      </c>
      <c r="K920">
        <v>42</v>
      </c>
      <c r="L920" t="s">
        <v>19</v>
      </c>
      <c r="M920" t="s">
        <v>2173</v>
      </c>
      <c r="N920" s="2" t="s">
        <v>3033</v>
      </c>
      <c r="O920" t="s">
        <v>3034</v>
      </c>
      <c r="P920" t="s">
        <v>26</v>
      </c>
      <c r="Q920">
        <v>214.78262563303468</v>
      </c>
      <c r="R920">
        <f ca="1">YEAR(TODAY())-Table1[[#This Row],[Year Built]]</f>
        <v>24</v>
      </c>
      <c r="S920" t="str">
        <f>IF(Table1[[#This Row],[Days on Market]] &lt; 30,"Fast",IF(Table1[[#This Row],[Days on Market]]&lt;= 90,"Average", "Slow"))</f>
        <v>Average</v>
      </c>
      <c r="T920" t="str">
        <f>IF(Table1[[#This Row],[Price2]]&lt;500000,"Affordable",IF(Table1[[#This Row],[Price2]]&lt;1000000,"Mid range","Luxury"))</f>
        <v>Mid range</v>
      </c>
    </row>
    <row r="921" spans="1:20" x14ac:dyDescent="0.35">
      <c r="A921" s="3">
        <v>551665</v>
      </c>
      <c r="B921" s="2" t="s">
        <v>17</v>
      </c>
      <c r="C921">
        <v>74963</v>
      </c>
      <c r="D921" s="2" t="s">
        <v>23</v>
      </c>
      <c r="E921">
        <v>4</v>
      </c>
      <c r="F921">
        <v>3</v>
      </c>
      <c r="G921" s="4">
        <f>VALUE(SUBSTITUTE(SUBSTITUTE(Table1[[#This Row],[Price]],"$",""),",",""))</f>
        <v>551665</v>
      </c>
      <c r="H921" s="1">
        <f>Table1[[#This Row],[Price2]]/Table1[[#This Row],[Area]]</f>
        <v>241.53458844133101</v>
      </c>
      <c r="I921">
        <v>2284</v>
      </c>
      <c r="J921">
        <v>1991</v>
      </c>
      <c r="K921">
        <v>62</v>
      </c>
      <c r="L921" t="s">
        <v>40</v>
      </c>
      <c r="M921" t="s">
        <v>1049</v>
      </c>
      <c r="N921" s="2" t="s">
        <v>3027</v>
      </c>
      <c r="O921" t="s">
        <v>3028</v>
      </c>
      <c r="P921" t="s">
        <v>16</v>
      </c>
      <c r="Q921">
        <v>241.53458844133101</v>
      </c>
      <c r="R921">
        <f ca="1">YEAR(TODAY())-Table1[[#This Row],[Year Built]]</f>
        <v>35</v>
      </c>
      <c r="S921" t="str">
        <f>IF(Table1[[#This Row],[Days on Market]] &lt; 30,"Fast",IF(Table1[[#This Row],[Days on Market]]&lt;= 90,"Average", "Slow"))</f>
        <v>Average</v>
      </c>
      <c r="T921" t="str">
        <f>IF(Table1[[#This Row],[Price2]]&lt;500000,"Affordable",IF(Table1[[#This Row],[Price2]]&lt;1000000,"Mid range","Luxury"))</f>
        <v>Mid range</v>
      </c>
    </row>
    <row r="922" spans="1:20" x14ac:dyDescent="0.35">
      <c r="A922" s="3">
        <v>552081</v>
      </c>
      <c r="B922" s="2" t="s">
        <v>34</v>
      </c>
      <c r="C922">
        <v>18648</v>
      </c>
      <c r="D922" s="2" t="s">
        <v>13</v>
      </c>
      <c r="E922">
        <v>3</v>
      </c>
      <c r="F922">
        <v>3</v>
      </c>
      <c r="G922" s="4">
        <f>VALUE(SUBSTITUTE(SUBSTITUTE(Table1[[#This Row],[Price]],"$",""),",",""))</f>
        <v>552081</v>
      </c>
      <c r="H922" s="1">
        <f>Table1[[#This Row],[Price2]]/Table1[[#This Row],[Area]]</f>
        <v>166.59052504526252</v>
      </c>
      <c r="I922">
        <v>3314</v>
      </c>
      <c r="J922">
        <v>1964</v>
      </c>
      <c r="K922">
        <v>57</v>
      </c>
      <c r="L922" t="s">
        <v>19</v>
      </c>
      <c r="M922" t="s">
        <v>2068</v>
      </c>
      <c r="N922" s="2" t="s">
        <v>3035</v>
      </c>
      <c r="O922" t="s">
        <v>3036</v>
      </c>
      <c r="P922" t="s">
        <v>26</v>
      </c>
      <c r="Q922">
        <v>166.59052504526252</v>
      </c>
      <c r="R922">
        <f ca="1">YEAR(TODAY())-Table1[[#This Row],[Year Built]]</f>
        <v>62</v>
      </c>
      <c r="S922" t="str">
        <f>IF(Table1[[#This Row],[Days on Market]] &lt; 30,"Fast",IF(Table1[[#This Row],[Days on Market]]&lt;= 90,"Average", "Slow"))</f>
        <v>Average</v>
      </c>
      <c r="T922" t="str">
        <f>IF(Table1[[#This Row],[Price2]]&lt;500000,"Affordable",IF(Table1[[#This Row],[Price2]]&lt;1000000,"Mid range","Luxury"))</f>
        <v>Mid range</v>
      </c>
    </row>
    <row r="923" spans="1:20" x14ac:dyDescent="0.35">
      <c r="A923" s="3">
        <v>552551</v>
      </c>
      <c r="B923" s="2" t="s">
        <v>17</v>
      </c>
      <c r="C923">
        <v>85195</v>
      </c>
      <c r="D923" s="2" t="s">
        <v>13</v>
      </c>
      <c r="E923">
        <v>3</v>
      </c>
      <c r="F923">
        <v>4</v>
      </c>
      <c r="G923" s="4">
        <f>VALUE(SUBSTITUTE(SUBSTITUTE(Table1[[#This Row],[Price]],"$",""),",",""))</f>
        <v>552551</v>
      </c>
      <c r="H923" s="1">
        <f>Table1[[#This Row],[Price2]]/Table1[[#This Row],[Area]]</f>
        <v>494.67412712623099</v>
      </c>
      <c r="I923">
        <v>1117</v>
      </c>
      <c r="J923">
        <v>2010</v>
      </c>
      <c r="K923">
        <v>33</v>
      </c>
      <c r="L923" t="s">
        <v>40</v>
      </c>
      <c r="M923" t="s">
        <v>919</v>
      </c>
      <c r="N923" s="2" t="s">
        <v>3027</v>
      </c>
      <c r="O923" t="s">
        <v>3028</v>
      </c>
      <c r="P923" t="s">
        <v>26</v>
      </c>
      <c r="Q923">
        <v>494.67412712623099</v>
      </c>
      <c r="R923">
        <f ca="1">YEAR(TODAY())-Table1[[#This Row],[Year Built]]</f>
        <v>16</v>
      </c>
      <c r="S923" t="str">
        <f>IF(Table1[[#This Row],[Days on Market]] &lt; 30,"Fast",IF(Table1[[#This Row],[Days on Market]]&lt;= 90,"Average", "Slow"))</f>
        <v>Average</v>
      </c>
      <c r="T923" t="str">
        <f>IF(Table1[[#This Row],[Price2]]&lt;500000,"Affordable",IF(Table1[[#This Row],[Price2]]&lt;1000000,"Mid range","Luxury"))</f>
        <v>Mid range</v>
      </c>
    </row>
    <row r="924" spans="1:20" x14ac:dyDescent="0.35">
      <c r="A924" s="3">
        <v>552626</v>
      </c>
      <c r="B924" s="2" t="s">
        <v>27</v>
      </c>
      <c r="C924">
        <v>13032</v>
      </c>
      <c r="D924" s="2" t="s">
        <v>23</v>
      </c>
      <c r="E924">
        <v>4</v>
      </c>
      <c r="F924">
        <v>2</v>
      </c>
      <c r="G924" s="4">
        <f>VALUE(SUBSTITUTE(SUBSTITUTE(Table1[[#This Row],[Price]],"$",""),",",""))</f>
        <v>552626</v>
      </c>
      <c r="H924" s="1">
        <f>Table1[[#This Row],[Price2]]/Table1[[#This Row],[Area]]</f>
        <v>186.00673174015483</v>
      </c>
      <c r="I924">
        <v>2971</v>
      </c>
      <c r="J924">
        <v>1981</v>
      </c>
      <c r="K924">
        <v>18</v>
      </c>
      <c r="L924" t="s">
        <v>40</v>
      </c>
      <c r="M924" t="s">
        <v>2633</v>
      </c>
      <c r="N924" s="2" t="s">
        <v>3031</v>
      </c>
      <c r="O924" t="s">
        <v>3032</v>
      </c>
      <c r="P924" t="s">
        <v>21</v>
      </c>
      <c r="Q924">
        <v>186.00673174015483</v>
      </c>
      <c r="R924">
        <f ca="1">YEAR(TODAY())-Table1[[#This Row],[Year Built]]</f>
        <v>45</v>
      </c>
      <c r="S924" t="str">
        <f>IF(Table1[[#This Row],[Days on Market]] &lt; 30,"Fast",IF(Table1[[#This Row],[Days on Market]]&lt;= 90,"Average", "Slow"))</f>
        <v>Fast</v>
      </c>
      <c r="T924" t="str">
        <f>IF(Table1[[#This Row],[Price2]]&lt;500000,"Affordable",IF(Table1[[#This Row],[Price2]]&lt;1000000,"Mid range","Luxury"))</f>
        <v>Mid range</v>
      </c>
    </row>
    <row r="925" spans="1:20" x14ac:dyDescent="0.35">
      <c r="A925" s="3">
        <v>552759</v>
      </c>
      <c r="B925" s="2" t="s">
        <v>17</v>
      </c>
      <c r="C925">
        <v>19807</v>
      </c>
      <c r="D925" s="2" t="s">
        <v>29</v>
      </c>
      <c r="E925">
        <v>3</v>
      </c>
      <c r="F925">
        <v>1</v>
      </c>
      <c r="G925" s="4">
        <f>VALUE(SUBSTITUTE(SUBSTITUTE(Table1[[#This Row],[Price]],"$",""),",",""))</f>
        <v>552759</v>
      </c>
      <c r="H925" s="1">
        <f>Table1[[#This Row],[Price2]]/Table1[[#This Row],[Area]]</f>
        <v>148.35185185185185</v>
      </c>
      <c r="I925">
        <v>3726</v>
      </c>
      <c r="J925">
        <v>2012</v>
      </c>
      <c r="K925">
        <v>61</v>
      </c>
      <c r="L925" t="s">
        <v>52</v>
      </c>
      <c r="M925" t="s">
        <v>1271</v>
      </c>
      <c r="N925" s="2" t="s">
        <v>3031</v>
      </c>
      <c r="O925" t="s">
        <v>3032</v>
      </c>
      <c r="P925" t="s">
        <v>26</v>
      </c>
      <c r="Q925">
        <v>148.35185185185185</v>
      </c>
      <c r="R925">
        <f ca="1">YEAR(TODAY())-Table1[[#This Row],[Year Built]]</f>
        <v>14</v>
      </c>
      <c r="S925" t="str">
        <f>IF(Table1[[#This Row],[Days on Market]] &lt; 30,"Fast",IF(Table1[[#This Row],[Days on Market]]&lt;= 90,"Average", "Slow"))</f>
        <v>Average</v>
      </c>
      <c r="T925" t="str">
        <f>IF(Table1[[#This Row],[Price2]]&lt;500000,"Affordable",IF(Table1[[#This Row],[Price2]]&lt;1000000,"Mid range","Luxury"))</f>
        <v>Mid range</v>
      </c>
    </row>
    <row r="926" spans="1:20" x14ac:dyDescent="0.35">
      <c r="A926" s="3">
        <v>552789</v>
      </c>
      <c r="B926" s="2" t="s">
        <v>12</v>
      </c>
      <c r="C926">
        <v>74406</v>
      </c>
      <c r="D926" s="2" t="s">
        <v>13</v>
      </c>
      <c r="E926">
        <v>6</v>
      </c>
      <c r="F926">
        <v>1</v>
      </c>
      <c r="G926" s="4">
        <f>VALUE(SUBSTITUTE(SUBSTITUTE(Table1[[#This Row],[Price]],"$",""),",",""))</f>
        <v>552789</v>
      </c>
      <c r="H926" s="1">
        <f>Table1[[#This Row],[Price2]]/Table1[[#This Row],[Area]]</f>
        <v>144.03048462741012</v>
      </c>
      <c r="I926">
        <v>3838</v>
      </c>
      <c r="J926">
        <v>2018</v>
      </c>
      <c r="K926">
        <v>56</v>
      </c>
      <c r="L926" t="s">
        <v>14</v>
      </c>
      <c r="M926" t="s">
        <v>2718</v>
      </c>
      <c r="N926" s="2" t="s">
        <v>3029</v>
      </c>
      <c r="O926" t="s">
        <v>3030</v>
      </c>
      <c r="P926" t="s">
        <v>26</v>
      </c>
      <c r="Q926">
        <v>144.03048462741012</v>
      </c>
      <c r="R926">
        <f ca="1">YEAR(TODAY())-Table1[[#This Row],[Year Built]]</f>
        <v>8</v>
      </c>
      <c r="S926" t="str">
        <f>IF(Table1[[#This Row],[Days on Market]] &lt; 30,"Fast",IF(Table1[[#This Row],[Days on Market]]&lt;= 90,"Average", "Slow"))</f>
        <v>Average</v>
      </c>
      <c r="T926" t="str">
        <f>IF(Table1[[#This Row],[Price2]]&lt;500000,"Affordable",IF(Table1[[#This Row],[Price2]]&lt;1000000,"Mid range","Luxury"))</f>
        <v>Mid range</v>
      </c>
    </row>
    <row r="927" spans="1:20" x14ac:dyDescent="0.35">
      <c r="A927" s="3">
        <v>553467</v>
      </c>
      <c r="B927" s="2" t="s">
        <v>22</v>
      </c>
      <c r="C927">
        <v>23654</v>
      </c>
      <c r="D927" s="2" t="s">
        <v>18</v>
      </c>
      <c r="E927">
        <v>1</v>
      </c>
      <c r="F927">
        <v>3</v>
      </c>
      <c r="G927" s="4">
        <f>VALUE(SUBSTITUTE(SUBSTITUTE(Table1[[#This Row],[Price]],"$",""),",",""))</f>
        <v>553467</v>
      </c>
      <c r="H927" s="1">
        <f>Table1[[#This Row],[Price2]]/Table1[[#This Row],[Area]]</f>
        <v>147.39467376830893</v>
      </c>
      <c r="I927">
        <v>3755</v>
      </c>
      <c r="J927">
        <v>1984</v>
      </c>
      <c r="K927">
        <v>102</v>
      </c>
      <c r="L927" t="s">
        <v>14</v>
      </c>
      <c r="M927" t="s">
        <v>2844</v>
      </c>
      <c r="N927" s="2" t="s">
        <v>3031</v>
      </c>
      <c r="O927" t="s">
        <v>3032</v>
      </c>
      <c r="P927" t="s">
        <v>21</v>
      </c>
      <c r="Q927">
        <v>147.39467376830893</v>
      </c>
      <c r="R927">
        <f ca="1">YEAR(TODAY())-Table1[[#This Row],[Year Built]]</f>
        <v>42</v>
      </c>
      <c r="S927" t="str">
        <f>IF(Table1[[#This Row],[Days on Market]] &lt; 30,"Fast",IF(Table1[[#This Row],[Days on Market]]&lt;= 90,"Average", "Slow"))</f>
        <v>Slow</v>
      </c>
      <c r="T927" t="str">
        <f>IF(Table1[[#This Row],[Price2]]&lt;500000,"Affordable",IF(Table1[[#This Row],[Price2]]&lt;1000000,"Mid range","Luxury"))</f>
        <v>Mid range</v>
      </c>
    </row>
    <row r="928" spans="1:20" x14ac:dyDescent="0.35">
      <c r="A928" s="3">
        <v>554124</v>
      </c>
      <c r="B928" s="2" t="s">
        <v>27</v>
      </c>
      <c r="C928">
        <v>68265</v>
      </c>
      <c r="D928" s="2" t="s">
        <v>13</v>
      </c>
      <c r="E928">
        <v>2</v>
      </c>
      <c r="F928">
        <v>3</v>
      </c>
      <c r="G928" s="4">
        <f>VALUE(SUBSTITUTE(SUBSTITUTE(Table1[[#This Row],[Price]],"$",""),",",""))</f>
        <v>554124</v>
      </c>
      <c r="H928" s="1">
        <f>Table1[[#This Row],[Price2]]/Table1[[#This Row],[Area]]</f>
        <v>208.94570135746605</v>
      </c>
      <c r="I928">
        <v>2652</v>
      </c>
      <c r="J928">
        <v>1952</v>
      </c>
      <c r="K928">
        <v>71</v>
      </c>
      <c r="L928" t="s">
        <v>14</v>
      </c>
      <c r="M928" t="s">
        <v>493</v>
      </c>
      <c r="N928" s="2" t="s">
        <v>3029</v>
      </c>
      <c r="O928" t="s">
        <v>3030</v>
      </c>
      <c r="P928" t="s">
        <v>16</v>
      </c>
      <c r="Q928">
        <v>208.94570135746605</v>
      </c>
      <c r="R928">
        <f ca="1">YEAR(TODAY())-Table1[[#This Row],[Year Built]]</f>
        <v>74</v>
      </c>
      <c r="S928" t="str">
        <f>IF(Table1[[#This Row],[Days on Market]] &lt; 30,"Fast",IF(Table1[[#This Row],[Days on Market]]&lt;= 90,"Average", "Slow"))</f>
        <v>Average</v>
      </c>
      <c r="T928" t="str">
        <f>IF(Table1[[#This Row],[Price2]]&lt;500000,"Affordable",IF(Table1[[#This Row],[Price2]]&lt;1000000,"Mid range","Luxury"))</f>
        <v>Mid range</v>
      </c>
    </row>
    <row r="929" spans="1:20" x14ac:dyDescent="0.35">
      <c r="A929" s="3">
        <v>554163</v>
      </c>
      <c r="B929" s="2" t="s">
        <v>27</v>
      </c>
      <c r="C929">
        <v>66487</v>
      </c>
      <c r="D929" s="2" t="s">
        <v>29</v>
      </c>
      <c r="E929">
        <v>6</v>
      </c>
      <c r="F929">
        <v>1</v>
      </c>
      <c r="G929" s="4">
        <f>VALUE(SUBSTITUTE(SUBSTITUTE(Table1[[#This Row],[Price]],"$",""),",",""))</f>
        <v>554163</v>
      </c>
      <c r="H929" s="1">
        <f>Table1[[#This Row],[Price2]]/Table1[[#This Row],[Area]]</f>
        <v>166.01647693229478</v>
      </c>
      <c r="I929">
        <v>3338</v>
      </c>
      <c r="J929">
        <v>2009</v>
      </c>
      <c r="K929">
        <v>90</v>
      </c>
      <c r="L929" t="s">
        <v>52</v>
      </c>
      <c r="M929" t="s">
        <v>2123</v>
      </c>
      <c r="N929" s="2" t="s">
        <v>3031</v>
      </c>
      <c r="O929" t="s">
        <v>3032</v>
      </c>
      <c r="P929" t="s">
        <v>16</v>
      </c>
      <c r="Q929">
        <v>166.01647693229478</v>
      </c>
      <c r="R929">
        <f ca="1">YEAR(TODAY())-Table1[[#This Row],[Year Built]]</f>
        <v>17</v>
      </c>
      <c r="S929" t="str">
        <f>IF(Table1[[#This Row],[Days on Market]] &lt; 30,"Fast",IF(Table1[[#This Row],[Days on Market]]&lt;= 90,"Average", "Slow"))</f>
        <v>Average</v>
      </c>
      <c r="T929" t="str">
        <f>IF(Table1[[#This Row],[Price2]]&lt;500000,"Affordable",IF(Table1[[#This Row],[Price2]]&lt;1000000,"Mid range","Luxury"))</f>
        <v>Mid range</v>
      </c>
    </row>
    <row r="930" spans="1:20" x14ac:dyDescent="0.35">
      <c r="A930" s="3">
        <v>554217</v>
      </c>
      <c r="B930" s="2" t="s">
        <v>12</v>
      </c>
      <c r="C930">
        <v>65383</v>
      </c>
      <c r="D930" s="2" t="s">
        <v>13</v>
      </c>
      <c r="E930">
        <v>1</v>
      </c>
      <c r="F930">
        <v>3</v>
      </c>
      <c r="G930" s="4">
        <f>VALUE(SUBSTITUTE(SUBSTITUTE(Table1[[#This Row],[Price]],"$",""),",",""))</f>
        <v>554217</v>
      </c>
      <c r="H930" s="1">
        <f>Table1[[#This Row],[Price2]]/Table1[[#This Row],[Area]]</f>
        <v>717.8976683937824</v>
      </c>
      <c r="I930">
        <v>772</v>
      </c>
      <c r="J930">
        <v>1959</v>
      </c>
      <c r="K930">
        <v>101</v>
      </c>
      <c r="L930" t="s">
        <v>14</v>
      </c>
      <c r="M930" t="s">
        <v>15</v>
      </c>
      <c r="N930" s="2" t="s">
        <v>3027</v>
      </c>
      <c r="O930" t="s">
        <v>3028</v>
      </c>
      <c r="P930" t="s">
        <v>16</v>
      </c>
      <c r="Q930">
        <v>717.8976683937824</v>
      </c>
      <c r="R930">
        <f ca="1">YEAR(TODAY())-Table1[[#This Row],[Year Built]]</f>
        <v>67</v>
      </c>
      <c r="S930" t="str">
        <f>IF(Table1[[#This Row],[Days on Market]] &lt; 30,"Fast",IF(Table1[[#This Row],[Days on Market]]&lt;= 90,"Average", "Slow"))</f>
        <v>Slow</v>
      </c>
      <c r="T930" t="str">
        <f>IF(Table1[[#This Row],[Price2]]&lt;500000,"Affordable",IF(Table1[[#This Row],[Price2]]&lt;1000000,"Mid range","Luxury"))</f>
        <v>Mid range</v>
      </c>
    </row>
    <row r="931" spans="1:20" x14ac:dyDescent="0.35">
      <c r="A931" s="3">
        <v>554405</v>
      </c>
      <c r="B931" s="2" t="s">
        <v>34</v>
      </c>
      <c r="C931">
        <v>61785</v>
      </c>
      <c r="D931" s="2" t="s">
        <v>29</v>
      </c>
      <c r="E931">
        <v>1</v>
      </c>
      <c r="F931">
        <v>4</v>
      </c>
      <c r="G931" s="4">
        <f>VALUE(SUBSTITUTE(SUBSTITUTE(Table1[[#This Row],[Price]],"$",""),",",""))</f>
        <v>554405</v>
      </c>
      <c r="H931" s="1">
        <f>Table1[[#This Row],[Price2]]/Table1[[#This Row],[Area]]</f>
        <v>239.27708243418212</v>
      </c>
      <c r="I931">
        <v>2317</v>
      </c>
      <c r="J931">
        <v>1961</v>
      </c>
      <c r="K931">
        <v>24</v>
      </c>
      <c r="L931" t="s">
        <v>52</v>
      </c>
      <c r="M931" t="s">
        <v>1617</v>
      </c>
      <c r="N931" s="2" t="s">
        <v>3029</v>
      </c>
      <c r="O931" t="s">
        <v>3030</v>
      </c>
      <c r="P931" t="s">
        <v>16</v>
      </c>
      <c r="Q931">
        <v>239.27708243418212</v>
      </c>
      <c r="R931">
        <f ca="1">YEAR(TODAY())-Table1[[#This Row],[Year Built]]</f>
        <v>65</v>
      </c>
      <c r="S931" t="str">
        <f>IF(Table1[[#This Row],[Days on Market]] &lt; 30,"Fast",IF(Table1[[#This Row],[Days on Market]]&lt;= 90,"Average", "Slow"))</f>
        <v>Fast</v>
      </c>
      <c r="T931" t="str">
        <f>IF(Table1[[#This Row],[Price2]]&lt;500000,"Affordable",IF(Table1[[#This Row],[Price2]]&lt;1000000,"Mid range","Luxury"))</f>
        <v>Mid range</v>
      </c>
    </row>
    <row r="932" spans="1:20" x14ac:dyDescent="0.35">
      <c r="A932" s="3">
        <v>556136</v>
      </c>
      <c r="B932" s="2" t="s">
        <v>22</v>
      </c>
      <c r="C932">
        <v>18659</v>
      </c>
      <c r="D932" s="2" t="s">
        <v>13</v>
      </c>
      <c r="E932">
        <v>4</v>
      </c>
      <c r="F932">
        <v>2</v>
      </c>
      <c r="G932" s="4">
        <f>VALUE(SUBSTITUTE(SUBSTITUTE(Table1[[#This Row],[Price]],"$",""),",",""))</f>
        <v>556136</v>
      </c>
      <c r="H932" s="1">
        <f>Table1[[#This Row],[Price2]]/Table1[[#This Row],[Area]]</f>
        <v>271.28585365853661</v>
      </c>
      <c r="I932">
        <v>2050</v>
      </c>
      <c r="J932">
        <v>1965</v>
      </c>
      <c r="K932">
        <v>3</v>
      </c>
      <c r="L932" t="s">
        <v>52</v>
      </c>
      <c r="M932" t="s">
        <v>1630</v>
      </c>
      <c r="N932" s="2" t="s">
        <v>3027</v>
      </c>
      <c r="O932" t="s">
        <v>3028</v>
      </c>
      <c r="P932" t="s">
        <v>16</v>
      </c>
      <c r="Q932">
        <v>271.28585365853661</v>
      </c>
      <c r="R932">
        <f ca="1">YEAR(TODAY())-Table1[[#This Row],[Year Built]]</f>
        <v>61</v>
      </c>
      <c r="S932" t="str">
        <f>IF(Table1[[#This Row],[Days on Market]] &lt; 30,"Fast",IF(Table1[[#This Row],[Days on Market]]&lt;= 90,"Average", "Slow"))</f>
        <v>Fast</v>
      </c>
      <c r="T932" t="str">
        <f>IF(Table1[[#This Row],[Price2]]&lt;500000,"Affordable",IF(Table1[[#This Row],[Price2]]&lt;1000000,"Mid range","Luxury"))</f>
        <v>Mid range</v>
      </c>
    </row>
    <row r="933" spans="1:20" x14ac:dyDescent="0.35">
      <c r="A933" s="3">
        <v>556554</v>
      </c>
      <c r="B933" s="2" t="s">
        <v>34</v>
      </c>
      <c r="C933">
        <v>56312</v>
      </c>
      <c r="D933" s="2" t="s">
        <v>23</v>
      </c>
      <c r="E933">
        <v>4</v>
      </c>
      <c r="F933">
        <v>1</v>
      </c>
      <c r="G933" s="4">
        <f>VALUE(SUBSTITUTE(SUBSTITUTE(Table1[[#This Row],[Price]],"$",""),",",""))</f>
        <v>556554</v>
      </c>
      <c r="H933" s="1">
        <f>Table1[[#This Row],[Price2]]/Table1[[#This Row],[Area]]</f>
        <v>381.20136986301372</v>
      </c>
      <c r="I933">
        <v>1460</v>
      </c>
      <c r="J933">
        <v>2007</v>
      </c>
      <c r="K933">
        <v>80</v>
      </c>
      <c r="L933" t="s">
        <v>40</v>
      </c>
      <c r="M933" t="s">
        <v>1087</v>
      </c>
      <c r="N933" s="2" t="s">
        <v>3033</v>
      </c>
      <c r="O933" t="s">
        <v>3034</v>
      </c>
      <c r="P933" t="s">
        <v>26</v>
      </c>
      <c r="Q933">
        <v>381.20136986301372</v>
      </c>
      <c r="R933">
        <f ca="1">YEAR(TODAY())-Table1[[#This Row],[Year Built]]</f>
        <v>19</v>
      </c>
      <c r="S933" t="str">
        <f>IF(Table1[[#This Row],[Days on Market]] &lt; 30,"Fast",IF(Table1[[#This Row],[Days on Market]]&lt;= 90,"Average", "Slow"))</f>
        <v>Average</v>
      </c>
      <c r="T933" t="str">
        <f>IF(Table1[[#This Row],[Price2]]&lt;500000,"Affordable",IF(Table1[[#This Row],[Price2]]&lt;1000000,"Mid range","Luxury"))</f>
        <v>Mid range</v>
      </c>
    </row>
    <row r="934" spans="1:20" x14ac:dyDescent="0.35">
      <c r="A934" s="3">
        <v>556583</v>
      </c>
      <c r="B934" s="2" t="s">
        <v>34</v>
      </c>
      <c r="C934">
        <v>27352</v>
      </c>
      <c r="D934" s="2" t="s">
        <v>23</v>
      </c>
      <c r="E934">
        <v>1</v>
      </c>
      <c r="F934">
        <v>2</v>
      </c>
      <c r="G934" s="4">
        <f>VALUE(SUBSTITUTE(SUBSTITUTE(Table1[[#This Row],[Price]],"$",""),",",""))</f>
        <v>556583</v>
      </c>
      <c r="H934" s="1">
        <f>Table1[[#This Row],[Price2]]/Table1[[#This Row],[Area]]</f>
        <v>215.31257253384913</v>
      </c>
      <c r="I934">
        <v>2585</v>
      </c>
      <c r="J934">
        <v>1982</v>
      </c>
      <c r="K934">
        <v>44</v>
      </c>
      <c r="L934" t="s">
        <v>40</v>
      </c>
      <c r="M934" t="s">
        <v>225</v>
      </c>
      <c r="N934" s="2" t="s">
        <v>3031</v>
      </c>
      <c r="O934" t="s">
        <v>3032</v>
      </c>
      <c r="P934" t="s">
        <v>26</v>
      </c>
      <c r="Q934">
        <v>215.31257253384913</v>
      </c>
      <c r="R934">
        <f ca="1">YEAR(TODAY())-Table1[[#This Row],[Year Built]]</f>
        <v>44</v>
      </c>
      <c r="S934" t="str">
        <f>IF(Table1[[#This Row],[Days on Market]] &lt; 30,"Fast",IF(Table1[[#This Row],[Days on Market]]&lt;= 90,"Average", "Slow"))</f>
        <v>Average</v>
      </c>
      <c r="T934" t="str">
        <f>IF(Table1[[#This Row],[Price2]]&lt;500000,"Affordable",IF(Table1[[#This Row],[Price2]]&lt;1000000,"Mid range","Luxury"))</f>
        <v>Mid range</v>
      </c>
    </row>
    <row r="935" spans="1:20" x14ac:dyDescent="0.35">
      <c r="A935" s="3">
        <v>556635</v>
      </c>
      <c r="B935" s="2" t="s">
        <v>12</v>
      </c>
      <c r="C935">
        <v>81825</v>
      </c>
      <c r="D935" s="2" t="s">
        <v>13</v>
      </c>
      <c r="E935">
        <v>1</v>
      </c>
      <c r="F935">
        <v>3</v>
      </c>
      <c r="G935" s="4">
        <f>VALUE(SUBSTITUTE(SUBSTITUTE(Table1[[#This Row],[Price]],"$",""),",",""))</f>
        <v>556635</v>
      </c>
      <c r="H935" s="1">
        <f>Table1[[#This Row],[Price2]]/Table1[[#This Row],[Area]]</f>
        <v>139.71762048192772</v>
      </c>
      <c r="I935">
        <v>3984</v>
      </c>
      <c r="J935">
        <v>2008</v>
      </c>
      <c r="K935">
        <v>62</v>
      </c>
      <c r="L935" t="s">
        <v>30</v>
      </c>
      <c r="M935" t="s">
        <v>2131</v>
      </c>
      <c r="N935" s="2" t="s">
        <v>3027</v>
      </c>
      <c r="O935" t="s">
        <v>3028</v>
      </c>
      <c r="P935" t="s">
        <v>16</v>
      </c>
      <c r="Q935">
        <v>139.71762048192772</v>
      </c>
      <c r="R935">
        <f ca="1">YEAR(TODAY())-Table1[[#This Row],[Year Built]]</f>
        <v>18</v>
      </c>
      <c r="S935" t="str">
        <f>IF(Table1[[#This Row],[Days on Market]] &lt; 30,"Fast",IF(Table1[[#This Row],[Days on Market]]&lt;= 90,"Average", "Slow"))</f>
        <v>Average</v>
      </c>
      <c r="T935" t="str">
        <f>IF(Table1[[#This Row],[Price2]]&lt;500000,"Affordable",IF(Table1[[#This Row],[Price2]]&lt;1000000,"Mid range","Luxury"))</f>
        <v>Mid range</v>
      </c>
    </row>
    <row r="936" spans="1:20" x14ac:dyDescent="0.35">
      <c r="A936" s="3">
        <v>556797</v>
      </c>
      <c r="B936" s="2" t="s">
        <v>22</v>
      </c>
      <c r="C936">
        <v>79679</v>
      </c>
      <c r="D936" s="2" t="s">
        <v>29</v>
      </c>
      <c r="E936">
        <v>1</v>
      </c>
      <c r="F936">
        <v>4</v>
      </c>
      <c r="G936" s="4">
        <f>VALUE(SUBSTITUTE(SUBSTITUTE(Table1[[#This Row],[Price]],"$",""),",",""))</f>
        <v>556797</v>
      </c>
      <c r="H936" s="1">
        <f>Table1[[#This Row],[Price2]]/Table1[[#This Row],[Area]]</f>
        <v>607.19411123227917</v>
      </c>
      <c r="I936">
        <v>917</v>
      </c>
      <c r="J936">
        <v>1959</v>
      </c>
      <c r="K936">
        <v>67</v>
      </c>
      <c r="L936" t="s">
        <v>14</v>
      </c>
      <c r="M936" t="s">
        <v>2661</v>
      </c>
      <c r="N936" s="2" t="s">
        <v>3035</v>
      </c>
      <c r="O936" t="s">
        <v>3036</v>
      </c>
      <c r="P936" t="s">
        <v>26</v>
      </c>
      <c r="Q936">
        <v>607.19411123227917</v>
      </c>
      <c r="R936">
        <f ca="1">YEAR(TODAY())-Table1[[#This Row],[Year Built]]</f>
        <v>67</v>
      </c>
      <c r="S936" t="str">
        <f>IF(Table1[[#This Row],[Days on Market]] &lt; 30,"Fast",IF(Table1[[#This Row],[Days on Market]]&lt;= 90,"Average", "Slow"))</f>
        <v>Average</v>
      </c>
      <c r="T936" t="str">
        <f>IF(Table1[[#This Row],[Price2]]&lt;500000,"Affordable",IF(Table1[[#This Row],[Price2]]&lt;1000000,"Mid range","Luxury"))</f>
        <v>Mid range</v>
      </c>
    </row>
    <row r="937" spans="1:20" x14ac:dyDescent="0.35">
      <c r="A937" s="3">
        <v>557489</v>
      </c>
      <c r="B937" s="2" t="s">
        <v>34</v>
      </c>
      <c r="C937">
        <v>42781</v>
      </c>
      <c r="D937" s="2" t="s">
        <v>18</v>
      </c>
      <c r="E937">
        <v>5</v>
      </c>
      <c r="F937">
        <v>1</v>
      </c>
      <c r="G937" s="4">
        <f>VALUE(SUBSTITUTE(SUBSTITUTE(Table1[[#This Row],[Price]],"$",""),",",""))</f>
        <v>557489</v>
      </c>
      <c r="H937" s="1">
        <f>Table1[[#This Row],[Price2]]/Table1[[#This Row],[Area]]</f>
        <v>359.9025177533893</v>
      </c>
      <c r="I937">
        <v>1549</v>
      </c>
      <c r="J937">
        <v>1998</v>
      </c>
      <c r="K937">
        <v>107</v>
      </c>
      <c r="L937" t="s">
        <v>14</v>
      </c>
      <c r="M937" t="s">
        <v>1085</v>
      </c>
      <c r="N937" s="2" t="s">
        <v>3033</v>
      </c>
      <c r="O937" t="s">
        <v>3034</v>
      </c>
      <c r="P937" t="s">
        <v>21</v>
      </c>
      <c r="Q937">
        <v>359.9025177533893</v>
      </c>
      <c r="R937">
        <f ca="1">YEAR(TODAY())-Table1[[#This Row],[Year Built]]</f>
        <v>28</v>
      </c>
      <c r="S937" t="str">
        <f>IF(Table1[[#This Row],[Days on Market]] &lt; 30,"Fast",IF(Table1[[#This Row],[Days on Market]]&lt;= 90,"Average", "Slow"))</f>
        <v>Slow</v>
      </c>
      <c r="T937" t="str">
        <f>IF(Table1[[#This Row],[Price2]]&lt;500000,"Affordable",IF(Table1[[#This Row],[Price2]]&lt;1000000,"Mid range","Luxury"))</f>
        <v>Mid range</v>
      </c>
    </row>
    <row r="938" spans="1:20" x14ac:dyDescent="0.35">
      <c r="A938" s="3">
        <v>557894</v>
      </c>
      <c r="B938" s="2" t="s">
        <v>17</v>
      </c>
      <c r="C938">
        <v>52141</v>
      </c>
      <c r="D938" s="2" t="s">
        <v>18</v>
      </c>
      <c r="E938">
        <v>5</v>
      </c>
      <c r="F938">
        <v>1</v>
      </c>
      <c r="G938" s="4">
        <f>VALUE(SUBSTITUTE(SUBSTITUTE(Table1[[#This Row],[Price]],"$",""),",",""))</f>
        <v>557894</v>
      </c>
      <c r="H938" s="1">
        <f>Table1[[#This Row],[Price2]]/Table1[[#This Row],[Area]]</f>
        <v>218.69619756958056</v>
      </c>
      <c r="I938">
        <v>2551</v>
      </c>
      <c r="J938">
        <v>2006</v>
      </c>
      <c r="K938">
        <v>76</v>
      </c>
      <c r="L938" t="s">
        <v>14</v>
      </c>
      <c r="M938" t="s">
        <v>97</v>
      </c>
      <c r="N938" s="2" t="s">
        <v>3031</v>
      </c>
      <c r="O938" t="s">
        <v>3032</v>
      </c>
      <c r="P938" t="s">
        <v>21</v>
      </c>
      <c r="Q938">
        <v>218.69619756958056</v>
      </c>
      <c r="R938">
        <f ca="1">YEAR(TODAY())-Table1[[#This Row],[Year Built]]</f>
        <v>20</v>
      </c>
      <c r="S938" t="str">
        <f>IF(Table1[[#This Row],[Days on Market]] &lt; 30,"Fast",IF(Table1[[#This Row],[Days on Market]]&lt;= 90,"Average", "Slow"))</f>
        <v>Average</v>
      </c>
      <c r="T938" t="str">
        <f>IF(Table1[[#This Row],[Price2]]&lt;500000,"Affordable",IF(Table1[[#This Row],[Price2]]&lt;1000000,"Mid range","Luxury"))</f>
        <v>Mid range</v>
      </c>
    </row>
    <row r="939" spans="1:20" x14ac:dyDescent="0.35">
      <c r="A939" s="3">
        <v>558267</v>
      </c>
      <c r="B939" s="2" t="s">
        <v>34</v>
      </c>
      <c r="C939">
        <v>35045</v>
      </c>
      <c r="D939" s="2" t="s">
        <v>29</v>
      </c>
      <c r="E939">
        <v>1</v>
      </c>
      <c r="F939">
        <v>3</v>
      </c>
      <c r="G939" s="4">
        <f>VALUE(SUBSTITUTE(SUBSTITUTE(Table1[[#This Row],[Price]],"$",""),",",""))</f>
        <v>558267</v>
      </c>
      <c r="H939" s="1">
        <f>Table1[[#This Row],[Price2]]/Table1[[#This Row],[Area]]</f>
        <v>371.68242343541942</v>
      </c>
      <c r="I939">
        <v>1502</v>
      </c>
      <c r="J939">
        <v>1975</v>
      </c>
      <c r="K939">
        <v>106</v>
      </c>
      <c r="L939" t="s">
        <v>14</v>
      </c>
      <c r="M939" t="s">
        <v>513</v>
      </c>
      <c r="N939" s="2" t="s">
        <v>3027</v>
      </c>
      <c r="O939" t="s">
        <v>3028</v>
      </c>
      <c r="P939" t="s">
        <v>26</v>
      </c>
      <c r="Q939">
        <v>371.68242343541942</v>
      </c>
      <c r="R939">
        <f ca="1">YEAR(TODAY())-Table1[[#This Row],[Year Built]]</f>
        <v>51</v>
      </c>
      <c r="S939" t="str">
        <f>IF(Table1[[#This Row],[Days on Market]] &lt; 30,"Fast",IF(Table1[[#This Row],[Days on Market]]&lt;= 90,"Average", "Slow"))</f>
        <v>Slow</v>
      </c>
      <c r="T939" t="str">
        <f>IF(Table1[[#This Row],[Price2]]&lt;500000,"Affordable",IF(Table1[[#This Row],[Price2]]&lt;1000000,"Mid range","Luxury"))</f>
        <v>Mid range</v>
      </c>
    </row>
    <row r="940" spans="1:20" x14ac:dyDescent="0.35">
      <c r="A940" s="3">
        <v>558631</v>
      </c>
      <c r="B940" s="2" t="s">
        <v>22</v>
      </c>
      <c r="C940">
        <v>38964</v>
      </c>
      <c r="D940" s="2" t="s">
        <v>18</v>
      </c>
      <c r="E940">
        <v>1</v>
      </c>
      <c r="F940">
        <v>2</v>
      </c>
      <c r="G940" s="4">
        <f>VALUE(SUBSTITUTE(SUBSTITUTE(Table1[[#This Row],[Price]],"$",""),",",""))</f>
        <v>558631</v>
      </c>
      <c r="H940" s="1">
        <f>Table1[[#This Row],[Price2]]/Table1[[#This Row],[Area]]</f>
        <v>292.0182958703607</v>
      </c>
      <c r="I940">
        <v>1913</v>
      </c>
      <c r="J940">
        <v>2017</v>
      </c>
      <c r="K940">
        <v>94</v>
      </c>
      <c r="L940" t="s">
        <v>40</v>
      </c>
      <c r="M940" t="s">
        <v>1164</v>
      </c>
      <c r="N940" s="2" t="s">
        <v>3031</v>
      </c>
      <c r="O940" t="s">
        <v>3032</v>
      </c>
      <c r="P940" t="s">
        <v>21</v>
      </c>
      <c r="Q940">
        <v>292.0182958703607</v>
      </c>
      <c r="R940">
        <f ca="1">YEAR(TODAY())-Table1[[#This Row],[Year Built]]</f>
        <v>9</v>
      </c>
      <c r="S940" t="str">
        <f>IF(Table1[[#This Row],[Days on Market]] &lt; 30,"Fast",IF(Table1[[#This Row],[Days on Market]]&lt;= 90,"Average", "Slow"))</f>
        <v>Slow</v>
      </c>
      <c r="T940" t="str">
        <f>IF(Table1[[#This Row],[Price2]]&lt;500000,"Affordable",IF(Table1[[#This Row],[Price2]]&lt;1000000,"Mid range","Luxury"))</f>
        <v>Mid range</v>
      </c>
    </row>
    <row r="941" spans="1:20" x14ac:dyDescent="0.35">
      <c r="A941" s="3">
        <v>560234</v>
      </c>
      <c r="B941" s="2" t="s">
        <v>22</v>
      </c>
      <c r="C941">
        <v>76866</v>
      </c>
      <c r="D941" s="2" t="s">
        <v>23</v>
      </c>
      <c r="E941">
        <v>1</v>
      </c>
      <c r="F941">
        <v>4</v>
      </c>
      <c r="G941" s="4">
        <f>VALUE(SUBSTITUTE(SUBSTITUTE(Table1[[#This Row],[Price]],"$",""),",",""))</f>
        <v>560234</v>
      </c>
      <c r="H941" s="1">
        <f>Table1[[#This Row],[Price2]]/Table1[[#This Row],[Area]]</f>
        <v>347.32424054556725</v>
      </c>
      <c r="I941">
        <v>1613</v>
      </c>
      <c r="J941">
        <v>1958</v>
      </c>
      <c r="K941">
        <v>116</v>
      </c>
      <c r="L941" t="s">
        <v>52</v>
      </c>
      <c r="M941" t="s">
        <v>713</v>
      </c>
      <c r="N941" s="2" t="s">
        <v>3035</v>
      </c>
      <c r="O941" t="s">
        <v>3036</v>
      </c>
      <c r="P941" t="s">
        <v>21</v>
      </c>
      <c r="Q941">
        <v>347.32424054556725</v>
      </c>
      <c r="R941">
        <f ca="1">YEAR(TODAY())-Table1[[#This Row],[Year Built]]</f>
        <v>68</v>
      </c>
      <c r="S941" t="str">
        <f>IF(Table1[[#This Row],[Days on Market]] &lt; 30,"Fast",IF(Table1[[#This Row],[Days on Market]]&lt;= 90,"Average", "Slow"))</f>
        <v>Slow</v>
      </c>
      <c r="T941" t="str">
        <f>IF(Table1[[#This Row],[Price2]]&lt;500000,"Affordable",IF(Table1[[#This Row],[Price2]]&lt;1000000,"Mid range","Luxury"))</f>
        <v>Mid range</v>
      </c>
    </row>
    <row r="942" spans="1:20" x14ac:dyDescent="0.35">
      <c r="A942" s="3">
        <v>560442</v>
      </c>
      <c r="B942" s="2" t="s">
        <v>17</v>
      </c>
      <c r="C942">
        <v>77955</v>
      </c>
      <c r="D942" s="2" t="s">
        <v>35</v>
      </c>
      <c r="E942">
        <v>4</v>
      </c>
      <c r="F942">
        <v>2</v>
      </c>
      <c r="G942" s="4">
        <f>VALUE(SUBSTITUTE(SUBSTITUTE(Table1[[#This Row],[Price]],"$",""),",",""))</f>
        <v>560442</v>
      </c>
      <c r="H942" s="1">
        <f>Table1[[#This Row],[Price2]]/Table1[[#This Row],[Area]]</f>
        <v>612.50491803278692</v>
      </c>
      <c r="I942">
        <v>915</v>
      </c>
      <c r="J942">
        <v>2023</v>
      </c>
      <c r="K942">
        <v>105</v>
      </c>
      <c r="L942" t="s">
        <v>19</v>
      </c>
      <c r="M942" t="s">
        <v>2628</v>
      </c>
      <c r="N942" s="2" t="s">
        <v>3035</v>
      </c>
      <c r="O942" t="s">
        <v>3036</v>
      </c>
      <c r="P942" t="s">
        <v>21</v>
      </c>
      <c r="Q942">
        <v>612.50491803278692</v>
      </c>
      <c r="R942">
        <f ca="1">YEAR(TODAY())-Table1[[#This Row],[Year Built]]</f>
        <v>3</v>
      </c>
      <c r="S942" t="str">
        <f>IF(Table1[[#This Row],[Days on Market]] &lt; 30,"Fast",IF(Table1[[#This Row],[Days on Market]]&lt;= 90,"Average", "Slow"))</f>
        <v>Slow</v>
      </c>
      <c r="T942" t="str">
        <f>IF(Table1[[#This Row],[Price2]]&lt;500000,"Affordable",IF(Table1[[#This Row],[Price2]]&lt;1000000,"Mid range","Luxury"))</f>
        <v>Mid range</v>
      </c>
    </row>
    <row r="943" spans="1:20" x14ac:dyDescent="0.35">
      <c r="A943" s="3">
        <v>561221</v>
      </c>
      <c r="B943" s="2" t="s">
        <v>22</v>
      </c>
      <c r="C943">
        <v>43399</v>
      </c>
      <c r="D943" s="2" t="s">
        <v>13</v>
      </c>
      <c r="E943">
        <v>1</v>
      </c>
      <c r="F943">
        <v>4</v>
      </c>
      <c r="G943" s="4">
        <f>VALUE(SUBSTITUTE(SUBSTITUTE(Table1[[#This Row],[Price]],"$",""),",",""))</f>
        <v>561221</v>
      </c>
      <c r="H943" s="1">
        <f>Table1[[#This Row],[Price2]]/Table1[[#This Row],[Area]]</f>
        <v>149.53930189181989</v>
      </c>
      <c r="I943">
        <v>3753</v>
      </c>
      <c r="J943">
        <v>1979</v>
      </c>
      <c r="K943">
        <v>25</v>
      </c>
      <c r="L943" t="s">
        <v>19</v>
      </c>
      <c r="M943" t="s">
        <v>2659</v>
      </c>
      <c r="N943" s="2" t="s">
        <v>3033</v>
      </c>
      <c r="O943" t="s">
        <v>3034</v>
      </c>
      <c r="P943" t="s">
        <v>21</v>
      </c>
      <c r="Q943">
        <v>149.53930189181989</v>
      </c>
      <c r="R943">
        <f ca="1">YEAR(TODAY())-Table1[[#This Row],[Year Built]]</f>
        <v>47</v>
      </c>
      <c r="S943" t="str">
        <f>IF(Table1[[#This Row],[Days on Market]] &lt; 30,"Fast",IF(Table1[[#This Row],[Days on Market]]&lt;= 90,"Average", "Slow"))</f>
        <v>Fast</v>
      </c>
      <c r="T943" t="str">
        <f>IF(Table1[[#This Row],[Price2]]&lt;500000,"Affordable",IF(Table1[[#This Row],[Price2]]&lt;1000000,"Mid range","Luxury"))</f>
        <v>Mid range</v>
      </c>
    </row>
    <row r="944" spans="1:20" x14ac:dyDescent="0.35">
      <c r="A944" s="3">
        <v>561390</v>
      </c>
      <c r="B944" s="2" t="s">
        <v>22</v>
      </c>
      <c r="C944">
        <v>88464</v>
      </c>
      <c r="D944" s="2" t="s">
        <v>13</v>
      </c>
      <c r="E944">
        <v>1</v>
      </c>
      <c r="F944">
        <v>4</v>
      </c>
      <c r="G944" s="4">
        <f>VALUE(SUBSTITUTE(SUBSTITUTE(Table1[[#This Row],[Price]],"$",""),",",""))</f>
        <v>561390</v>
      </c>
      <c r="H944" s="1">
        <f>Table1[[#This Row],[Price2]]/Table1[[#This Row],[Area]]</f>
        <v>168.33283358320838</v>
      </c>
      <c r="I944">
        <v>3335</v>
      </c>
      <c r="J944">
        <v>1991</v>
      </c>
      <c r="K944">
        <v>78</v>
      </c>
      <c r="L944" t="s">
        <v>14</v>
      </c>
      <c r="M944" t="s">
        <v>2212</v>
      </c>
      <c r="N944" s="2" t="s">
        <v>3035</v>
      </c>
      <c r="O944" t="s">
        <v>3036</v>
      </c>
      <c r="P944" t="s">
        <v>26</v>
      </c>
      <c r="Q944">
        <v>168.33283358320838</v>
      </c>
      <c r="R944">
        <f ca="1">YEAR(TODAY())-Table1[[#This Row],[Year Built]]</f>
        <v>35</v>
      </c>
      <c r="S944" t="str">
        <f>IF(Table1[[#This Row],[Days on Market]] &lt; 30,"Fast",IF(Table1[[#This Row],[Days on Market]]&lt;= 90,"Average", "Slow"))</f>
        <v>Average</v>
      </c>
      <c r="T944" t="str">
        <f>IF(Table1[[#This Row],[Price2]]&lt;500000,"Affordable",IF(Table1[[#This Row],[Price2]]&lt;1000000,"Mid range","Luxury"))</f>
        <v>Mid range</v>
      </c>
    </row>
    <row r="945" spans="1:20" x14ac:dyDescent="0.35">
      <c r="A945" s="3">
        <v>562297</v>
      </c>
      <c r="B945" s="2" t="s">
        <v>17</v>
      </c>
      <c r="C945">
        <v>38332</v>
      </c>
      <c r="D945" s="2" t="s">
        <v>23</v>
      </c>
      <c r="E945">
        <v>2</v>
      </c>
      <c r="F945">
        <v>1</v>
      </c>
      <c r="G945" s="4">
        <f>VALUE(SUBSTITUTE(SUBSTITUTE(Table1[[#This Row],[Price]],"$",""),",",""))</f>
        <v>562297</v>
      </c>
      <c r="H945" s="1">
        <f>Table1[[#This Row],[Price2]]/Table1[[#This Row],[Area]]</f>
        <v>165.43012650779642</v>
      </c>
      <c r="I945">
        <v>3399</v>
      </c>
      <c r="J945">
        <v>2008</v>
      </c>
      <c r="K945">
        <v>8</v>
      </c>
      <c r="L945" t="s">
        <v>19</v>
      </c>
      <c r="M945" t="s">
        <v>1074</v>
      </c>
      <c r="N945" s="2" t="s">
        <v>3029</v>
      </c>
      <c r="O945" t="s">
        <v>3030</v>
      </c>
      <c r="P945" t="s">
        <v>21</v>
      </c>
      <c r="Q945">
        <v>165.43012650779642</v>
      </c>
      <c r="R945">
        <f ca="1">YEAR(TODAY())-Table1[[#This Row],[Year Built]]</f>
        <v>18</v>
      </c>
      <c r="S945" t="str">
        <f>IF(Table1[[#This Row],[Days on Market]] &lt; 30,"Fast",IF(Table1[[#This Row],[Days on Market]]&lt;= 90,"Average", "Slow"))</f>
        <v>Fast</v>
      </c>
      <c r="T945" t="str">
        <f>IF(Table1[[#This Row],[Price2]]&lt;500000,"Affordable",IF(Table1[[#This Row],[Price2]]&lt;1000000,"Mid range","Luxury"))</f>
        <v>Mid range</v>
      </c>
    </row>
    <row r="946" spans="1:20" x14ac:dyDescent="0.35">
      <c r="A946" s="3">
        <v>562937</v>
      </c>
      <c r="B946" s="2" t="s">
        <v>22</v>
      </c>
      <c r="C946">
        <v>63240</v>
      </c>
      <c r="D946" s="2" t="s">
        <v>23</v>
      </c>
      <c r="E946">
        <v>2</v>
      </c>
      <c r="F946">
        <v>4</v>
      </c>
      <c r="G946" s="4">
        <f>VALUE(SUBSTITUTE(SUBSTITUTE(Table1[[#This Row],[Price]],"$",""),",",""))</f>
        <v>562937</v>
      </c>
      <c r="H946" s="1">
        <f>Table1[[#This Row],[Price2]]/Table1[[#This Row],[Area]]</f>
        <v>143.78978288633462</v>
      </c>
      <c r="I946">
        <v>3915</v>
      </c>
      <c r="J946">
        <v>2010</v>
      </c>
      <c r="K946">
        <v>43</v>
      </c>
      <c r="L946" t="s">
        <v>19</v>
      </c>
      <c r="M946" t="s">
        <v>711</v>
      </c>
      <c r="N946" s="2" t="s">
        <v>3027</v>
      </c>
      <c r="O946" t="s">
        <v>3028</v>
      </c>
      <c r="P946" t="s">
        <v>21</v>
      </c>
      <c r="Q946">
        <v>143.78978288633462</v>
      </c>
      <c r="R946">
        <f ca="1">YEAR(TODAY())-Table1[[#This Row],[Year Built]]</f>
        <v>16</v>
      </c>
      <c r="S946" t="str">
        <f>IF(Table1[[#This Row],[Days on Market]] &lt; 30,"Fast",IF(Table1[[#This Row],[Days on Market]]&lt;= 90,"Average", "Slow"))</f>
        <v>Average</v>
      </c>
      <c r="T946" t="str">
        <f>IF(Table1[[#This Row],[Price2]]&lt;500000,"Affordable",IF(Table1[[#This Row],[Price2]]&lt;1000000,"Mid range","Luxury"))</f>
        <v>Mid range</v>
      </c>
    </row>
    <row r="947" spans="1:20" x14ac:dyDescent="0.35">
      <c r="A947" s="3">
        <v>563082</v>
      </c>
      <c r="B947" s="2" t="s">
        <v>12</v>
      </c>
      <c r="C947">
        <v>29137</v>
      </c>
      <c r="D947" s="2" t="s">
        <v>18</v>
      </c>
      <c r="E947">
        <v>6</v>
      </c>
      <c r="F947">
        <v>4</v>
      </c>
      <c r="G947" s="4">
        <f>VALUE(SUBSTITUTE(SUBSTITUTE(Table1[[#This Row],[Price]],"$",""),",",""))</f>
        <v>563082</v>
      </c>
      <c r="H947" s="1">
        <f>Table1[[#This Row],[Price2]]/Table1[[#This Row],[Area]]</f>
        <v>552.0411764705882</v>
      </c>
      <c r="I947">
        <v>1020</v>
      </c>
      <c r="J947">
        <v>2020</v>
      </c>
      <c r="K947">
        <v>20</v>
      </c>
      <c r="L947" t="s">
        <v>52</v>
      </c>
      <c r="M947" t="s">
        <v>1006</v>
      </c>
      <c r="N947" s="2" t="s">
        <v>3033</v>
      </c>
      <c r="O947" t="s">
        <v>3034</v>
      </c>
      <c r="P947" t="s">
        <v>26</v>
      </c>
      <c r="Q947">
        <v>552.0411764705882</v>
      </c>
      <c r="R947">
        <f ca="1">YEAR(TODAY())-Table1[[#This Row],[Year Built]]</f>
        <v>6</v>
      </c>
      <c r="S947" t="str">
        <f>IF(Table1[[#This Row],[Days on Market]] &lt; 30,"Fast",IF(Table1[[#This Row],[Days on Market]]&lt;= 90,"Average", "Slow"))</f>
        <v>Fast</v>
      </c>
      <c r="T947" t="str">
        <f>IF(Table1[[#This Row],[Price2]]&lt;500000,"Affordable",IF(Table1[[#This Row],[Price2]]&lt;1000000,"Mid range","Luxury"))</f>
        <v>Mid range</v>
      </c>
    </row>
    <row r="948" spans="1:20" x14ac:dyDescent="0.35">
      <c r="A948" s="3">
        <v>563185</v>
      </c>
      <c r="B948" s="2" t="s">
        <v>34</v>
      </c>
      <c r="C948">
        <v>96346</v>
      </c>
      <c r="D948" s="2" t="s">
        <v>29</v>
      </c>
      <c r="E948">
        <v>5</v>
      </c>
      <c r="F948">
        <v>4</v>
      </c>
      <c r="G948" s="4">
        <f>VALUE(SUBSTITUTE(SUBSTITUTE(Table1[[#This Row],[Price]],"$",""),",",""))</f>
        <v>563185</v>
      </c>
      <c r="H948" s="1">
        <f>Table1[[#This Row],[Price2]]/Table1[[#This Row],[Area]]</f>
        <v>153.9177370866357</v>
      </c>
      <c r="I948">
        <v>3659</v>
      </c>
      <c r="J948">
        <v>1980</v>
      </c>
      <c r="K948">
        <v>52</v>
      </c>
      <c r="L948" t="s">
        <v>52</v>
      </c>
      <c r="M948" t="s">
        <v>2825</v>
      </c>
      <c r="N948" s="2" t="s">
        <v>3033</v>
      </c>
      <c r="O948" t="s">
        <v>3034</v>
      </c>
      <c r="P948" t="s">
        <v>16</v>
      </c>
      <c r="Q948">
        <v>153.9177370866357</v>
      </c>
      <c r="R948">
        <f ca="1">YEAR(TODAY())-Table1[[#This Row],[Year Built]]</f>
        <v>46</v>
      </c>
      <c r="S948" t="str">
        <f>IF(Table1[[#This Row],[Days on Market]] &lt; 30,"Fast",IF(Table1[[#This Row],[Days on Market]]&lt;= 90,"Average", "Slow"))</f>
        <v>Average</v>
      </c>
      <c r="T948" t="str">
        <f>IF(Table1[[#This Row],[Price2]]&lt;500000,"Affordable",IF(Table1[[#This Row],[Price2]]&lt;1000000,"Mid range","Luxury"))</f>
        <v>Mid range</v>
      </c>
    </row>
    <row r="949" spans="1:20" x14ac:dyDescent="0.35">
      <c r="A949" s="3">
        <v>563319</v>
      </c>
      <c r="B949" s="2" t="s">
        <v>12</v>
      </c>
      <c r="C949">
        <v>79585</v>
      </c>
      <c r="D949" s="2" t="s">
        <v>18</v>
      </c>
      <c r="E949">
        <v>1</v>
      </c>
      <c r="F949">
        <v>1</v>
      </c>
      <c r="G949" s="4">
        <f>VALUE(SUBSTITUTE(SUBSTITUTE(Table1[[#This Row],[Price]],"$",""),",",""))</f>
        <v>563319</v>
      </c>
      <c r="H949" s="1">
        <f>Table1[[#This Row],[Price2]]/Table1[[#This Row],[Area]]</f>
        <v>321.34569309754704</v>
      </c>
      <c r="I949">
        <v>1753</v>
      </c>
      <c r="J949">
        <v>1954</v>
      </c>
      <c r="K949">
        <v>2</v>
      </c>
      <c r="L949" t="s">
        <v>30</v>
      </c>
      <c r="M949" t="s">
        <v>1921</v>
      </c>
      <c r="N949" s="2" t="s">
        <v>3027</v>
      </c>
      <c r="O949" t="s">
        <v>3028</v>
      </c>
      <c r="P949" t="s">
        <v>26</v>
      </c>
      <c r="Q949">
        <v>321.34569309754704</v>
      </c>
      <c r="R949">
        <f ca="1">YEAR(TODAY())-Table1[[#This Row],[Year Built]]</f>
        <v>72</v>
      </c>
      <c r="S949" t="str">
        <f>IF(Table1[[#This Row],[Days on Market]] &lt; 30,"Fast",IF(Table1[[#This Row],[Days on Market]]&lt;= 90,"Average", "Slow"))</f>
        <v>Fast</v>
      </c>
      <c r="T949" t="str">
        <f>IF(Table1[[#This Row],[Price2]]&lt;500000,"Affordable",IF(Table1[[#This Row],[Price2]]&lt;1000000,"Mid range","Luxury"))</f>
        <v>Mid range</v>
      </c>
    </row>
    <row r="950" spans="1:20" x14ac:dyDescent="0.35">
      <c r="A950" s="3">
        <v>563528</v>
      </c>
      <c r="B950" s="2" t="s">
        <v>17</v>
      </c>
      <c r="C950">
        <v>16892</v>
      </c>
      <c r="D950" s="2" t="s">
        <v>23</v>
      </c>
      <c r="E950">
        <v>2</v>
      </c>
      <c r="F950">
        <v>4</v>
      </c>
      <c r="G950" s="4">
        <f>VALUE(SUBSTITUTE(SUBSTITUTE(Table1[[#This Row],[Price]],"$",""),",",""))</f>
        <v>563528</v>
      </c>
      <c r="H950" s="1">
        <f>Table1[[#This Row],[Price2]]/Table1[[#This Row],[Area]]</f>
        <v>427.23881728582262</v>
      </c>
      <c r="I950">
        <v>1319</v>
      </c>
      <c r="J950">
        <v>2007</v>
      </c>
      <c r="K950">
        <v>72</v>
      </c>
      <c r="L950" t="s">
        <v>14</v>
      </c>
      <c r="M950" t="s">
        <v>337</v>
      </c>
      <c r="N950" s="2" t="s">
        <v>3029</v>
      </c>
      <c r="O950" t="s">
        <v>3030</v>
      </c>
      <c r="P950" t="s">
        <v>21</v>
      </c>
      <c r="Q950">
        <v>427.23881728582262</v>
      </c>
      <c r="R950">
        <f ca="1">YEAR(TODAY())-Table1[[#This Row],[Year Built]]</f>
        <v>19</v>
      </c>
      <c r="S950" t="str">
        <f>IF(Table1[[#This Row],[Days on Market]] &lt; 30,"Fast",IF(Table1[[#This Row],[Days on Market]]&lt;= 90,"Average", "Slow"))</f>
        <v>Average</v>
      </c>
      <c r="T950" t="str">
        <f>IF(Table1[[#This Row],[Price2]]&lt;500000,"Affordable",IF(Table1[[#This Row],[Price2]]&lt;1000000,"Mid range","Luxury"))</f>
        <v>Mid range</v>
      </c>
    </row>
    <row r="951" spans="1:20" x14ac:dyDescent="0.35">
      <c r="A951" s="3">
        <v>563715</v>
      </c>
      <c r="B951" s="2" t="s">
        <v>27</v>
      </c>
      <c r="C951">
        <v>88335</v>
      </c>
      <c r="D951" s="2" t="s">
        <v>35</v>
      </c>
      <c r="E951">
        <v>5</v>
      </c>
      <c r="F951">
        <v>4</v>
      </c>
      <c r="G951" s="4">
        <f>VALUE(SUBSTITUTE(SUBSTITUTE(Table1[[#This Row],[Price]],"$",""),",",""))</f>
        <v>563715</v>
      </c>
      <c r="H951" s="1">
        <f>Table1[[#This Row],[Price2]]/Table1[[#This Row],[Area]]</f>
        <v>263.04946336910871</v>
      </c>
      <c r="I951">
        <v>2143</v>
      </c>
      <c r="J951">
        <v>1988</v>
      </c>
      <c r="K951">
        <v>28</v>
      </c>
      <c r="L951" t="s">
        <v>40</v>
      </c>
      <c r="M951" t="s">
        <v>522</v>
      </c>
      <c r="N951" s="2" t="s">
        <v>3031</v>
      </c>
      <c r="O951" t="s">
        <v>3032</v>
      </c>
      <c r="P951" t="s">
        <v>16</v>
      </c>
      <c r="Q951">
        <v>263.04946336910871</v>
      </c>
      <c r="R951">
        <f ca="1">YEAR(TODAY())-Table1[[#This Row],[Year Built]]</f>
        <v>38</v>
      </c>
      <c r="S951" t="str">
        <f>IF(Table1[[#This Row],[Days on Market]] &lt; 30,"Fast",IF(Table1[[#This Row],[Days on Market]]&lt;= 90,"Average", "Slow"))</f>
        <v>Fast</v>
      </c>
      <c r="T951" t="str">
        <f>IF(Table1[[#This Row],[Price2]]&lt;500000,"Affordable",IF(Table1[[#This Row],[Price2]]&lt;1000000,"Mid range","Luxury"))</f>
        <v>Mid range</v>
      </c>
    </row>
    <row r="952" spans="1:20" x14ac:dyDescent="0.35">
      <c r="A952" s="3">
        <v>563864</v>
      </c>
      <c r="B952" s="2" t="s">
        <v>17</v>
      </c>
      <c r="C952">
        <v>61586</v>
      </c>
      <c r="D952" s="2" t="s">
        <v>35</v>
      </c>
      <c r="E952">
        <v>4</v>
      </c>
      <c r="F952">
        <v>3</v>
      </c>
      <c r="G952" s="4">
        <f>VALUE(SUBSTITUTE(SUBSTITUTE(Table1[[#This Row],[Price]],"$",""),",",""))</f>
        <v>563864</v>
      </c>
      <c r="H952" s="1">
        <f>Table1[[#This Row],[Price2]]/Table1[[#This Row],[Area]]</f>
        <v>178.55098163394553</v>
      </c>
      <c r="I952">
        <v>3158</v>
      </c>
      <c r="J952">
        <v>1960</v>
      </c>
      <c r="K952">
        <v>76</v>
      </c>
      <c r="L952" t="s">
        <v>14</v>
      </c>
      <c r="M952" t="s">
        <v>483</v>
      </c>
      <c r="N952" s="2" t="s">
        <v>3035</v>
      </c>
      <c r="O952" t="s">
        <v>3036</v>
      </c>
      <c r="P952" t="s">
        <v>16</v>
      </c>
      <c r="Q952">
        <v>178.55098163394553</v>
      </c>
      <c r="R952">
        <f ca="1">YEAR(TODAY())-Table1[[#This Row],[Year Built]]</f>
        <v>66</v>
      </c>
      <c r="S952" t="str">
        <f>IF(Table1[[#This Row],[Days on Market]] &lt; 30,"Fast",IF(Table1[[#This Row],[Days on Market]]&lt;= 90,"Average", "Slow"))</f>
        <v>Average</v>
      </c>
      <c r="T952" t="str">
        <f>IF(Table1[[#This Row],[Price2]]&lt;500000,"Affordable",IF(Table1[[#This Row],[Price2]]&lt;1000000,"Mid range","Luxury"))</f>
        <v>Mid range</v>
      </c>
    </row>
    <row r="953" spans="1:20" x14ac:dyDescent="0.35">
      <c r="A953" s="3">
        <v>564030</v>
      </c>
      <c r="B953" s="2" t="s">
        <v>22</v>
      </c>
      <c r="C953">
        <v>53113</v>
      </c>
      <c r="D953" s="2" t="s">
        <v>35</v>
      </c>
      <c r="E953">
        <v>6</v>
      </c>
      <c r="F953">
        <v>4</v>
      </c>
      <c r="G953" s="4">
        <f>VALUE(SUBSTITUTE(SUBSTITUTE(Table1[[#This Row],[Price]],"$",""),",",""))</f>
        <v>564030</v>
      </c>
      <c r="H953" s="1">
        <f>Table1[[#This Row],[Price2]]/Table1[[#This Row],[Area]]</f>
        <v>216.26917177914112</v>
      </c>
      <c r="I953">
        <v>2608</v>
      </c>
      <c r="J953">
        <v>1983</v>
      </c>
      <c r="K953">
        <v>73</v>
      </c>
      <c r="L953" t="s">
        <v>14</v>
      </c>
      <c r="M953" t="s">
        <v>776</v>
      </c>
      <c r="N953" s="2" t="s">
        <v>3035</v>
      </c>
      <c r="O953" t="s">
        <v>3036</v>
      </c>
      <c r="P953" t="s">
        <v>26</v>
      </c>
      <c r="Q953">
        <v>216.26917177914112</v>
      </c>
      <c r="R953">
        <f ca="1">YEAR(TODAY())-Table1[[#This Row],[Year Built]]</f>
        <v>43</v>
      </c>
      <c r="S953" t="str">
        <f>IF(Table1[[#This Row],[Days on Market]] &lt; 30,"Fast",IF(Table1[[#This Row],[Days on Market]]&lt;= 90,"Average", "Slow"))</f>
        <v>Average</v>
      </c>
      <c r="T953" t="str">
        <f>IF(Table1[[#This Row],[Price2]]&lt;500000,"Affordable",IF(Table1[[#This Row],[Price2]]&lt;1000000,"Mid range","Luxury"))</f>
        <v>Mid range</v>
      </c>
    </row>
    <row r="954" spans="1:20" x14ac:dyDescent="0.35">
      <c r="A954" s="3">
        <v>564035</v>
      </c>
      <c r="B954" s="2" t="s">
        <v>12</v>
      </c>
      <c r="C954">
        <v>54870</v>
      </c>
      <c r="D954" s="2" t="s">
        <v>23</v>
      </c>
      <c r="E954">
        <v>2</v>
      </c>
      <c r="F954">
        <v>4</v>
      </c>
      <c r="G954" s="4">
        <f>VALUE(SUBSTITUTE(SUBSTITUTE(Table1[[#This Row],[Price]],"$",""),",",""))</f>
        <v>564035</v>
      </c>
      <c r="H954" s="1">
        <f>Table1[[#This Row],[Price2]]/Table1[[#This Row],[Area]]</f>
        <v>329.45969626168227</v>
      </c>
      <c r="I954">
        <v>1712</v>
      </c>
      <c r="J954">
        <v>1965</v>
      </c>
      <c r="K954">
        <v>19</v>
      </c>
      <c r="L954" t="s">
        <v>40</v>
      </c>
      <c r="M954" t="s">
        <v>768</v>
      </c>
      <c r="N954" s="2" t="s">
        <v>3031</v>
      </c>
      <c r="O954" t="s">
        <v>3032</v>
      </c>
      <c r="P954" t="s">
        <v>21</v>
      </c>
      <c r="Q954">
        <v>329.45969626168227</v>
      </c>
      <c r="R954">
        <f ca="1">YEAR(TODAY())-Table1[[#This Row],[Year Built]]</f>
        <v>61</v>
      </c>
      <c r="S954" t="str">
        <f>IF(Table1[[#This Row],[Days on Market]] &lt; 30,"Fast",IF(Table1[[#This Row],[Days on Market]]&lt;= 90,"Average", "Slow"))</f>
        <v>Fast</v>
      </c>
      <c r="T954" t="str">
        <f>IF(Table1[[#This Row],[Price2]]&lt;500000,"Affordable",IF(Table1[[#This Row],[Price2]]&lt;1000000,"Mid range","Luxury"))</f>
        <v>Mid range</v>
      </c>
    </row>
    <row r="955" spans="1:20" x14ac:dyDescent="0.35">
      <c r="A955" s="3">
        <v>564122</v>
      </c>
      <c r="B955" s="2" t="s">
        <v>34</v>
      </c>
      <c r="C955">
        <v>78415</v>
      </c>
      <c r="D955" s="2" t="s">
        <v>18</v>
      </c>
      <c r="E955">
        <v>5</v>
      </c>
      <c r="F955">
        <v>2</v>
      </c>
      <c r="G955" s="4">
        <f>VALUE(SUBSTITUTE(SUBSTITUTE(Table1[[#This Row],[Price]],"$",""),",",""))</f>
        <v>564122</v>
      </c>
      <c r="H955" s="1">
        <f>Table1[[#This Row],[Price2]]/Table1[[#This Row],[Area]]</f>
        <v>354.79371069182389</v>
      </c>
      <c r="I955">
        <v>1590</v>
      </c>
      <c r="J955">
        <v>2015</v>
      </c>
      <c r="K955">
        <v>21</v>
      </c>
      <c r="L955" t="s">
        <v>52</v>
      </c>
      <c r="M955" t="s">
        <v>578</v>
      </c>
      <c r="N955" s="2" t="s">
        <v>3027</v>
      </c>
      <c r="O955" t="s">
        <v>3028</v>
      </c>
      <c r="P955" t="s">
        <v>16</v>
      </c>
      <c r="Q955">
        <v>354.79371069182389</v>
      </c>
      <c r="R955">
        <f ca="1">YEAR(TODAY())-Table1[[#This Row],[Year Built]]</f>
        <v>11</v>
      </c>
      <c r="S955" t="str">
        <f>IF(Table1[[#This Row],[Days on Market]] &lt; 30,"Fast",IF(Table1[[#This Row],[Days on Market]]&lt;= 90,"Average", "Slow"))</f>
        <v>Fast</v>
      </c>
      <c r="T955" t="str">
        <f>IF(Table1[[#This Row],[Price2]]&lt;500000,"Affordable",IF(Table1[[#This Row],[Price2]]&lt;1000000,"Mid range","Luxury"))</f>
        <v>Mid range</v>
      </c>
    </row>
    <row r="956" spans="1:20" x14ac:dyDescent="0.35">
      <c r="A956" s="3">
        <v>564670</v>
      </c>
      <c r="B956" s="2" t="s">
        <v>17</v>
      </c>
      <c r="C956">
        <v>49998</v>
      </c>
      <c r="D956" s="2" t="s">
        <v>35</v>
      </c>
      <c r="E956">
        <v>1</v>
      </c>
      <c r="F956">
        <v>4</v>
      </c>
      <c r="G956" s="4">
        <f>VALUE(SUBSTITUTE(SUBSTITUTE(Table1[[#This Row],[Price]],"$",""),",",""))</f>
        <v>564670</v>
      </c>
      <c r="H956" s="1">
        <f>Table1[[#This Row],[Price2]]/Table1[[#This Row],[Area]]</f>
        <v>152.07918125504983</v>
      </c>
      <c r="I956">
        <v>3713</v>
      </c>
      <c r="J956">
        <v>2017</v>
      </c>
      <c r="K956">
        <v>76</v>
      </c>
      <c r="L956" t="s">
        <v>19</v>
      </c>
      <c r="M956" t="s">
        <v>2966</v>
      </c>
      <c r="N956" s="2" t="s">
        <v>3035</v>
      </c>
      <c r="O956" t="s">
        <v>3036</v>
      </c>
      <c r="P956" t="s">
        <v>21</v>
      </c>
      <c r="Q956">
        <v>152.07918125504983</v>
      </c>
      <c r="R956">
        <f ca="1">YEAR(TODAY())-Table1[[#This Row],[Year Built]]</f>
        <v>9</v>
      </c>
      <c r="S956" t="str">
        <f>IF(Table1[[#This Row],[Days on Market]] &lt; 30,"Fast",IF(Table1[[#This Row],[Days on Market]]&lt;= 90,"Average", "Slow"))</f>
        <v>Average</v>
      </c>
      <c r="T956" t="str">
        <f>IF(Table1[[#This Row],[Price2]]&lt;500000,"Affordable",IF(Table1[[#This Row],[Price2]]&lt;1000000,"Mid range","Luxury"))</f>
        <v>Mid range</v>
      </c>
    </row>
    <row r="957" spans="1:20" x14ac:dyDescent="0.35">
      <c r="A957" s="3">
        <v>564752</v>
      </c>
      <c r="B957" s="2" t="s">
        <v>17</v>
      </c>
      <c r="C957">
        <v>18368</v>
      </c>
      <c r="D957" s="2" t="s">
        <v>35</v>
      </c>
      <c r="E957">
        <v>1</v>
      </c>
      <c r="F957">
        <v>4</v>
      </c>
      <c r="G957" s="4">
        <f>VALUE(SUBSTITUTE(SUBSTITUTE(Table1[[#This Row],[Price]],"$",""),",",""))</f>
        <v>564752</v>
      </c>
      <c r="H957" s="1">
        <f>Table1[[#This Row],[Price2]]/Table1[[#This Row],[Area]]</f>
        <v>176.20967238689548</v>
      </c>
      <c r="I957">
        <v>3205</v>
      </c>
      <c r="J957">
        <v>1980</v>
      </c>
      <c r="K957">
        <v>9</v>
      </c>
      <c r="L957" t="s">
        <v>52</v>
      </c>
      <c r="M957" t="s">
        <v>2733</v>
      </c>
      <c r="N957" s="2" t="s">
        <v>3029</v>
      </c>
      <c r="O957" t="s">
        <v>3030</v>
      </c>
      <c r="P957" t="s">
        <v>21</v>
      </c>
      <c r="Q957">
        <v>176.20967238689548</v>
      </c>
      <c r="R957">
        <f ca="1">YEAR(TODAY())-Table1[[#This Row],[Year Built]]</f>
        <v>46</v>
      </c>
      <c r="S957" t="str">
        <f>IF(Table1[[#This Row],[Days on Market]] &lt; 30,"Fast",IF(Table1[[#This Row],[Days on Market]]&lt;= 90,"Average", "Slow"))</f>
        <v>Fast</v>
      </c>
      <c r="T957" t="str">
        <f>IF(Table1[[#This Row],[Price2]]&lt;500000,"Affordable",IF(Table1[[#This Row],[Price2]]&lt;1000000,"Mid range","Luxury"))</f>
        <v>Mid range</v>
      </c>
    </row>
    <row r="958" spans="1:20" x14ac:dyDescent="0.35">
      <c r="A958" s="3">
        <v>564774</v>
      </c>
      <c r="B958" s="2" t="s">
        <v>22</v>
      </c>
      <c r="C958">
        <v>13806</v>
      </c>
      <c r="D958" s="2" t="s">
        <v>13</v>
      </c>
      <c r="E958">
        <v>3</v>
      </c>
      <c r="F958">
        <v>1</v>
      </c>
      <c r="G958" s="4">
        <f>VALUE(SUBSTITUTE(SUBSTITUTE(Table1[[#This Row],[Price]],"$",""),",",""))</f>
        <v>564774</v>
      </c>
      <c r="H958" s="1">
        <f>Table1[[#This Row],[Price2]]/Table1[[#This Row],[Area]]</f>
        <v>179.8643312101911</v>
      </c>
      <c r="I958">
        <v>3140</v>
      </c>
      <c r="J958">
        <v>2023</v>
      </c>
      <c r="K958">
        <v>5</v>
      </c>
      <c r="L958" t="s">
        <v>52</v>
      </c>
      <c r="M958" t="s">
        <v>1495</v>
      </c>
      <c r="N958" s="2" t="s">
        <v>3027</v>
      </c>
      <c r="O958" t="s">
        <v>3028</v>
      </c>
      <c r="P958" t="s">
        <v>16</v>
      </c>
      <c r="Q958">
        <v>179.8643312101911</v>
      </c>
      <c r="R958">
        <f ca="1">YEAR(TODAY())-Table1[[#This Row],[Year Built]]</f>
        <v>3</v>
      </c>
      <c r="S958" t="str">
        <f>IF(Table1[[#This Row],[Days on Market]] &lt; 30,"Fast",IF(Table1[[#This Row],[Days on Market]]&lt;= 90,"Average", "Slow"))</f>
        <v>Fast</v>
      </c>
      <c r="T958" t="str">
        <f>IF(Table1[[#This Row],[Price2]]&lt;500000,"Affordable",IF(Table1[[#This Row],[Price2]]&lt;1000000,"Mid range","Luxury"))</f>
        <v>Mid range</v>
      </c>
    </row>
    <row r="959" spans="1:20" x14ac:dyDescent="0.35">
      <c r="A959" s="3">
        <v>565021</v>
      </c>
      <c r="B959" s="2" t="s">
        <v>22</v>
      </c>
      <c r="C959">
        <v>14887</v>
      </c>
      <c r="D959" s="2" t="s">
        <v>35</v>
      </c>
      <c r="E959">
        <v>2</v>
      </c>
      <c r="F959">
        <v>1</v>
      </c>
      <c r="G959" s="4">
        <f>VALUE(SUBSTITUTE(SUBSTITUTE(Table1[[#This Row],[Price]],"$",""),",",""))</f>
        <v>565021</v>
      </c>
      <c r="H959" s="1">
        <f>Table1[[#This Row],[Price2]]/Table1[[#This Row],[Area]]</f>
        <v>303.44844253490868</v>
      </c>
      <c r="I959">
        <v>1862</v>
      </c>
      <c r="J959">
        <v>2010</v>
      </c>
      <c r="K959">
        <v>65</v>
      </c>
      <c r="L959" t="s">
        <v>40</v>
      </c>
      <c r="M959" t="s">
        <v>386</v>
      </c>
      <c r="N959" s="2" t="s">
        <v>3031</v>
      </c>
      <c r="O959" t="s">
        <v>3032</v>
      </c>
      <c r="P959" t="s">
        <v>16</v>
      </c>
      <c r="Q959">
        <v>303.44844253490868</v>
      </c>
      <c r="R959">
        <f ca="1">YEAR(TODAY())-Table1[[#This Row],[Year Built]]</f>
        <v>16</v>
      </c>
      <c r="S959" t="str">
        <f>IF(Table1[[#This Row],[Days on Market]] &lt; 30,"Fast",IF(Table1[[#This Row],[Days on Market]]&lt;= 90,"Average", "Slow"))</f>
        <v>Average</v>
      </c>
      <c r="T959" t="str">
        <f>IF(Table1[[#This Row],[Price2]]&lt;500000,"Affordable",IF(Table1[[#This Row],[Price2]]&lt;1000000,"Mid range","Luxury"))</f>
        <v>Mid range</v>
      </c>
    </row>
    <row r="960" spans="1:20" x14ac:dyDescent="0.35">
      <c r="A960" s="3">
        <v>565244</v>
      </c>
      <c r="B960" s="2" t="s">
        <v>17</v>
      </c>
      <c r="C960">
        <v>57967</v>
      </c>
      <c r="D960" s="2" t="s">
        <v>35</v>
      </c>
      <c r="E960">
        <v>2</v>
      </c>
      <c r="F960">
        <v>2</v>
      </c>
      <c r="G960" s="4">
        <f>VALUE(SUBSTITUTE(SUBSTITUTE(Table1[[#This Row],[Price]],"$",""),",",""))</f>
        <v>565244</v>
      </c>
      <c r="H960" s="1">
        <f>Table1[[#This Row],[Price2]]/Table1[[#This Row],[Area]]</f>
        <v>171.91119221411194</v>
      </c>
      <c r="I960">
        <v>3288</v>
      </c>
      <c r="J960">
        <v>2008</v>
      </c>
      <c r="K960">
        <v>70</v>
      </c>
      <c r="L960" t="s">
        <v>14</v>
      </c>
      <c r="M960" t="s">
        <v>662</v>
      </c>
      <c r="N960" s="2" t="s">
        <v>3027</v>
      </c>
      <c r="O960" t="s">
        <v>3028</v>
      </c>
      <c r="P960" t="s">
        <v>26</v>
      </c>
      <c r="Q960">
        <v>171.91119221411194</v>
      </c>
      <c r="R960">
        <f ca="1">YEAR(TODAY())-Table1[[#This Row],[Year Built]]</f>
        <v>18</v>
      </c>
      <c r="S960" t="str">
        <f>IF(Table1[[#This Row],[Days on Market]] &lt; 30,"Fast",IF(Table1[[#This Row],[Days on Market]]&lt;= 90,"Average", "Slow"))</f>
        <v>Average</v>
      </c>
      <c r="T960" t="str">
        <f>IF(Table1[[#This Row],[Price2]]&lt;500000,"Affordable",IF(Table1[[#This Row],[Price2]]&lt;1000000,"Mid range","Luxury"))</f>
        <v>Mid range</v>
      </c>
    </row>
    <row r="961" spans="1:20" x14ac:dyDescent="0.35">
      <c r="A961" s="3">
        <v>565668</v>
      </c>
      <c r="B961" s="2" t="s">
        <v>22</v>
      </c>
      <c r="C961">
        <v>24761</v>
      </c>
      <c r="D961" s="2" t="s">
        <v>13</v>
      </c>
      <c r="E961">
        <v>1</v>
      </c>
      <c r="F961">
        <v>4</v>
      </c>
      <c r="G961" s="4">
        <f>VALUE(SUBSTITUTE(SUBSTITUTE(Table1[[#This Row],[Price]],"$",""),",",""))</f>
        <v>565668</v>
      </c>
      <c r="H961" s="1">
        <f>Table1[[#This Row],[Price2]]/Table1[[#This Row],[Area]]</f>
        <v>207.12852435005493</v>
      </c>
      <c r="I961">
        <v>2731</v>
      </c>
      <c r="J961">
        <v>1968</v>
      </c>
      <c r="K961">
        <v>88</v>
      </c>
      <c r="L961" t="s">
        <v>30</v>
      </c>
      <c r="M961" t="s">
        <v>1914</v>
      </c>
      <c r="N961" s="2" t="s">
        <v>3031</v>
      </c>
      <c r="O961" t="s">
        <v>3032</v>
      </c>
      <c r="P961" t="s">
        <v>21</v>
      </c>
      <c r="Q961">
        <v>207.12852435005493</v>
      </c>
      <c r="R961">
        <f ca="1">YEAR(TODAY())-Table1[[#This Row],[Year Built]]</f>
        <v>58</v>
      </c>
      <c r="S961" t="str">
        <f>IF(Table1[[#This Row],[Days on Market]] &lt; 30,"Fast",IF(Table1[[#This Row],[Days on Market]]&lt;= 90,"Average", "Slow"))</f>
        <v>Average</v>
      </c>
      <c r="T961" t="str">
        <f>IF(Table1[[#This Row],[Price2]]&lt;500000,"Affordable",IF(Table1[[#This Row],[Price2]]&lt;1000000,"Mid range","Luxury"))</f>
        <v>Mid range</v>
      </c>
    </row>
    <row r="962" spans="1:20" x14ac:dyDescent="0.35">
      <c r="A962" s="3">
        <v>566038</v>
      </c>
      <c r="B962" s="2" t="s">
        <v>22</v>
      </c>
      <c r="C962">
        <v>71953</v>
      </c>
      <c r="D962" s="2" t="s">
        <v>13</v>
      </c>
      <c r="E962">
        <v>1</v>
      </c>
      <c r="F962">
        <v>2</v>
      </c>
      <c r="G962" s="4">
        <f>VALUE(SUBSTITUTE(SUBSTITUTE(Table1[[#This Row],[Price]],"$",""),",",""))</f>
        <v>566038</v>
      </c>
      <c r="H962" s="1">
        <f>Table1[[#This Row],[Price2]]/Table1[[#This Row],[Area]]</f>
        <v>217.53958493466564</v>
      </c>
      <c r="I962">
        <v>2602</v>
      </c>
      <c r="J962">
        <v>1956</v>
      </c>
      <c r="K962">
        <v>116</v>
      </c>
      <c r="L962" t="s">
        <v>52</v>
      </c>
      <c r="M962" t="s">
        <v>1166</v>
      </c>
      <c r="N962" s="2" t="s">
        <v>3035</v>
      </c>
      <c r="O962" t="s">
        <v>3036</v>
      </c>
      <c r="P962" t="s">
        <v>26</v>
      </c>
      <c r="Q962">
        <v>217.53958493466564</v>
      </c>
      <c r="R962">
        <f ca="1">YEAR(TODAY())-Table1[[#This Row],[Year Built]]</f>
        <v>70</v>
      </c>
      <c r="S962" t="str">
        <f>IF(Table1[[#This Row],[Days on Market]] &lt; 30,"Fast",IF(Table1[[#This Row],[Days on Market]]&lt;= 90,"Average", "Slow"))</f>
        <v>Slow</v>
      </c>
      <c r="T962" t="str">
        <f>IF(Table1[[#This Row],[Price2]]&lt;500000,"Affordable",IF(Table1[[#This Row],[Price2]]&lt;1000000,"Mid range","Luxury"))</f>
        <v>Mid range</v>
      </c>
    </row>
    <row r="963" spans="1:20" x14ac:dyDescent="0.35">
      <c r="A963" s="3">
        <v>566147</v>
      </c>
      <c r="B963" s="2" t="s">
        <v>17</v>
      </c>
      <c r="C963">
        <v>16407</v>
      </c>
      <c r="D963" s="2" t="s">
        <v>35</v>
      </c>
      <c r="E963">
        <v>5</v>
      </c>
      <c r="F963">
        <v>1</v>
      </c>
      <c r="G963" s="4">
        <f>VALUE(SUBSTITUTE(SUBSTITUTE(Table1[[#This Row],[Price]],"$",""),",",""))</f>
        <v>566147</v>
      </c>
      <c r="H963" s="1">
        <f>Table1[[#This Row],[Price2]]/Table1[[#This Row],[Area]]</f>
        <v>276.30405075646655</v>
      </c>
      <c r="I963">
        <v>2049</v>
      </c>
      <c r="J963">
        <v>1969</v>
      </c>
      <c r="K963">
        <v>67</v>
      </c>
      <c r="L963" t="s">
        <v>14</v>
      </c>
      <c r="M963" t="s">
        <v>2673</v>
      </c>
      <c r="N963" s="2" t="s">
        <v>3033</v>
      </c>
      <c r="O963" t="s">
        <v>3034</v>
      </c>
      <c r="P963" t="s">
        <v>26</v>
      </c>
      <c r="Q963">
        <v>276.30405075646655</v>
      </c>
      <c r="R963">
        <f ca="1">YEAR(TODAY())-Table1[[#This Row],[Year Built]]</f>
        <v>57</v>
      </c>
      <c r="S963" t="str">
        <f>IF(Table1[[#This Row],[Days on Market]] &lt; 30,"Fast",IF(Table1[[#This Row],[Days on Market]]&lt;= 90,"Average", "Slow"))</f>
        <v>Average</v>
      </c>
      <c r="T963" t="str">
        <f>IF(Table1[[#This Row],[Price2]]&lt;500000,"Affordable",IF(Table1[[#This Row],[Price2]]&lt;1000000,"Mid range","Luxury"))</f>
        <v>Mid range</v>
      </c>
    </row>
    <row r="964" spans="1:20" x14ac:dyDescent="0.35">
      <c r="A964" s="3">
        <v>566443</v>
      </c>
      <c r="B964" s="2" t="s">
        <v>27</v>
      </c>
      <c r="C964">
        <v>77646</v>
      </c>
      <c r="D964" s="2" t="s">
        <v>29</v>
      </c>
      <c r="E964">
        <v>2</v>
      </c>
      <c r="F964">
        <v>2</v>
      </c>
      <c r="G964" s="4">
        <f>VALUE(SUBSTITUTE(SUBSTITUTE(Table1[[#This Row],[Price]],"$",""),",",""))</f>
        <v>566443</v>
      </c>
      <c r="H964" s="1">
        <f>Table1[[#This Row],[Price2]]/Table1[[#This Row],[Area]]</f>
        <v>851.79398496240606</v>
      </c>
      <c r="I964">
        <v>665</v>
      </c>
      <c r="J964">
        <v>1988</v>
      </c>
      <c r="K964">
        <v>53</v>
      </c>
      <c r="L964" t="s">
        <v>40</v>
      </c>
      <c r="M964" t="s">
        <v>249</v>
      </c>
      <c r="N964" s="2" t="s">
        <v>3027</v>
      </c>
      <c r="O964" t="s">
        <v>3028</v>
      </c>
      <c r="P964" t="s">
        <v>26</v>
      </c>
      <c r="Q964">
        <v>851.79398496240606</v>
      </c>
      <c r="R964">
        <f ca="1">YEAR(TODAY())-Table1[[#This Row],[Year Built]]</f>
        <v>38</v>
      </c>
      <c r="S964" t="str">
        <f>IF(Table1[[#This Row],[Days on Market]] &lt; 30,"Fast",IF(Table1[[#This Row],[Days on Market]]&lt;= 90,"Average", "Slow"))</f>
        <v>Average</v>
      </c>
      <c r="T964" t="str">
        <f>IF(Table1[[#This Row],[Price2]]&lt;500000,"Affordable",IF(Table1[[#This Row],[Price2]]&lt;1000000,"Mid range","Luxury"))</f>
        <v>Mid range</v>
      </c>
    </row>
    <row r="965" spans="1:20" x14ac:dyDescent="0.35">
      <c r="A965" s="3">
        <v>567245</v>
      </c>
      <c r="B965" s="2" t="s">
        <v>27</v>
      </c>
      <c r="C965">
        <v>73045</v>
      </c>
      <c r="D965" s="2" t="s">
        <v>23</v>
      </c>
      <c r="E965">
        <v>3</v>
      </c>
      <c r="F965">
        <v>4</v>
      </c>
      <c r="G965" s="4">
        <f>VALUE(SUBSTITUTE(SUBSTITUTE(Table1[[#This Row],[Price]],"$",""),",",""))</f>
        <v>567245</v>
      </c>
      <c r="H965" s="1">
        <f>Table1[[#This Row],[Price2]]/Table1[[#This Row],[Area]]</f>
        <v>258.5437556973564</v>
      </c>
      <c r="I965">
        <v>2194</v>
      </c>
      <c r="J965">
        <v>2006</v>
      </c>
      <c r="K965">
        <v>33</v>
      </c>
      <c r="L965" t="s">
        <v>14</v>
      </c>
      <c r="M965" t="s">
        <v>2146</v>
      </c>
      <c r="N965" s="2" t="s">
        <v>3029</v>
      </c>
      <c r="O965" t="s">
        <v>3030</v>
      </c>
      <c r="P965" t="s">
        <v>16</v>
      </c>
      <c r="Q965">
        <v>258.5437556973564</v>
      </c>
      <c r="R965">
        <f ca="1">YEAR(TODAY())-Table1[[#This Row],[Year Built]]</f>
        <v>20</v>
      </c>
      <c r="S965" t="str">
        <f>IF(Table1[[#This Row],[Days on Market]] &lt; 30,"Fast",IF(Table1[[#This Row],[Days on Market]]&lt;= 90,"Average", "Slow"))</f>
        <v>Average</v>
      </c>
      <c r="T965" t="str">
        <f>IF(Table1[[#This Row],[Price2]]&lt;500000,"Affordable",IF(Table1[[#This Row],[Price2]]&lt;1000000,"Mid range","Luxury"))</f>
        <v>Mid range</v>
      </c>
    </row>
    <row r="966" spans="1:20" x14ac:dyDescent="0.35">
      <c r="A966" s="3">
        <v>570284</v>
      </c>
      <c r="B966" s="2" t="s">
        <v>22</v>
      </c>
      <c r="C966">
        <v>71760</v>
      </c>
      <c r="D966" s="2" t="s">
        <v>13</v>
      </c>
      <c r="E966">
        <v>1</v>
      </c>
      <c r="F966">
        <v>1</v>
      </c>
      <c r="G966" s="4">
        <f>VALUE(SUBSTITUTE(SUBSTITUTE(Table1[[#This Row],[Price]],"$",""),",",""))</f>
        <v>570284</v>
      </c>
      <c r="H966" s="1">
        <f>Table1[[#This Row],[Price2]]/Table1[[#This Row],[Area]]</f>
        <v>214.8771665410701</v>
      </c>
      <c r="I966">
        <v>2654</v>
      </c>
      <c r="J966">
        <v>1990</v>
      </c>
      <c r="K966">
        <v>57</v>
      </c>
      <c r="L966" t="s">
        <v>40</v>
      </c>
      <c r="M966" t="s">
        <v>89</v>
      </c>
      <c r="N966" s="2" t="s">
        <v>3035</v>
      </c>
      <c r="O966" t="s">
        <v>3036</v>
      </c>
      <c r="P966" t="s">
        <v>21</v>
      </c>
      <c r="Q966">
        <v>214.8771665410701</v>
      </c>
      <c r="R966">
        <f ca="1">YEAR(TODAY())-Table1[[#This Row],[Year Built]]</f>
        <v>36</v>
      </c>
      <c r="S966" t="str">
        <f>IF(Table1[[#This Row],[Days on Market]] &lt; 30,"Fast",IF(Table1[[#This Row],[Days on Market]]&lt;= 90,"Average", "Slow"))</f>
        <v>Average</v>
      </c>
      <c r="T966" t="str">
        <f>IF(Table1[[#This Row],[Price2]]&lt;500000,"Affordable",IF(Table1[[#This Row],[Price2]]&lt;1000000,"Mid range","Luxury"))</f>
        <v>Mid range</v>
      </c>
    </row>
    <row r="967" spans="1:20" x14ac:dyDescent="0.35">
      <c r="A967" s="3">
        <v>570292</v>
      </c>
      <c r="B967" s="2" t="s">
        <v>27</v>
      </c>
      <c r="C967">
        <v>66789</v>
      </c>
      <c r="D967" s="2" t="s">
        <v>13</v>
      </c>
      <c r="E967">
        <v>2</v>
      </c>
      <c r="F967">
        <v>1</v>
      </c>
      <c r="G967" s="4">
        <f>VALUE(SUBSTITUTE(SUBSTITUTE(Table1[[#This Row],[Price]],"$",""),",",""))</f>
        <v>570292</v>
      </c>
      <c r="H967" s="1">
        <f>Table1[[#This Row],[Price2]]/Table1[[#This Row],[Area]]</f>
        <v>180.47215189873418</v>
      </c>
      <c r="I967">
        <v>3160</v>
      </c>
      <c r="J967">
        <v>1968</v>
      </c>
      <c r="K967">
        <v>84</v>
      </c>
      <c r="L967" t="s">
        <v>19</v>
      </c>
      <c r="M967" t="s">
        <v>1531</v>
      </c>
      <c r="N967" s="2" t="s">
        <v>3029</v>
      </c>
      <c r="O967" t="s">
        <v>3030</v>
      </c>
      <c r="P967" t="s">
        <v>21</v>
      </c>
      <c r="Q967">
        <v>180.47215189873418</v>
      </c>
      <c r="R967">
        <f ca="1">YEAR(TODAY())-Table1[[#This Row],[Year Built]]</f>
        <v>58</v>
      </c>
      <c r="S967" t="str">
        <f>IF(Table1[[#This Row],[Days on Market]] &lt; 30,"Fast",IF(Table1[[#This Row],[Days on Market]]&lt;= 90,"Average", "Slow"))</f>
        <v>Average</v>
      </c>
      <c r="T967" t="str">
        <f>IF(Table1[[#This Row],[Price2]]&lt;500000,"Affordable",IF(Table1[[#This Row],[Price2]]&lt;1000000,"Mid range","Luxury"))</f>
        <v>Mid range</v>
      </c>
    </row>
    <row r="968" spans="1:20" x14ac:dyDescent="0.35">
      <c r="A968" s="3">
        <v>570510</v>
      </c>
      <c r="B968" s="2" t="s">
        <v>12</v>
      </c>
      <c r="C968">
        <v>78460</v>
      </c>
      <c r="D968" s="2" t="s">
        <v>18</v>
      </c>
      <c r="E968">
        <v>5</v>
      </c>
      <c r="F968">
        <v>2</v>
      </c>
      <c r="G968" s="4">
        <f>VALUE(SUBSTITUTE(SUBSTITUTE(Table1[[#This Row],[Price]],"$",""),",",""))</f>
        <v>570510</v>
      </c>
      <c r="H968" s="1">
        <f>Table1[[#This Row],[Price2]]/Table1[[#This Row],[Area]]</f>
        <v>676.76156583629893</v>
      </c>
      <c r="I968">
        <v>843</v>
      </c>
      <c r="J968">
        <v>2010</v>
      </c>
      <c r="K968">
        <v>96</v>
      </c>
      <c r="L968" t="s">
        <v>14</v>
      </c>
      <c r="M968" t="s">
        <v>2407</v>
      </c>
      <c r="N968" s="2" t="s">
        <v>3035</v>
      </c>
      <c r="O968" t="s">
        <v>3036</v>
      </c>
      <c r="P968" t="s">
        <v>16</v>
      </c>
      <c r="Q968">
        <v>676.76156583629893</v>
      </c>
      <c r="R968">
        <f ca="1">YEAR(TODAY())-Table1[[#This Row],[Year Built]]</f>
        <v>16</v>
      </c>
      <c r="S968" t="str">
        <f>IF(Table1[[#This Row],[Days on Market]] &lt; 30,"Fast",IF(Table1[[#This Row],[Days on Market]]&lt;= 90,"Average", "Slow"))</f>
        <v>Slow</v>
      </c>
      <c r="T968" t="str">
        <f>IF(Table1[[#This Row],[Price2]]&lt;500000,"Affordable",IF(Table1[[#This Row],[Price2]]&lt;1000000,"Mid range","Luxury"))</f>
        <v>Mid range</v>
      </c>
    </row>
    <row r="969" spans="1:20" x14ac:dyDescent="0.35">
      <c r="A969" s="3">
        <v>570529</v>
      </c>
      <c r="B969" s="2" t="s">
        <v>22</v>
      </c>
      <c r="C969">
        <v>12730</v>
      </c>
      <c r="D969" s="2" t="s">
        <v>29</v>
      </c>
      <c r="E969">
        <v>1</v>
      </c>
      <c r="F969">
        <v>2</v>
      </c>
      <c r="G969" s="4">
        <f>VALUE(SUBSTITUTE(SUBSTITUTE(Table1[[#This Row],[Price]],"$",""),",",""))</f>
        <v>570529</v>
      </c>
      <c r="H969" s="1">
        <f>Table1[[#This Row],[Price2]]/Table1[[#This Row],[Area]]</f>
        <v>195.05264957264959</v>
      </c>
      <c r="I969">
        <v>2925</v>
      </c>
      <c r="J969">
        <v>2016</v>
      </c>
      <c r="K969">
        <v>54</v>
      </c>
      <c r="L969" t="s">
        <v>30</v>
      </c>
      <c r="M969" t="s">
        <v>953</v>
      </c>
      <c r="N969" s="2" t="s">
        <v>3027</v>
      </c>
      <c r="O969" t="s">
        <v>3028</v>
      </c>
      <c r="P969" t="s">
        <v>26</v>
      </c>
      <c r="Q969">
        <v>195.05264957264959</v>
      </c>
      <c r="R969">
        <f ca="1">YEAR(TODAY())-Table1[[#This Row],[Year Built]]</f>
        <v>10</v>
      </c>
      <c r="S969" t="str">
        <f>IF(Table1[[#This Row],[Days on Market]] &lt; 30,"Fast",IF(Table1[[#This Row],[Days on Market]]&lt;= 90,"Average", "Slow"))</f>
        <v>Average</v>
      </c>
      <c r="T969" t="str">
        <f>IF(Table1[[#This Row],[Price2]]&lt;500000,"Affordable",IF(Table1[[#This Row],[Price2]]&lt;1000000,"Mid range","Luxury"))</f>
        <v>Mid range</v>
      </c>
    </row>
    <row r="970" spans="1:20" x14ac:dyDescent="0.35">
      <c r="A970" s="3">
        <v>571121</v>
      </c>
      <c r="B970" s="2" t="s">
        <v>17</v>
      </c>
      <c r="C970">
        <v>40774</v>
      </c>
      <c r="D970" s="2" t="s">
        <v>35</v>
      </c>
      <c r="E970">
        <v>4</v>
      </c>
      <c r="F970">
        <v>3</v>
      </c>
      <c r="G970" s="4">
        <f>VALUE(SUBSTITUTE(SUBSTITUTE(Table1[[#This Row],[Price]],"$",""),",",""))</f>
        <v>571121</v>
      </c>
      <c r="H970" s="1">
        <f>Table1[[#This Row],[Price2]]/Table1[[#This Row],[Area]]</f>
        <v>158.73290717065035</v>
      </c>
      <c r="I970">
        <v>3598</v>
      </c>
      <c r="J970">
        <v>1992</v>
      </c>
      <c r="K970">
        <v>76</v>
      </c>
      <c r="L970" t="s">
        <v>52</v>
      </c>
      <c r="M970" t="s">
        <v>1780</v>
      </c>
      <c r="N970" s="2" t="s">
        <v>3029</v>
      </c>
      <c r="O970" t="s">
        <v>3030</v>
      </c>
      <c r="P970" t="s">
        <v>21</v>
      </c>
      <c r="Q970">
        <v>158.73290717065035</v>
      </c>
      <c r="R970">
        <f ca="1">YEAR(TODAY())-Table1[[#This Row],[Year Built]]</f>
        <v>34</v>
      </c>
      <c r="S970" t="str">
        <f>IF(Table1[[#This Row],[Days on Market]] &lt; 30,"Fast",IF(Table1[[#This Row],[Days on Market]]&lt;= 90,"Average", "Slow"))</f>
        <v>Average</v>
      </c>
      <c r="T970" t="str">
        <f>IF(Table1[[#This Row],[Price2]]&lt;500000,"Affordable",IF(Table1[[#This Row],[Price2]]&lt;1000000,"Mid range","Luxury"))</f>
        <v>Mid range</v>
      </c>
    </row>
    <row r="971" spans="1:20" x14ac:dyDescent="0.35">
      <c r="A971" s="3">
        <v>571179</v>
      </c>
      <c r="B971" s="2" t="s">
        <v>27</v>
      </c>
      <c r="C971">
        <v>69765</v>
      </c>
      <c r="D971" s="2" t="s">
        <v>13</v>
      </c>
      <c r="E971">
        <v>3</v>
      </c>
      <c r="F971">
        <v>3</v>
      </c>
      <c r="G971" s="4">
        <f>VALUE(SUBSTITUTE(SUBSTITUTE(Table1[[#This Row],[Price]],"$",""),",",""))</f>
        <v>571179</v>
      </c>
      <c r="H971" s="1">
        <f>Table1[[#This Row],[Price2]]/Table1[[#This Row],[Area]]</f>
        <v>152.51775700934579</v>
      </c>
      <c r="I971">
        <v>3745</v>
      </c>
      <c r="J971">
        <v>1959</v>
      </c>
      <c r="K971">
        <v>96</v>
      </c>
      <c r="L971" t="s">
        <v>14</v>
      </c>
      <c r="M971" t="s">
        <v>372</v>
      </c>
      <c r="N971" s="2" t="s">
        <v>3033</v>
      </c>
      <c r="O971" t="s">
        <v>3034</v>
      </c>
      <c r="P971" t="s">
        <v>16</v>
      </c>
      <c r="Q971">
        <v>152.51775700934579</v>
      </c>
      <c r="R971">
        <f ca="1">YEAR(TODAY())-Table1[[#This Row],[Year Built]]</f>
        <v>67</v>
      </c>
      <c r="S971" t="str">
        <f>IF(Table1[[#This Row],[Days on Market]] &lt; 30,"Fast",IF(Table1[[#This Row],[Days on Market]]&lt;= 90,"Average", "Slow"))</f>
        <v>Slow</v>
      </c>
      <c r="T971" t="str">
        <f>IF(Table1[[#This Row],[Price2]]&lt;500000,"Affordable",IF(Table1[[#This Row],[Price2]]&lt;1000000,"Mid range","Luxury"))</f>
        <v>Mid range</v>
      </c>
    </row>
    <row r="972" spans="1:20" x14ac:dyDescent="0.35">
      <c r="A972" s="3">
        <v>571568</v>
      </c>
      <c r="B972" s="2" t="s">
        <v>12</v>
      </c>
      <c r="C972">
        <v>47551</v>
      </c>
      <c r="D972" s="2" t="s">
        <v>35</v>
      </c>
      <c r="E972">
        <v>5</v>
      </c>
      <c r="F972">
        <v>3</v>
      </c>
      <c r="G972" s="4">
        <f>VALUE(SUBSTITUTE(SUBSTITUTE(Table1[[#This Row],[Price]],"$",""),",",""))</f>
        <v>571568</v>
      </c>
      <c r="H972" s="1">
        <f>Table1[[#This Row],[Price2]]/Table1[[#This Row],[Area]]</f>
        <v>314.7400881057269</v>
      </c>
      <c r="I972">
        <v>1816</v>
      </c>
      <c r="J972">
        <v>1967</v>
      </c>
      <c r="K972">
        <v>41</v>
      </c>
      <c r="L972" t="s">
        <v>52</v>
      </c>
      <c r="M972" t="s">
        <v>1508</v>
      </c>
      <c r="N972" s="2" t="s">
        <v>3031</v>
      </c>
      <c r="O972" t="s">
        <v>3032</v>
      </c>
      <c r="P972" t="s">
        <v>26</v>
      </c>
      <c r="Q972">
        <v>314.7400881057269</v>
      </c>
      <c r="R972">
        <f ca="1">YEAR(TODAY())-Table1[[#This Row],[Year Built]]</f>
        <v>59</v>
      </c>
      <c r="S972" t="str">
        <f>IF(Table1[[#This Row],[Days on Market]] &lt; 30,"Fast",IF(Table1[[#This Row],[Days on Market]]&lt;= 90,"Average", "Slow"))</f>
        <v>Average</v>
      </c>
      <c r="T972" t="str">
        <f>IF(Table1[[#This Row],[Price2]]&lt;500000,"Affordable",IF(Table1[[#This Row],[Price2]]&lt;1000000,"Mid range","Luxury"))</f>
        <v>Mid range</v>
      </c>
    </row>
    <row r="973" spans="1:20" x14ac:dyDescent="0.35">
      <c r="A973" s="3">
        <v>571756</v>
      </c>
      <c r="B973" s="2" t="s">
        <v>12</v>
      </c>
      <c r="C973">
        <v>85196</v>
      </c>
      <c r="D973" s="2" t="s">
        <v>18</v>
      </c>
      <c r="E973">
        <v>2</v>
      </c>
      <c r="F973">
        <v>2</v>
      </c>
      <c r="G973" s="4">
        <f>VALUE(SUBSTITUTE(SUBSTITUTE(Table1[[#This Row],[Price]],"$",""),",",""))</f>
        <v>571756</v>
      </c>
      <c r="H973" s="1">
        <f>Table1[[#This Row],[Price2]]/Table1[[#This Row],[Area]]</f>
        <v>187.27677694071406</v>
      </c>
      <c r="I973">
        <v>3053</v>
      </c>
      <c r="J973">
        <v>1989</v>
      </c>
      <c r="K973">
        <v>40</v>
      </c>
      <c r="L973" t="s">
        <v>30</v>
      </c>
      <c r="M973" t="s">
        <v>413</v>
      </c>
      <c r="N973" s="2" t="s">
        <v>3035</v>
      </c>
      <c r="O973" t="s">
        <v>3036</v>
      </c>
      <c r="P973" t="s">
        <v>26</v>
      </c>
      <c r="Q973">
        <v>187.27677694071406</v>
      </c>
      <c r="R973">
        <f ca="1">YEAR(TODAY())-Table1[[#This Row],[Year Built]]</f>
        <v>37</v>
      </c>
      <c r="S973" t="str">
        <f>IF(Table1[[#This Row],[Days on Market]] &lt; 30,"Fast",IF(Table1[[#This Row],[Days on Market]]&lt;= 90,"Average", "Slow"))</f>
        <v>Average</v>
      </c>
      <c r="T973" t="str">
        <f>IF(Table1[[#This Row],[Price2]]&lt;500000,"Affordable",IF(Table1[[#This Row],[Price2]]&lt;1000000,"Mid range","Luxury"))</f>
        <v>Mid range</v>
      </c>
    </row>
    <row r="974" spans="1:20" x14ac:dyDescent="0.35">
      <c r="A974" s="3">
        <v>572120</v>
      </c>
      <c r="B974" s="2" t="s">
        <v>17</v>
      </c>
      <c r="C974">
        <v>93059</v>
      </c>
      <c r="D974" s="2" t="s">
        <v>18</v>
      </c>
      <c r="E974">
        <v>1</v>
      </c>
      <c r="F974">
        <v>4</v>
      </c>
      <c r="G974" s="4">
        <f>VALUE(SUBSTITUTE(SUBSTITUTE(Table1[[#This Row],[Price]],"$",""),",",""))</f>
        <v>572120</v>
      </c>
      <c r="H974" s="1">
        <f>Table1[[#This Row],[Price2]]/Table1[[#This Row],[Area]]</f>
        <v>179.62951334379906</v>
      </c>
      <c r="I974">
        <v>3185</v>
      </c>
      <c r="J974">
        <v>1987</v>
      </c>
      <c r="K974">
        <v>51</v>
      </c>
      <c r="L974" t="s">
        <v>40</v>
      </c>
      <c r="M974" t="s">
        <v>1972</v>
      </c>
      <c r="N974" s="2" t="s">
        <v>3033</v>
      </c>
      <c r="O974" t="s">
        <v>3034</v>
      </c>
      <c r="P974" t="s">
        <v>16</v>
      </c>
      <c r="Q974">
        <v>179.62951334379906</v>
      </c>
      <c r="R974">
        <f ca="1">YEAR(TODAY())-Table1[[#This Row],[Year Built]]</f>
        <v>39</v>
      </c>
      <c r="S974" t="str">
        <f>IF(Table1[[#This Row],[Days on Market]] &lt; 30,"Fast",IF(Table1[[#This Row],[Days on Market]]&lt;= 90,"Average", "Slow"))</f>
        <v>Average</v>
      </c>
      <c r="T974" t="str">
        <f>IF(Table1[[#This Row],[Price2]]&lt;500000,"Affordable",IF(Table1[[#This Row],[Price2]]&lt;1000000,"Mid range","Luxury"))</f>
        <v>Mid range</v>
      </c>
    </row>
    <row r="975" spans="1:20" x14ac:dyDescent="0.35">
      <c r="A975" s="3">
        <v>572175</v>
      </c>
      <c r="B975" s="2" t="s">
        <v>34</v>
      </c>
      <c r="C975">
        <v>90436</v>
      </c>
      <c r="D975" s="2" t="s">
        <v>18</v>
      </c>
      <c r="E975">
        <v>6</v>
      </c>
      <c r="F975">
        <v>2</v>
      </c>
      <c r="G975" s="4">
        <f>VALUE(SUBSTITUTE(SUBSTITUTE(Table1[[#This Row],[Price]],"$",""),",",""))</f>
        <v>572175</v>
      </c>
      <c r="H975" s="1">
        <f>Table1[[#This Row],[Price2]]/Table1[[#This Row],[Area]]</f>
        <v>178.58146067415731</v>
      </c>
      <c r="I975">
        <v>3204</v>
      </c>
      <c r="J975">
        <v>2018</v>
      </c>
      <c r="K975">
        <v>73</v>
      </c>
      <c r="L975" t="s">
        <v>14</v>
      </c>
      <c r="M975" t="s">
        <v>2116</v>
      </c>
      <c r="N975" s="2" t="s">
        <v>3033</v>
      </c>
      <c r="O975" t="s">
        <v>3034</v>
      </c>
      <c r="P975" t="s">
        <v>26</v>
      </c>
      <c r="Q975">
        <v>178.58146067415731</v>
      </c>
      <c r="R975">
        <f ca="1">YEAR(TODAY())-Table1[[#This Row],[Year Built]]</f>
        <v>8</v>
      </c>
      <c r="S975" t="str">
        <f>IF(Table1[[#This Row],[Days on Market]] &lt; 30,"Fast",IF(Table1[[#This Row],[Days on Market]]&lt;= 90,"Average", "Slow"))</f>
        <v>Average</v>
      </c>
      <c r="T975" t="str">
        <f>IF(Table1[[#This Row],[Price2]]&lt;500000,"Affordable",IF(Table1[[#This Row],[Price2]]&lt;1000000,"Mid range","Luxury"))</f>
        <v>Mid range</v>
      </c>
    </row>
    <row r="976" spans="1:20" x14ac:dyDescent="0.35">
      <c r="A976" s="3">
        <v>572355</v>
      </c>
      <c r="B976" s="2" t="s">
        <v>12</v>
      </c>
      <c r="C976">
        <v>37003</v>
      </c>
      <c r="D976" s="2" t="s">
        <v>29</v>
      </c>
      <c r="E976">
        <v>2</v>
      </c>
      <c r="F976">
        <v>3</v>
      </c>
      <c r="G976" s="4">
        <f>VALUE(SUBSTITUTE(SUBSTITUTE(Table1[[#This Row],[Price]],"$",""),",",""))</f>
        <v>572355</v>
      </c>
      <c r="H976" s="1">
        <f>Table1[[#This Row],[Price2]]/Table1[[#This Row],[Area]]</f>
        <v>270.61702127659572</v>
      </c>
      <c r="I976">
        <v>2115</v>
      </c>
      <c r="J976">
        <v>1992</v>
      </c>
      <c r="K976">
        <v>19</v>
      </c>
      <c r="L976" t="s">
        <v>52</v>
      </c>
      <c r="M976" t="s">
        <v>1435</v>
      </c>
      <c r="N976" s="2" t="s">
        <v>3027</v>
      </c>
      <c r="O976" t="s">
        <v>3028</v>
      </c>
      <c r="P976" t="s">
        <v>26</v>
      </c>
      <c r="Q976">
        <v>270.61702127659572</v>
      </c>
      <c r="R976">
        <f ca="1">YEAR(TODAY())-Table1[[#This Row],[Year Built]]</f>
        <v>34</v>
      </c>
      <c r="S976" t="str">
        <f>IF(Table1[[#This Row],[Days on Market]] &lt; 30,"Fast",IF(Table1[[#This Row],[Days on Market]]&lt;= 90,"Average", "Slow"))</f>
        <v>Fast</v>
      </c>
      <c r="T976" t="str">
        <f>IF(Table1[[#This Row],[Price2]]&lt;500000,"Affordable",IF(Table1[[#This Row],[Price2]]&lt;1000000,"Mid range","Luxury"))</f>
        <v>Mid range</v>
      </c>
    </row>
    <row r="977" spans="1:20" x14ac:dyDescent="0.35">
      <c r="A977" s="3">
        <v>572510</v>
      </c>
      <c r="B977" s="2" t="s">
        <v>34</v>
      </c>
      <c r="C977">
        <v>51007</v>
      </c>
      <c r="D977" s="2" t="s">
        <v>29</v>
      </c>
      <c r="E977">
        <v>5</v>
      </c>
      <c r="F977">
        <v>4</v>
      </c>
      <c r="G977" s="4">
        <f>VALUE(SUBSTITUTE(SUBSTITUTE(Table1[[#This Row],[Price]],"$",""),",",""))</f>
        <v>572510</v>
      </c>
      <c r="H977" s="1">
        <f>Table1[[#This Row],[Price2]]/Table1[[#This Row],[Area]]</f>
        <v>178.96530165676774</v>
      </c>
      <c r="I977">
        <v>3199</v>
      </c>
      <c r="J977">
        <v>2006</v>
      </c>
      <c r="K977">
        <v>77</v>
      </c>
      <c r="L977" t="s">
        <v>19</v>
      </c>
      <c r="M977" t="s">
        <v>374</v>
      </c>
      <c r="N977" s="2" t="s">
        <v>3027</v>
      </c>
      <c r="O977" t="s">
        <v>3028</v>
      </c>
      <c r="P977" t="s">
        <v>21</v>
      </c>
      <c r="Q977">
        <v>178.96530165676774</v>
      </c>
      <c r="R977">
        <f ca="1">YEAR(TODAY())-Table1[[#This Row],[Year Built]]</f>
        <v>20</v>
      </c>
      <c r="S977" t="str">
        <f>IF(Table1[[#This Row],[Days on Market]] &lt; 30,"Fast",IF(Table1[[#This Row],[Days on Market]]&lt;= 90,"Average", "Slow"))</f>
        <v>Average</v>
      </c>
      <c r="T977" t="str">
        <f>IF(Table1[[#This Row],[Price2]]&lt;500000,"Affordable",IF(Table1[[#This Row],[Price2]]&lt;1000000,"Mid range","Luxury"))</f>
        <v>Mid range</v>
      </c>
    </row>
    <row r="978" spans="1:20" x14ac:dyDescent="0.35">
      <c r="A978" s="3">
        <v>573942</v>
      </c>
      <c r="B978" s="2" t="s">
        <v>34</v>
      </c>
      <c r="C978">
        <v>89169</v>
      </c>
      <c r="D978" s="2" t="s">
        <v>18</v>
      </c>
      <c r="E978">
        <v>3</v>
      </c>
      <c r="F978">
        <v>2</v>
      </c>
      <c r="G978" s="4">
        <f>VALUE(SUBSTITUTE(SUBSTITUTE(Table1[[#This Row],[Price]],"$",""),",",""))</f>
        <v>573942</v>
      </c>
      <c r="H978" s="1">
        <f>Table1[[#This Row],[Price2]]/Table1[[#This Row],[Area]]</f>
        <v>583.27439024390242</v>
      </c>
      <c r="I978">
        <v>984</v>
      </c>
      <c r="J978">
        <v>1972</v>
      </c>
      <c r="K978">
        <v>2</v>
      </c>
      <c r="L978" t="s">
        <v>14</v>
      </c>
      <c r="M978" t="s">
        <v>949</v>
      </c>
      <c r="N978" s="2" t="s">
        <v>3029</v>
      </c>
      <c r="O978" t="s">
        <v>3030</v>
      </c>
      <c r="P978" t="s">
        <v>16</v>
      </c>
      <c r="Q978">
        <v>583.27439024390242</v>
      </c>
      <c r="R978">
        <f ca="1">YEAR(TODAY())-Table1[[#This Row],[Year Built]]</f>
        <v>54</v>
      </c>
      <c r="S978" t="str">
        <f>IF(Table1[[#This Row],[Days on Market]] &lt; 30,"Fast",IF(Table1[[#This Row],[Days on Market]]&lt;= 90,"Average", "Slow"))</f>
        <v>Fast</v>
      </c>
      <c r="T978" t="str">
        <f>IF(Table1[[#This Row],[Price2]]&lt;500000,"Affordable",IF(Table1[[#This Row],[Price2]]&lt;1000000,"Mid range","Luxury"))</f>
        <v>Mid range</v>
      </c>
    </row>
    <row r="979" spans="1:20" x14ac:dyDescent="0.35">
      <c r="A979" s="3">
        <v>574029</v>
      </c>
      <c r="B979" s="2" t="s">
        <v>27</v>
      </c>
      <c r="C979">
        <v>36687</v>
      </c>
      <c r="D979" s="2" t="s">
        <v>23</v>
      </c>
      <c r="E979">
        <v>6</v>
      </c>
      <c r="F979">
        <v>2</v>
      </c>
      <c r="G979" s="4">
        <f>VALUE(SUBSTITUTE(SUBSTITUTE(Table1[[#This Row],[Price]],"$",""),",",""))</f>
        <v>574029</v>
      </c>
      <c r="H979" s="1">
        <f>Table1[[#This Row],[Price2]]/Table1[[#This Row],[Area]]</f>
        <v>275.1816874400767</v>
      </c>
      <c r="I979">
        <v>2086</v>
      </c>
      <c r="J979">
        <v>1997</v>
      </c>
      <c r="K979">
        <v>63</v>
      </c>
      <c r="L979" t="s">
        <v>14</v>
      </c>
      <c r="M979" t="s">
        <v>2980</v>
      </c>
      <c r="N979" s="2" t="s">
        <v>3029</v>
      </c>
      <c r="O979" t="s">
        <v>3030</v>
      </c>
      <c r="P979" t="s">
        <v>21</v>
      </c>
      <c r="Q979">
        <v>275.1816874400767</v>
      </c>
      <c r="R979">
        <f ca="1">YEAR(TODAY())-Table1[[#This Row],[Year Built]]</f>
        <v>29</v>
      </c>
      <c r="S979" t="str">
        <f>IF(Table1[[#This Row],[Days on Market]] &lt; 30,"Fast",IF(Table1[[#This Row],[Days on Market]]&lt;= 90,"Average", "Slow"))</f>
        <v>Average</v>
      </c>
      <c r="T979" t="str">
        <f>IF(Table1[[#This Row],[Price2]]&lt;500000,"Affordable",IF(Table1[[#This Row],[Price2]]&lt;1000000,"Mid range","Luxury"))</f>
        <v>Mid range</v>
      </c>
    </row>
    <row r="980" spans="1:20" x14ac:dyDescent="0.35">
      <c r="A980" s="3">
        <v>574526</v>
      </c>
      <c r="B980" s="2" t="s">
        <v>17</v>
      </c>
      <c r="C980">
        <v>79620</v>
      </c>
      <c r="D980" s="2" t="s">
        <v>29</v>
      </c>
      <c r="E980">
        <v>3</v>
      </c>
      <c r="F980">
        <v>4</v>
      </c>
      <c r="G980" s="4">
        <f>VALUE(SUBSTITUTE(SUBSTITUTE(Table1[[#This Row],[Price]],"$",""),",",""))</f>
        <v>574526</v>
      </c>
      <c r="H980" s="1">
        <f>Table1[[#This Row],[Price2]]/Table1[[#This Row],[Area]]</f>
        <v>591.07613168724276</v>
      </c>
      <c r="I980">
        <v>972</v>
      </c>
      <c r="J980">
        <v>1966</v>
      </c>
      <c r="K980">
        <v>5</v>
      </c>
      <c r="L980" t="s">
        <v>19</v>
      </c>
      <c r="M980" t="s">
        <v>2860</v>
      </c>
      <c r="N980" s="2" t="s">
        <v>3029</v>
      </c>
      <c r="O980" t="s">
        <v>3030</v>
      </c>
      <c r="P980" t="s">
        <v>16</v>
      </c>
      <c r="Q980">
        <v>591.07613168724276</v>
      </c>
      <c r="R980">
        <f ca="1">YEAR(TODAY())-Table1[[#This Row],[Year Built]]</f>
        <v>60</v>
      </c>
      <c r="S980" t="str">
        <f>IF(Table1[[#This Row],[Days on Market]] &lt; 30,"Fast",IF(Table1[[#This Row],[Days on Market]]&lt;= 90,"Average", "Slow"))</f>
        <v>Fast</v>
      </c>
      <c r="T980" t="str">
        <f>IF(Table1[[#This Row],[Price2]]&lt;500000,"Affordable",IF(Table1[[#This Row],[Price2]]&lt;1000000,"Mid range","Luxury"))</f>
        <v>Mid range</v>
      </c>
    </row>
    <row r="981" spans="1:20" x14ac:dyDescent="0.35">
      <c r="A981" s="3">
        <v>574704</v>
      </c>
      <c r="B981" s="2" t="s">
        <v>27</v>
      </c>
      <c r="C981">
        <v>88108</v>
      </c>
      <c r="D981" s="2" t="s">
        <v>29</v>
      </c>
      <c r="E981">
        <v>1</v>
      </c>
      <c r="F981">
        <v>1</v>
      </c>
      <c r="G981" s="4">
        <f>VALUE(SUBSTITUTE(SUBSTITUTE(Table1[[#This Row],[Price]],"$",""),",",""))</f>
        <v>574704</v>
      </c>
      <c r="H981" s="1">
        <f>Table1[[#This Row],[Price2]]/Table1[[#This Row],[Area]]</f>
        <v>636.43853820598008</v>
      </c>
      <c r="I981">
        <v>903</v>
      </c>
      <c r="J981">
        <v>2006</v>
      </c>
      <c r="K981">
        <v>43</v>
      </c>
      <c r="L981" t="s">
        <v>19</v>
      </c>
      <c r="M981" t="s">
        <v>125</v>
      </c>
      <c r="N981" s="2" t="s">
        <v>3031</v>
      </c>
      <c r="O981" t="s">
        <v>3032</v>
      </c>
      <c r="P981" t="s">
        <v>16</v>
      </c>
      <c r="Q981">
        <v>636.43853820598008</v>
      </c>
      <c r="R981">
        <f ca="1">YEAR(TODAY())-Table1[[#This Row],[Year Built]]</f>
        <v>20</v>
      </c>
      <c r="S981" t="str">
        <f>IF(Table1[[#This Row],[Days on Market]] &lt; 30,"Fast",IF(Table1[[#This Row],[Days on Market]]&lt;= 90,"Average", "Slow"))</f>
        <v>Average</v>
      </c>
      <c r="T981" t="str">
        <f>IF(Table1[[#This Row],[Price2]]&lt;500000,"Affordable",IF(Table1[[#This Row],[Price2]]&lt;1000000,"Mid range","Luxury"))</f>
        <v>Mid range</v>
      </c>
    </row>
    <row r="982" spans="1:20" x14ac:dyDescent="0.35">
      <c r="A982" s="3">
        <v>575209</v>
      </c>
      <c r="B982" s="2" t="s">
        <v>12</v>
      </c>
      <c r="C982">
        <v>94919</v>
      </c>
      <c r="D982" s="2" t="s">
        <v>18</v>
      </c>
      <c r="E982">
        <v>3</v>
      </c>
      <c r="F982">
        <v>4</v>
      </c>
      <c r="G982" s="4">
        <f>VALUE(SUBSTITUTE(SUBSTITUTE(Table1[[#This Row],[Price]],"$",""),",",""))</f>
        <v>575209</v>
      </c>
      <c r="H982" s="1">
        <f>Table1[[#This Row],[Price2]]/Table1[[#This Row],[Area]]</f>
        <v>152.53487138690002</v>
      </c>
      <c r="I982">
        <v>3771</v>
      </c>
      <c r="J982">
        <v>1982</v>
      </c>
      <c r="K982">
        <v>112</v>
      </c>
      <c r="L982" t="s">
        <v>52</v>
      </c>
      <c r="M982" t="s">
        <v>514</v>
      </c>
      <c r="N982" s="2" t="s">
        <v>3035</v>
      </c>
      <c r="O982" t="s">
        <v>3036</v>
      </c>
      <c r="P982" t="s">
        <v>26</v>
      </c>
      <c r="Q982">
        <v>152.53487138690002</v>
      </c>
      <c r="R982">
        <f ca="1">YEAR(TODAY())-Table1[[#This Row],[Year Built]]</f>
        <v>44</v>
      </c>
      <c r="S982" t="str">
        <f>IF(Table1[[#This Row],[Days on Market]] &lt; 30,"Fast",IF(Table1[[#This Row],[Days on Market]]&lt;= 90,"Average", "Slow"))</f>
        <v>Slow</v>
      </c>
      <c r="T982" t="str">
        <f>IF(Table1[[#This Row],[Price2]]&lt;500000,"Affordable",IF(Table1[[#This Row],[Price2]]&lt;1000000,"Mid range","Luxury"))</f>
        <v>Mid range</v>
      </c>
    </row>
    <row r="983" spans="1:20" x14ac:dyDescent="0.35">
      <c r="A983" s="3">
        <v>575289</v>
      </c>
      <c r="B983" s="2" t="s">
        <v>17</v>
      </c>
      <c r="C983">
        <v>62369</v>
      </c>
      <c r="D983" s="2" t="s">
        <v>18</v>
      </c>
      <c r="E983">
        <v>5</v>
      </c>
      <c r="F983">
        <v>3</v>
      </c>
      <c r="G983" s="4">
        <f>VALUE(SUBSTITUTE(SUBSTITUTE(Table1[[#This Row],[Price]],"$",""),",",""))</f>
        <v>575289</v>
      </c>
      <c r="H983" s="1">
        <f>Table1[[#This Row],[Price2]]/Table1[[#This Row],[Area]]</f>
        <v>636.38163716814154</v>
      </c>
      <c r="I983">
        <v>904</v>
      </c>
      <c r="J983">
        <v>1954</v>
      </c>
      <c r="K983">
        <v>54</v>
      </c>
      <c r="L983" t="s">
        <v>30</v>
      </c>
      <c r="M983" t="s">
        <v>2077</v>
      </c>
      <c r="N983" s="2" t="s">
        <v>3035</v>
      </c>
      <c r="O983" t="s">
        <v>3036</v>
      </c>
      <c r="P983" t="s">
        <v>26</v>
      </c>
      <c r="Q983">
        <v>636.38163716814154</v>
      </c>
      <c r="R983">
        <f ca="1">YEAR(TODAY())-Table1[[#This Row],[Year Built]]</f>
        <v>72</v>
      </c>
      <c r="S983" t="str">
        <f>IF(Table1[[#This Row],[Days on Market]] &lt; 30,"Fast",IF(Table1[[#This Row],[Days on Market]]&lt;= 90,"Average", "Slow"))</f>
        <v>Average</v>
      </c>
      <c r="T983" t="str">
        <f>IF(Table1[[#This Row],[Price2]]&lt;500000,"Affordable",IF(Table1[[#This Row],[Price2]]&lt;1000000,"Mid range","Luxury"))</f>
        <v>Mid range</v>
      </c>
    </row>
    <row r="984" spans="1:20" x14ac:dyDescent="0.35">
      <c r="A984" s="3">
        <v>575637</v>
      </c>
      <c r="B984" s="2" t="s">
        <v>22</v>
      </c>
      <c r="C984">
        <v>28568</v>
      </c>
      <c r="D984" s="2" t="s">
        <v>29</v>
      </c>
      <c r="E984">
        <v>1</v>
      </c>
      <c r="F984">
        <v>4</v>
      </c>
      <c r="G984" s="4">
        <f>VALUE(SUBSTITUTE(SUBSTITUTE(Table1[[#This Row],[Price]],"$",""),",",""))</f>
        <v>575637</v>
      </c>
      <c r="H984" s="1">
        <f>Table1[[#This Row],[Price2]]/Table1[[#This Row],[Area]]</f>
        <v>169.95482728077945</v>
      </c>
      <c r="I984">
        <v>3387</v>
      </c>
      <c r="J984">
        <v>1966</v>
      </c>
      <c r="K984">
        <v>97</v>
      </c>
      <c r="L984" t="s">
        <v>40</v>
      </c>
      <c r="M984" t="s">
        <v>42</v>
      </c>
      <c r="N984" s="2" t="s">
        <v>3035</v>
      </c>
      <c r="O984" t="s">
        <v>3036</v>
      </c>
      <c r="P984" t="s">
        <v>26</v>
      </c>
      <c r="Q984">
        <v>169.95482728077945</v>
      </c>
      <c r="R984">
        <f ca="1">YEAR(TODAY())-Table1[[#This Row],[Year Built]]</f>
        <v>60</v>
      </c>
      <c r="S984" t="str">
        <f>IF(Table1[[#This Row],[Days on Market]] &lt; 30,"Fast",IF(Table1[[#This Row],[Days on Market]]&lt;= 90,"Average", "Slow"))</f>
        <v>Slow</v>
      </c>
      <c r="T984" t="str">
        <f>IF(Table1[[#This Row],[Price2]]&lt;500000,"Affordable",IF(Table1[[#This Row],[Price2]]&lt;1000000,"Mid range","Luxury"))</f>
        <v>Mid range</v>
      </c>
    </row>
    <row r="985" spans="1:20" x14ac:dyDescent="0.35">
      <c r="A985" s="3">
        <v>575934</v>
      </c>
      <c r="B985" s="2" t="s">
        <v>22</v>
      </c>
      <c r="C985">
        <v>50751</v>
      </c>
      <c r="D985" s="2" t="s">
        <v>29</v>
      </c>
      <c r="E985">
        <v>1</v>
      </c>
      <c r="F985">
        <v>3</v>
      </c>
      <c r="G985" s="4">
        <f>VALUE(SUBSTITUTE(SUBSTITUTE(Table1[[#This Row],[Price]],"$",""),",",""))</f>
        <v>575934</v>
      </c>
      <c r="H985" s="1">
        <f>Table1[[#This Row],[Price2]]/Table1[[#This Row],[Area]]</f>
        <v>435.32426303854874</v>
      </c>
      <c r="I985">
        <v>1323</v>
      </c>
      <c r="J985">
        <v>1990</v>
      </c>
      <c r="K985">
        <v>6</v>
      </c>
      <c r="L985" t="s">
        <v>30</v>
      </c>
      <c r="M985" t="s">
        <v>1223</v>
      </c>
      <c r="N985" s="2" t="s">
        <v>3035</v>
      </c>
      <c r="O985" t="s">
        <v>3036</v>
      </c>
      <c r="P985" t="s">
        <v>21</v>
      </c>
      <c r="Q985">
        <v>435.32426303854874</v>
      </c>
      <c r="R985">
        <f ca="1">YEAR(TODAY())-Table1[[#This Row],[Year Built]]</f>
        <v>36</v>
      </c>
      <c r="S985" t="str">
        <f>IF(Table1[[#This Row],[Days on Market]] &lt; 30,"Fast",IF(Table1[[#This Row],[Days on Market]]&lt;= 90,"Average", "Slow"))</f>
        <v>Fast</v>
      </c>
      <c r="T985" t="str">
        <f>IF(Table1[[#This Row],[Price2]]&lt;500000,"Affordable",IF(Table1[[#This Row],[Price2]]&lt;1000000,"Mid range","Luxury"))</f>
        <v>Mid range</v>
      </c>
    </row>
    <row r="986" spans="1:20" x14ac:dyDescent="0.35">
      <c r="A986" s="3">
        <v>576151</v>
      </c>
      <c r="B986" s="2" t="s">
        <v>34</v>
      </c>
      <c r="C986">
        <v>81096</v>
      </c>
      <c r="D986" s="2" t="s">
        <v>29</v>
      </c>
      <c r="E986">
        <v>1</v>
      </c>
      <c r="F986">
        <v>3</v>
      </c>
      <c r="G986" s="4">
        <f>VALUE(SUBSTITUTE(SUBSTITUTE(Table1[[#This Row],[Price]],"$",""),",",""))</f>
        <v>576151</v>
      </c>
      <c r="H986" s="1">
        <f>Table1[[#This Row],[Price2]]/Table1[[#This Row],[Area]]</f>
        <v>275.0124105011933</v>
      </c>
      <c r="I986">
        <v>2095</v>
      </c>
      <c r="J986">
        <v>1982</v>
      </c>
      <c r="K986">
        <v>58</v>
      </c>
      <c r="L986" t="s">
        <v>40</v>
      </c>
      <c r="M986" t="s">
        <v>2974</v>
      </c>
      <c r="N986" s="2" t="s">
        <v>3031</v>
      </c>
      <c r="O986" t="s">
        <v>3032</v>
      </c>
      <c r="P986" t="s">
        <v>26</v>
      </c>
      <c r="Q986">
        <v>275.0124105011933</v>
      </c>
      <c r="R986">
        <f ca="1">YEAR(TODAY())-Table1[[#This Row],[Year Built]]</f>
        <v>44</v>
      </c>
      <c r="S986" t="str">
        <f>IF(Table1[[#This Row],[Days on Market]] &lt; 30,"Fast",IF(Table1[[#This Row],[Days on Market]]&lt;= 90,"Average", "Slow"))</f>
        <v>Average</v>
      </c>
      <c r="T986" t="str">
        <f>IF(Table1[[#This Row],[Price2]]&lt;500000,"Affordable",IF(Table1[[#This Row],[Price2]]&lt;1000000,"Mid range","Luxury"))</f>
        <v>Mid range</v>
      </c>
    </row>
    <row r="987" spans="1:20" x14ac:dyDescent="0.35">
      <c r="A987" s="3">
        <v>576335</v>
      </c>
      <c r="B987" s="2" t="s">
        <v>27</v>
      </c>
      <c r="C987">
        <v>84493</v>
      </c>
      <c r="D987" s="2" t="s">
        <v>13</v>
      </c>
      <c r="E987">
        <v>2</v>
      </c>
      <c r="F987">
        <v>1</v>
      </c>
      <c r="G987" s="4">
        <f>VALUE(SUBSTITUTE(SUBSTITUTE(Table1[[#This Row],[Price]],"$",""),",",""))</f>
        <v>576335</v>
      </c>
      <c r="H987" s="1">
        <f>Table1[[#This Row],[Price2]]/Table1[[#This Row],[Area]]</f>
        <v>303.65384615384613</v>
      </c>
      <c r="I987">
        <v>1898</v>
      </c>
      <c r="J987">
        <v>1992</v>
      </c>
      <c r="K987">
        <v>55</v>
      </c>
      <c r="L987" t="s">
        <v>19</v>
      </c>
      <c r="M987" t="s">
        <v>1681</v>
      </c>
      <c r="N987" s="2" t="s">
        <v>3027</v>
      </c>
      <c r="O987" t="s">
        <v>3028</v>
      </c>
      <c r="P987" t="s">
        <v>16</v>
      </c>
      <c r="Q987">
        <v>303.65384615384613</v>
      </c>
      <c r="R987">
        <f ca="1">YEAR(TODAY())-Table1[[#This Row],[Year Built]]</f>
        <v>34</v>
      </c>
      <c r="S987" t="str">
        <f>IF(Table1[[#This Row],[Days on Market]] &lt; 30,"Fast",IF(Table1[[#This Row],[Days on Market]]&lt;= 90,"Average", "Slow"))</f>
        <v>Average</v>
      </c>
      <c r="T987" t="str">
        <f>IF(Table1[[#This Row],[Price2]]&lt;500000,"Affordable",IF(Table1[[#This Row],[Price2]]&lt;1000000,"Mid range","Luxury"))</f>
        <v>Mid range</v>
      </c>
    </row>
    <row r="988" spans="1:20" x14ac:dyDescent="0.35">
      <c r="A988" s="3">
        <v>576495</v>
      </c>
      <c r="B988" s="2" t="s">
        <v>12</v>
      </c>
      <c r="C988">
        <v>41457</v>
      </c>
      <c r="D988" s="2" t="s">
        <v>23</v>
      </c>
      <c r="E988">
        <v>1</v>
      </c>
      <c r="F988">
        <v>1</v>
      </c>
      <c r="G988" s="4">
        <f>VALUE(SUBSTITUTE(SUBSTITUTE(Table1[[#This Row],[Price]],"$",""),",",""))</f>
        <v>576495</v>
      </c>
      <c r="H988" s="1">
        <f>Table1[[#This Row],[Price2]]/Table1[[#This Row],[Area]]</f>
        <v>247.42274678111588</v>
      </c>
      <c r="I988">
        <v>2330</v>
      </c>
      <c r="J988">
        <v>1986</v>
      </c>
      <c r="K988">
        <v>54</v>
      </c>
      <c r="L988" t="s">
        <v>40</v>
      </c>
      <c r="M988" t="s">
        <v>1440</v>
      </c>
      <c r="N988" s="2" t="s">
        <v>3031</v>
      </c>
      <c r="O988" t="s">
        <v>3032</v>
      </c>
      <c r="P988" t="s">
        <v>16</v>
      </c>
      <c r="Q988">
        <v>247.42274678111588</v>
      </c>
      <c r="R988">
        <f ca="1">YEAR(TODAY())-Table1[[#This Row],[Year Built]]</f>
        <v>40</v>
      </c>
      <c r="S988" t="str">
        <f>IF(Table1[[#This Row],[Days on Market]] &lt; 30,"Fast",IF(Table1[[#This Row],[Days on Market]]&lt;= 90,"Average", "Slow"))</f>
        <v>Average</v>
      </c>
      <c r="T988" t="str">
        <f>IF(Table1[[#This Row],[Price2]]&lt;500000,"Affordable",IF(Table1[[#This Row],[Price2]]&lt;1000000,"Mid range","Luxury"))</f>
        <v>Mid range</v>
      </c>
    </row>
    <row r="989" spans="1:20" x14ac:dyDescent="0.35">
      <c r="A989" s="3">
        <v>576963</v>
      </c>
      <c r="B989" s="2" t="s">
        <v>27</v>
      </c>
      <c r="C989">
        <v>72442</v>
      </c>
      <c r="D989" s="2" t="s">
        <v>13</v>
      </c>
      <c r="E989">
        <v>4</v>
      </c>
      <c r="F989">
        <v>3</v>
      </c>
      <c r="G989" s="4">
        <f>VALUE(SUBSTITUTE(SUBSTITUTE(Table1[[#This Row],[Price]],"$",""),",",""))</f>
        <v>576963</v>
      </c>
      <c r="H989" s="1">
        <f>Table1[[#This Row],[Price2]]/Table1[[#This Row],[Area]]</f>
        <v>466.42118027485856</v>
      </c>
      <c r="I989">
        <v>1237</v>
      </c>
      <c r="J989">
        <v>1961</v>
      </c>
      <c r="K989">
        <v>76</v>
      </c>
      <c r="L989" t="s">
        <v>30</v>
      </c>
      <c r="M989" t="s">
        <v>1358</v>
      </c>
      <c r="N989" s="2" t="s">
        <v>3029</v>
      </c>
      <c r="O989" t="s">
        <v>3030</v>
      </c>
      <c r="P989" t="s">
        <v>26</v>
      </c>
      <c r="Q989">
        <v>466.42118027485856</v>
      </c>
      <c r="R989">
        <f ca="1">YEAR(TODAY())-Table1[[#This Row],[Year Built]]</f>
        <v>65</v>
      </c>
      <c r="S989" t="str">
        <f>IF(Table1[[#This Row],[Days on Market]] &lt; 30,"Fast",IF(Table1[[#This Row],[Days on Market]]&lt;= 90,"Average", "Slow"))</f>
        <v>Average</v>
      </c>
      <c r="T989" t="str">
        <f>IF(Table1[[#This Row],[Price2]]&lt;500000,"Affordable",IF(Table1[[#This Row],[Price2]]&lt;1000000,"Mid range","Luxury"))</f>
        <v>Mid range</v>
      </c>
    </row>
    <row r="990" spans="1:20" x14ac:dyDescent="0.35">
      <c r="A990" s="3">
        <v>577577</v>
      </c>
      <c r="B990" s="2" t="s">
        <v>34</v>
      </c>
      <c r="C990">
        <v>52705</v>
      </c>
      <c r="D990" s="2" t="s">
        <v>13</v>
      </c>
      <c r="E990">
        <v>3</v>
      </c>
      <c r="F990">
        <v>2</v>
      </c>
      <c r="G990" s="4">
        <f>VALUE(SUBSTITUTE(SUBSTITUTE(Table1[[#This Row],[Price]],"$",""),",",""))</f>
        <v>577577</v>
      </c>
      <c r="H990" s="1">
        <f>Table1[[#This Row],[Price2]]/Table1[[#This Row],[Area]]</f>
        <v>211.72177419354838</v>
      </c>
      <c r="I990">
        <v>2728</v>
      </c>
      <c r="J990">
        <v>2019</v>
      </c>
      <c r="K990">
        <v>113</v>
      </c>
      <c r="L990" t="s">
        <v>40</v>
      </c>
      <c r="M990" t="s">
        <v>1544</v>
      </c>
      <c r="N990" s="2" t="s">
        <v>3033</v>
      </c>
      <c r="O990" t="s">
        <v>3034</v>
      </c>
      <c r="P990" t="s">
        <v>16</v>
      </c>
      <c r="Q990">
        <v>211.72177419354838</v>
      </c>
      <c r="R990">
        <f ca="1">YEAR(TODAY())-Table1[[#This Row],[Year Built]]</f>
        <v>7</v>
      </c>
      <c r="S990" t="str">
        <f>IF(Table1[[#This Row],[Days on Market]] &lt; 30,"Fast",IF(Table1[[#This Row],[Days on Market]]&lt;= 90,"Average", "Slow"))</f>
        <v>Slow</v>
      </c>
      <c r="T990" t="str">
        <f>IF(Table1[[#This Row],[Price2]]&lt;500000,"Affordable",IF(Table1[[#This Row],[Price2]]&lt;1000000,"Mid range","Luxury"))</f>
        <v>Mid range</v>
      </c>
    </row>
    <row r="991" spans="1:20" x14ac:dyDescent="0.35">
      <c r="A991" s="3">
        <v>577795</v>
      </c>
      <c r="B991" s="2" t="s">
        <v>12</v>
      </c>
      <c r="C991">
        <v>33178</v>
      </c>
      <c r="D991" s="2" t="s">
        <v>13</v>
      </c>
      <c r="E991">
        <v>2</v>
      </c>
      <c r="F991">
        <v>2</v>
      </c>
      <c r="G991" s="4">
        <f>VALUE(SUBSTITUTE(SUBSTITUTE(Table1[[#This Row],[Price]],"$",""),",",""))</f>
        <v>577795</v>
      </c>
      <c r="H991" s="1">
        <f>Table1[[#This Row],[Price2]]/Table1[[#This Row],[Area]]</f>
        <v>457.11629746835445</v>
      </c>
      <c r="I991">
        <v>1264</v>
      </c>
      <c r="J991">
        <v>1971</v>
      </c>
      <c r="K991">
        <v>49</v>
      </c>
      <c r="L991" t="s">
        <v>30</v>
      </c>
      <c r="M991" t="s">
        <v>1437</v>
      </c>
      <c r="N991" s="2" t="s">
        <v>3027</v>
      </c>
      <c r="O991" t="s">
        <v>3028</v>
      </c>
      <c r="P991" t="s">
        <v>21</v>
      </c>
      <c r="Q991">
        <v>457.11629746835445</v>
      </c>
      <c r="R991">
        <f ca="1">YEAR(TODAY())-Table1[[#This Row],[Year Built]]</f>
        <v>55</v>
      </c>
      <c r="S991" t="str">
        <f>IF(Table1[[#This Row],[Days on Market]] &lt; 30,"Fast",IF(Table1[[#This Row],[Days on Market]]&lt;= 90,"Average", "Slow"))</f>
        <v>Average</v>
      </c>
      <c r="T991" t="str">
        <f>IF(Table1[[#This Row],[Price2]]&lt;500000,"Affordable",IF(Table1[[#This Row],[Price2]]&lt;1000000,"Mid range","Luxury"))</f>
        <v>Mid range</v>
      </c>
    </row>
    <row r="992" spans="1:20" x14ac:dyDescent="0.35">
      <c r="A992" s="3">
        <v>578056</v>
      </c>
      <c r="B992" s="2" t="s">
        <v>22</v>
      </c>
      <c r="C992">
        <v>97988</v>
      </c>
      <c r="D992" s="2" t="s">
        <v>23</v>
      </c>
      <c r="E992">
        <v>3</v>
      </c>
      <c r="F992">
        <v>2</v>
      </c>
      <c r="G992" s="4">
        <f>VALUE(SUBSTITUTE(SUBSTITUTE(Table1[[#This Row],[Price]],"$",""),",",""))</f>
        <v>578056</v>
      </c>
      <c r="H992" s="1">
        <f>Table1[[#This Row],[Price2]]/Table1[[#This Row],[Area]]</f>
        <v>238.57036731324803</v>
      </c>
      <c r="I992">
        <v>2423</v>
      </c>
      <c r="J992">
        <v>2004</v>
      </c>
      <c r="K992">
        <v>98</v>
      </c>
      <c r="L992" t="s">
        <v>14</v>
      </c>
      <c r="M992" t="s">
        <v>2709</v>
      </c>
      <c r="N992" s="2" t="s">
        <v>3029</v>
      </c>
      <c r="O992" t="s">
        <v>3030</v>
      </c>
      <c r="P992" t="s">
        <v>26</v>
      </c>
      <c r="Q992">
        <v>238.57036731324803</v>
      </c>
      <c r="R992">
        <f ca="1">YEAR(TODAY())-Table1[[#This Row],[Year Built]]</f>
        <v>22</v>
      </c>
      <c r="S992" t="str">
        <f>IF(Table1[[#This Row],[Days on Market]] &lt; 30,"Fast",IF(Table1[[#This Row],[Days on Market]]&lt;= 90,"Average", "Slow"))</f>
        <v>Slow</v>
      </c>
      <c r="T992" t="str">
        <f>IF(Table1[[#This Row],[Price2]]&lt;500000,"Affordable",IF(Table1[[#This Row],[Price2]]&lt;1000000,"Mid range","Luxury"))</f>
        <v>Mid range</v>
      </c>
    </row>
    <row r="993" spans="1:20" x14ac:dyDescent="0.35">
      <c r="A993" s="3">
        <v>578510</v>
      </c>
      <c r="B993" s="2" t="s">
        <v>12</v>
      </c>
      <c r="C993">
        <v>74968</v>
      </c>
      <c r="D993" s="2" t="s">
        <v>23</v>
      </c>
      <c r="E993">
        <v>5</v>
      </c>
      <c r="F993">
        <v>3</v>
      </c>
      <c r="G993" s="4">
        <f>VALUE(SUBSTITUTE(SUBSTITUTE(Table1[[#This Row],[Price]],"$",""),",",""))</f>
        <v>578510</v>
      </c>
      <c r="H993" s="1">
        <f>Table1[[#This Row],[Price2]]/Table1[[#This Row],[Area]]</f>
        <v>224.14180550174351</v>
      </c>
      <c r="I993">
        <v>2581</v>
      </c>
      <c r="J993">
        <v>1954</v>
      </c>
      <c r="K993">
        <v>20</v>
      </c>
      <c r="L993" t="s">
        <v>52</v>
      </c>
      <c r="M993" t="s">
        <v>271</v>
      </c>
      <c r="N993" s="2" t="s">
        <v>3029</v>
      </c>
      <c r="O993" t="s">
        <v>3030</v>
      </c>
      <c r="P993" t="s">
        <v>21</v>
      </c>
      <c r="Q993">
        <v>224.14180550174351</v>
      </c>
      <c r="R993">
        <f ca="1">YEAR(TODAY())-Table1[[#This Row],[Year Built]]</f>
        <v>72</v>
      </c>
      <c r="S993" t="str">
        <f>IF(Table1[[#This Row],[Days on Market]] &lt; 30,"Fast",IF(Table1[[#This Row],[Days on Market]]&lt;= 90,"Average", "Slow"))</f>
        <v>Fast</v>
      </c>
      <c r="T993" t="str">
        <f>IF(Table1[[#This Row],[Price2]]&lt;500000,"Affordable",IF(Table1[[#This Row],[Price2]]&lt;1000000,"Mid range","Luxury"))</f>
        <v>Mid range</v>
      </c>
    </row>
    <row r="994" spans="1:20" x14ac:dyDescent="0.35">
      <c r="A994" s="3">
        <v>579088</v>
      </c>
      <c r="B994" s="2" t="s">
        <v>22</v>
      </c>
      <c r="C994">
        <v>33000</v>
      </c>
      <c r="D994" s="2" t="s">
        <v>18</v>
      </c>
      <c r="E994">
        <v>2</v>
      </c>
      <c r="F994">
        <v>1</v>
      </c>
      <c r="G994" s="4">
        <f>VALUE(SUBSTITUTE(SUBSTITUTE(Table1[[#This Row],[Price]],"$",""),",",""))</f>
        <v>579088</v>
      </c>
      <c r="H994" s="1">
        <f>Table1[[#This Row],[Price2]]/Table1[[#This Row],[Area]]</f>
        <v>751.08690012970169</v>
      </c>
      <c r="I994">
        <v>771</v>
      </c>
      <c r="J994">
        <v>2005</v>
      </c>
      <c r="K994">
        <v>2</v>
      </c>
      <c r="L994" t="s">
        <v>19</v>
      </c>
      <c r="M994" t="s">
        <v>1991</v>
      </c>
      <c r="N994" s="2" t="s">
        <v>3027</v>
      </c>
      <c r="O994" t="s">
        <v>3028</v>
      </c>
      <c r="P994" t="s">
        <v>26</v>
      </c>
      <c r="Q994">
        <v>751.08690012970169</v>
      </c>
      <c r="R994">
        <f ca="1">YEAR(TODAY())-Table1[[#This Row],[Year Built]]</f>
        <v>21</v>
      </c>
      <c r="S994" t="str">
        <f>IF(Table1[[#This Row],[Days on Market]] &lt; 30,"Fast",IF(Table1[[#This Row],[Days on Market]]&lt;= 90,"Average", "Slow"))</f>
        <v>Fast</v>
      </c>
      <c r="T994" t="str">
        <f>IF(Table1[[#This Row],[Price2]]&lt;500000,"Affordable",IF(Table1[[#This Row],[Price2]]&lt;1000000,"Mid range","Luxury"))</f>
        <v>Mid range</v>
      </c>
    </row>
    <row r="995" spans="1:20" x14ac:dyDescent="0.35">
      <c r="A995" s="3">
        <v>579380</v>
      </c>
      <c r="B995" s="2" t="s">
        <v>12</v>
      </c>
      <c r="C995">
        <v>58273</v>
      </c>
      <c r="D995" s="2" t="s">
        <v>23</v>
      </c>
      <c r="E995">
        <v>1</v>
      </c>
      <c r="F995">
        <v>2</v>
      </c>
      <c r="G995" s="4">
        <f>VALUE(SUBSTITUTE(SUBSTITUTE(Table1[[#This Row],[Price]],"$",""),",",""))</f>
        <v>579380</v>
      </c>
      <c r="H995" s="1">
        <f>Table1[[#This Row],[Price2]]/Table1[[#This Row],[Area]]</f>
        <v>183.05845181674565</v>
      </c>
      <c r="I995">
        <v>3165</v>
      </c>
      <c r="J995">
        <v>1995</v>
      </c>
      <c r="K995">
        <v>2</v>
      </c>
      <c r="L995" t="s">
        <v>30</v>
      </c>
      <c r="M995" t="s">
        <v>355</v>
      </c>
      <c r="N995" s="2" t="s">
        <v>3033</v>
      </c>
      <c r="O995" t="s">
        <v>3034</v>
      </c>
      <c r="P995" t="s">
        <v>26</v>
      </c>
      <c r="Q995">
        <v>183.05845181674565</v>
      </c>
      <c r="R995">
        <f ca="1">YEAR(TODAY())-Table1[[#This Row],[Year Built]]</f>
        <v>31</v>
      </c>
      <c r="S995" t="str">
        <f>IF(Table1[[#This Row],[Days on Market]] &lt; 30,"Fast",IF(Table1[[#This Row],[Days on Market]]&lt;= 90,"Average", "Slow"))</f>
        <v>Fast</v>
      </c>
      <c r="T995" t="str">
        <f>IF(Table1[[#This Row],[Price2]]&lt;500000,"Affordable",IF(Table1[[#This Row],[Price2]]&lt;1000000,"Mid range","Luxury"))</f>
        <v>Mid range</v>
      </c>
    </row>
    <row r="996" spans="1:20" x14ac:dyDescent="0.35">
      <c r="A996" s="3">
        <v>579576</v>
      </c>
      <c r="B996" s="2" t="s">
        <v>22</v>
      </c>
      <c r="C996">
        <v>27185</v>
      </c>
      <c r="D996" s="2" t="s">
        <v>18</v>
      </c>
      <c r="E996">
        <v>1</v>
      </c>
      <c r="F996">
        <v>2</v>
      </c>
      <c r="G996" s="4">
        <f>VALUE(SUBSTITUTE(SUBSTITUTE(Table1[[#This Row],[Price]],"$",""),",",""))</f>
        <v>579576</v>
      </c>
      <c r="H996" s="1">
        <f>Table1[[#This Row],[Price2]]/Table1[[#This Row],[Area]]</f>
        <v>257.70386838594931</v>
      </c>
      <c r="I996">
        <v>2249</v>
      </c>
      <c r="J996">
        <v>1967</v>
      </c>
      <c r="K996">
        <v>51</v>
      </c>
      <c r="L996" t="s">
        <v>19</v>
      </c>
      <c r="M996" t="s">
        <v>660</v>
      </c>
      <c r="N996" s="2" t="s">
        <v>3029</v>
      </c>
      <c r="O996" t="s">
        <v>3030</v>
      </c>
      <c r="P996" t="s">
        <v>26</v>
      </c>
      <c r="Q996">
        <v>257.70386838594931</v>
      </c>
      <c r="R996">
        <f ca="1">YEAR(TODAY())-Table1[[#This Row],[Year Built]]</f>
        <v>59</v>
      </c>
      <c r="S996" t="str">
        <f>IF(Table1[[#This Row],[Days on Market]] &lt; 30,"Fast",IF(Table1[[#This Row],[Days on Market]]&lt;= 90,"Average", "Slow"))</f>
        <v>Average</v>
      </c>
      <c r="T996" t="str">
        <f>IF(Table1[[#This Row],[Price2]]&lt;500000,"Affordable",IF(Table1[[#This Row],[Price2]]&lt;1000000,"Mid range","Luxury"))</f>
        <v>Mid range</v>
      </c>
    </row>
    <row r="997" spans="1:20" x14ac:dyDescent="0.35">
      <c r="A997" s="3">
        <v>579709</v>
      </c>
      <c r="B997" s="2" t="s">
        <v>12</v>
      </c>
      <c r="C997">
        <v>21933</v>
      </c>
      <c r="D997" s="2" t="s">
        <v>29</v>
      </c>
      <c r="E997">
        <v>1</v>
      </c>
      <c r="F997">
        <v>3</v>
      </c>
      <c r="G997" s="4">
        <f>VALUE(SUBSTITUTE(SUBSTITUTE(Table1[[#This Row],[Price]],"$",""),",",""))</f>
        <v>579709</v>
      </c>
      <c r="H997" s="1">
        <f>Table1[[#This Row],[Price2]]/Table1[[#This Row],[Area]]</f>
        <v>517.13559322033893</v>
      </c>
      <c r="I997">
        <v>1121</v>
      </c>
      <c r="J997">
        <v>1982</v>
      </c>
      <c r="K997">
        <v>30</v>
      </c>
      <c r="L997" t="s">
        <v>52</v>
      </c>
      <c r="M997" t="s">
        <v>2689</v>
      </c>
      <c r="N997" s="2" t="s">
        <v>3031</v>
      </c>
      <c r="O997" t="s">
        <v>3032</v>
      </c>
      <c r="P997" t="s">
        <v>21</v>
      </c>
      <c r="Q997">
        <v>517.13559322033893</v>
      </c>
      <c r="R997">
        <f ca="1">YEAR(TODAY())-Table1[[#This Row],[Year Built]]</f>
        <v>44</v>
      </c>
      <c r="S997" t="str">
        <f>IF(Table1[[#This Row],[Days on Market]] &lt; 30,"Fast",IF(Table1[[#This Row],[Days on Market]]&lt;= 90,"Average", "Slow"))</f>
        <v>Average</v>
      </c>
      <c r="T997" t="str">
        <f>IF(Table1[[#This Row],[Price2]]&lt;500000,"Affordable",IF(Table1[[#This Row],[Price2]]&lt;1000000,"Mid range","Luxury"))</f>
        <v>Mid range</v>
      </c>
    </row>
    <row r="998" spans="1:20" x14ac:dyDescent="0.35">
      <c r="A998" s="3">
        <v>580183</v>
      </c>
      <c r="B998" s="2" t="s">
        <v>34</v>
      </c>
      <c r="C998">
        <v>83512</v>
      </c>
      <c r="D998" s="2" t="s">
        <v>29</v>
      </c>
      <c r="E998">
        <v>5</v>
      </c>
      <c r="F998">
        <v>1</v>
      </c>
      <c r="G998" s="4">
        <f>VALUE(SUBSTITUTE(SUBSTITUTE(Table1[[#This Row],[Price]],"$",""),",",""))</f>
        <v>580183</v>
      </c>
      <c r="H998" s="1">
        <f>Table1[[#This Row],[Price2]]/Table1[[#This Row],[Area]]</f>
        <v>332.86460126219163</v>
      </c>
      <c r="I998">
        <v>1743</v>
      </c>
      <c r="J998">
        <v>2019</v>
      </c>
      <c r="K998">
        <v>21</v>
      </c>
      <c r="L998" t="s">
        <v>14</v>
      </c>
      <c r="M998" t="s">
        <v>3008</v>
      </c>
      <c r="N998" s="2" t="s">
        <v>3029</v>
      </c>
      <c r="O998" t="s">
        <v>3030</v>
      </c>
      <c r="P998" t="s">
        <v>16</v>
      </c>
      <c r="Q998">
        <v>332.86460126219163</v>
      </c>
      <c r="R998">
        <f ca="1">YEAR(TODAY())-Table1[[#This Row],[Year Built]]</f>
        <v>7</v>
      </c>
      <c r="S998" t="str">
        <f>IF(Table1[[#This Row],[Days on Market]] &lt; 30,"Fast",IF(Table1[[#This Row],[Days on Market]]&lt;= 90,"Average", "Slow"))</f>
        <v>Fast</v>
      </c>
      <c r="T998" t="str">
        <f>IF(Table1[[#This Row],[Price2]]&lt;500000,"Affordable",IF(Table1[[#This Row],[Price2]]&lt;1000000,"Mid range","Luxury"))</f>
        <v>Mid range</v>
      </c>
    </row>
    <row r="999" spans="1:20" x14ac:dyDescent="0.35">
      <c r="A999" s="3">
        <v>580318</v>
      </c>
      <c r="B999" s="2" t="s">
        <v>27</v>
      </c>
      <c r="C999">
        <v>44474</v>
      </c>
      <c r="D999" s="2" t="s">
        <v>35</v>
      </c>
      <c r="E999">
        <v>1</v>
      </c>
      <c r="F999">
        <v>4</v>
      </c>
      <c r="G999" s="4">
        <f>VALUE(SUBSTITUTE(SUBSTITUTE(Table1[[#This Row],[Price]],"$",""),",",""))</f>
        <v>580318</v>
      </c>
      <c r="H999" s="1">
        <f>Table1[[#This Row],[Price2]]/Table1[[#This Row],[Area]]</f>
        <v>164.76944917660421</v>
      </c>
      <c r="I999">
        <v>3522</v>
      </c>
      <c r="J999">
        <v>1969</v>
      </c>
      <c r="K999">
        <v>84</v>
      </c>
      <c r="L999" t="s">
        <v>19</v>
      </c>
      <c r="M999" t="s">
        <v>2916</v>
      </c>
      <c r="N999" s="2" t="s">
        <v>3035</v>
      </c>
      <c r="O999" t="s">
        <v>3036</v>
      </c>
      <c r="P999" t="s">
        <v>16</v>
      </c>
      <c r="Q999">
        <v>164.76944917660421</v>
      </c>
      <c r="R999">
        <f ca="1">YEAR(TODAY())-Table1[[#This Row],[Year Built]]</f>
        <v>57</v>
      </c>
      <c r="S999" t="str">
        <f>IF(Table1[[#This Row],[Days on Market]] &lt; 30,"Fast",IF(Table1[[#This Row],[Days on Market]]&lt;= 90,"Average", "Slow"))</f>
        <v>Average</v>
      </c>
      <c r="T999" t="str">
        <f>IF(Table1[[#This Row],[Price2]]&lt;500000,"Affordable",IF(Table1[[#This Row],[Price2]]&lt;1000000,"Mid range","Luxury"))</f>
        <v>Mid range</v>
      </c>
    </row>
    <row r="1000" spans="1:20" x14ac:dyDescent="0.35">
      <c r="A1000" s="3">
        <v>580380</v>
      </c>
      <c r="B1000" s="2" t="s">
        <v>17</v>
      </c>
      <c r="C1000">
        <v>73090</v>
      </c>
      <c r="D1000" s="2" t="s">
        <v>29</v>
      </c>
      <c r="E1000">
        <v>5</v>
      </c>
      <c r="F1000">
        <v>3</v>
      </c>
      <c r="G1000" s="4">
        <f>VALUE(SUBSTITUTE(SUBSTITUTE(Table1[[#This Row],[Price]],"$",""),",",""))</f>
        <v>580380</v>
      </c>
      <c r="H1000" s="1">
        <f>Table1[[#This Row],[Price2]]/Table1[[#This Row],[Area]]</f>
        <v>158.74726477024069</v>
      </c>
      <c r="I1000">
        <v>3656</v>
      </c>
      <c r="J1000">
        <v>1955</v>
      </c>
      <c r="K1000">
        <v>44</v>
      </c>
      <c r="L1000" t="s">
        <v>14</v>
      </c>
      <c r="M1000" t="s">
        <v>1456</v>
      </c>
      <c r="N1000" s="2" t="s">
        <v>3033</v>
      </c>
      <c r="O1000" t="s">
        <v>3034</v>
      </c>
      <c r="P1000" t="s">
        <v>21</v>
      </c>
      <c r="Q1000">
        <v>158.74726477024069</v>
      </c>
      <c r="R1000">
        <f ca="1">YEAR(TODAY())-Table1[[#This Row],[Year Built]]</f>
        <v>71</v>
      </c>
      <c r="S1000" t="str">
        <f>IF(Table1[[#This Row],[Days on Market]] &lt; 30,"Fast",IF(Table1[[#This Row],[Days on Market]]&lt;= 90,"Average", "Slow"))</f>
        <v>Average</v>
      </c>
      <c r="T1000" t="str">
        <f>IF(Table1[[#This Row],[Price2]]&lt;500000,"Affordable",IF(Table1[[#This Row],[Price2]]&lt;1000000,"Mid range","Luxury"))</f>
        <v>Mid range</v>
      </c>
    </row>
    <row r="1001" spans="1:20" x14ac:dyDescent="0.35">
      <c r="A1001" s="3">
        <v>580491</v>
      </c>
      <c r="B1001" s="2" t="s">
        <v>17</v>
      </c>
      <c r="C1001">
        <v>55175</v>
      </c>
      <c r="D1001" s="2" t="s">
        <v>29</v>
      </c>
      <c r="E1001">
        <v>6</v>
      </c>
      <c r="F1001">
        <v>1</v>
      </c>
      <c r="G1001" s="4">
        <f>VALUE(SUBSTITUTE(SUBSTITUTE(Table1[[#This Row],[Price]],"$",""),",",""))</f>
        <v>580491</v>
      </c>
      <c r="H1001" s="1">
        <f>Table1[[#This Row],[Price2]]/Table1[[#This Row],[Area]]</f>
        <v>821.06223479490802</v>
      </c>
      <c r="I1001">
        <v>707</v>
      </c>
      <c r="J1001">
        <v>2000</v>
      </c>
      <c r="K1001">
        <v>102</v>
      </c>
      <c r="L1001" t="s">
        <v>52</v>
      </c>
      <c r="M1001" t="s">
        <v>2474</v>
      </c>
      <c r="N1001" s="2" t="s">
        <v>3031</v>
      </c>
      <c r="O1001" t="s">
        <v>3032</v>
      </c>
      <c r="P1001" t="s">
        <v>21</v>
      </c>
      <c r="Q1001">
        <v>821.06223479490802</v>
      </c>
      <c r="R1001">
        <f ca="1">YEAR(TODAY())-Table1[[#This Row],[Year Built]]</f>
        <v>26</v>
      </c>
      <c r="S1001" t="str">
        <f>IF(Table1[[#This Row],[Days on Market]] &lt; 30,"Fast",IF(Table1[[#This Row],[Days on Market]]&lt;= 90,"Average", "Slow"))</f>
        <v>Slow</v>
      </c>
      <c r="T1001" t="str">
        <f>IF(Table1[[#This Row],[Price2]]&lt;500000,"Affordable",IF(Table1[[#This Row],[Price2]]&lt;1000000,"Mid range","Luxury"))</f>
        <v>Mid range</v>
      </c>
    </row>
    <row r="1002" spans="1:20" x14ac:dyDescent="0.35">
      <c r="A1002" s="3">
        <v>580818</v>
      </c>
      <c r="B1002" s="2" t="s">
        <v>17</v>
      </c>
      <c r="C1002">
        <v>22458</v>
      </c>
      <c r="D1002" s="2" t="s">
        <v>18</v>
      </c>
      <c r="E1002">
        <v>1</v>
      </c>
      <c r="F1002">
        <v>3</v>
      </c>
      <c r="G1002" s="4">
        <f>VALUE(SUBSTITUTE(SUBSTITUTE(Table1[[#This Row],[Price]],"$",""),",",""))</f>
        <v>580818</v>
      </c>
      <c r="H1002" s="1">
        <f>Table1[[#This Row],[Price2]]/Table1[[#This Row],[Area]]</f>
        <v>268.40018484288356</v>
      </c>
      <c r="I1002">
        <v>2164</v>
      </c>
      <c r="J1002">
        <v>1956</v>
      </c>
      <c r="K1002">
        <v>44</v>
      </c>
      <c r="L1002" t="s">
        <v>40</v>
      </c>
      <c r="M1002" t="s">
        <v>414</v>
      </c>
      <c r="N1002" s="2" t="s">
        <v>3029</v>
      </c>
      <c r="O1002" t="s">
        <v>3030</v>
      </c>
      <c r="P1002" t="s">
        <v>21</v>
      </c>
      <c r="Q1002">
        <v>268.40018484288356</v>
      </c>
      <c r="R1002">
        <f ca="1">YEAR(TODAY())-Table1[[#This Row],[Year Built]]</f>
        <v>70</v>
      </c>
      <c r="S1002" t="str">
        <f>IF(Table1[[#This Row],[Days on Market]] &lt; 30,"Fast",IF(Table1[[#This Row],[Days on Market]]&lt;= 90,"Average", "Slow"))</f>
        <v>Average</v>
      </c>
      <c r="T1002" t="str">
        <f>IF(Table1[[#This Row],[Price2]]&lt;500000,"Affordable",IF(Table1[[#This Row],[Price2]]&lt;1000000,"Mid range","Luxury"))</f>
        <v>Mid range</v>
      </c>
    </row>
    <row r="1003" spans="1:20" x14ac:dyDescent="0.35">
      <c r="A1003" s="3">
        <v>581015</v>
      </c>
      <c r="B1003" s="2" t="s">
        <v>12</v>
      </c>
      <c r="C1003">
        <v>76613</v>
      </c>
      <c r="D1003" s="2" t="s">
        <v>13</v>
      </c>
      <c r="E1003">
        <v>5</v>
      </c>
      <c r="F1003">
        <v>2</v>
      </c>
      <c r="G1003" s="4">
        <f>VALUE(SUBSTITUTE(SUBSTITUTE(Table1[[#This Row],[Price]],"$",""),",",""))</f>
        <v>581015</v>
      </c>
      <c r="H1003" s="1">
        <f>Table1[[#This Row],[Price2]]/Table1[[#This Row],[Area]]</f>
        <v>322.7861111111111</v>
      </c>
      <c r="I1003">
        <v>1800</v>
      </c>
      <c r="J1003">
        <v>1987</v>
      </c>
      <c r="K1003">
        <v>49</v>
      </c>
      <c r="L1003" t="s">
        <v>52</v>
      </c>
      <c r="M1003" t="s">
        <v>155</v>
      </c>
      <c r="N1003" s="2" t="s">
        <v>3029</v>
      </c>
      <c r="O1003" t="s">
        <v>3030</v>
      </c>
      <c r="P1003" t="s">
        <v>16</v>
      </c>
      <c r="Q1003">
        <v>322.7861111111111</v>
      </c>
      <c r="R1003">
        <f ca="1">YEAR(TODAY())-Table1[[#This Row],[Year Built]]</f>
        <v>39</v>
      </c>
      <c r="S1003" t="str">
        <f>IF(Table1[[#This Row],[Days on Market]] &lt; 30,"Fast",IF(Table1[[#This Row],[Days on Market]]&lt;= 90,"Average", "Slow"))</f>
        <v>Average</v>
      </c>
      <c r="T1003" t="str">
        <f>IF(Table1[[#This Row],[Price2]]&lt;500000,"Affordable",IF(Table1[[#This Row],[Price2]]&lt;1000000,"Mid range","Luxury"))</f>
        <v>Mid range</v>
      </c>
    </row>
    <row r="1004" spans="1:20" x14ac:dyDescent="0.35">
      <c r="A1004" s="3">
        <v>581016</v>
      </c>
      <c r="B1004" s="2" t="s">
        <v>22</v>
      </c>
      <c r="C1004">
        <v>87952</v>
      </c>
      <c r="D1004" s="2" t="s">
        <v>18</v>
      </c>
      <c r="E1004">
        <v>3</v>
      </c>
      <c r="F1004">
        <v>3</v>
      </c>
      <c r="G1004" s="4">
        <f>VALUE(SUBSTITUTE(SUBSTITUTE(Table1[[#This Row],[Price]],"$",""),",",""))</f>
        <v>581016</v>
      </c>
      <c r="H1004" s="1">
        <f>Table1[[#This Row],[Price2]]/Table1[[#This Row],[Area]]</f>
        <v>150.79574357643395</v>
      </c>
      <c r="I1004">
        <v>3853</v>
      </c>
      <c r="J1004">
        <v>1991</v>
      </c>
      <c r="K1004">
        <v>77</v>
      </c>
      <c r="L1004" t="s">
        <v>40</v>
      </c>
      <c r="M1004" t="s">
        <v>2232</v>
      </c>
      <c r="N1004" s="2" t="s">
        <v>3035</v>
      </c>
      <c r="O1004" t="s">
        <v>3036</v>
      </c>
      <c r="P1004" t="s">
        <v>16</v>
      </c>
      <c r="Q1004">
        <v>150.79574357643395</v>
      </c>
      <c r="R1004">
        <f ca="1">YEAR(TODAY())-Table1[[#This Row],[Year Built]]</f>
        <v>35</v>
      </c>
      <c r="S1004" t="str">
        <f>IF(Table1[[#This Row],[Days on Market]] &lt; 30,"Fast",IF(Table1[[#This Row],[Days on Market]]&lt;= 90,"Average", "Slow"))</f>
        <v>Average</v>
      </c>
      <c r="T1004" t="str">
        <f>IF(Table1[[#This Row],[Price2]]&lt;500000,"Affordable",IF(Table1[[#This Row],[Price2]]&lt;1000000,"Mid range","Luxury"))</f>
        <v>Mid range</v>
      </c>
    </row>
    <row r="1005" spans="1:20" x14ac:dyDescent="0.35">
      <c r="A1005" s="3">
        <v>581161</v>
      </c>
      <c r="B1005" s="2" t="s">
        <v>27</v>
      </c>
      <c r="C1005">
        <v>13381</v>
      </c>
      <c r="D1005" s="2" t="s">
        <v>23</v>
      </c>
      <c r="E1005">
        <v>5</v>
      </c>
      <c r="F1005">
        <v>2</v>
      </c>
      <c r="G1005" s="4">
        <f>VALUE(SUBSTITUTE(SUBSTITUTE(Table1[[#This Row],[Price]],"$",""),",",""))</f>
        <v>581161</v>
      </c>
      <c r="H1005" s="1">
        <f>Table1[[#This Row],[Price2]]/Table1[[#This Row],[Area]]</f>
        <v>271.06389925373134</v>
      </c>
      <c r="I1005">
        <v>2144</v>
      </c>
      <c r="J1005">
        <v>2022</v>
      </c>
      <c r="K1005">
        <v>19</v>
      </c>
      <c r="L1005" t="s">
        <v>19</v>
      </c>
      <c r="M1005" t="s">
        <v>1525</v>
      </c>
      <c r="N1005" s="2" t="s">
        <v>3029</v>
      </c>
      <c r="O1005" t="s">
        <v>3030</v>
      </c>
      <c r="P1005" t="s">
        <v>26</v>
      </c>
      <c r="Q1005">
        <v>271.06389925373134</v>
      </c>
      <c r="R1005">
        <f ca="1">YEAR(TODAY())-Table1[[#This Row],[Year Built]]</f>
        <v>4</v>
      </c>
      <c r="S1005" t="str">
        <f>IF(Table1[[#This Row],[Days on Market]] &lt; 30,"Fast",IF(Table1[[#This Row],[Days on Market]]&lt;= 90,"Average", "Slow"))</f>
        <v>Fast</v>
      </c>
      <c r="T1005" t="str">
        <f>IF(Table1[[#This Row],[Price2]]&lt;500000,"Affordable",IF(Table1[[#This Row],[Price2]]&lt;1000000,"Mid range","Luxury"))</f>
        <v>Mid range</v>
      </c>
    </row>
    <row r="1006" spans="1:20" x14ac:dyDescent="0.35">
      <c r="A1006" s="3">
        <v>581471</v>
      </c>
      <c r="B1006" s="2" t="s">
        <v>27</v>
      </c>
      <c r="C1006">
        <v>30522</v>
      </c>
      <c r="D1006" s="2" t="s">
        <v>23</v>
      </c>
      <c r="E1006">
        <v>6</v>
      </c>
      <c r="F1006">
        <v>3</v>
      </c>
      <c r="G1006" s="4">
        <f>VALUE(SUBSTITUTE(SUBSTITUTE(Table1[[#This Row],[Price]],"$",""),",",""))</f>
        <v>581471</v>
      </c>
      <c r="H1006" s="1">
        <f>Table1[[#This Row],[Price2]]/Table1[[#This Row],[Area]]</f>
        <v>385.59084880636607</v>
      </c>
      <c r="I1006">
        <v>1508</v>
      </c>
      <c r="J1006">
        <v>1963</v>
      </c>
      <c r="K1006">
        <v>30</v>
      </c>
      <c r="L1006" t="s">
        <v>30</v>
      </c>
      <c r="M1006" t="s">
        <v>2457</v>
      </c>
      <c r="N1006" s="2" t="s">
        <v>3027</v>
      </c>
      <c r="O1006" t="s">
        <v>3028</v>
      </c>
      <c r="P1006" t="s">
        <v>21</v>
      </c>
      <c r="Q1006">
        <v>385.59084880636607</v>
      </c>
      <c r="R1006">
        <f ca="1">YEAR(TODAY())-Table1[[#This Row],[Year Built]]</f>
        <v>63</v>
      </c>
      <c r="S1006" t="str">
        <f>IF(Table1[[#This Row],[Days on Market]] &lt; 30,"Fast",IF(Table1[[#This Row],[Days on Market]]&lt;= 90,"Average", "Slow"))</f>
        <v>Average</v>
      </c>
      <c r="T1006" t="str">
        <f>IF(Table1[[#This Row],[Price2]]&lt;500000,"Affordable",IF(Table1[[#This Row],[Price2]]&lt;1000000,"Mid range","Luxury"))</f>
        <v>Mid range</v>
      </c>
    </row>
    <row r="1007" spans="1:20" x14ac:dyDescent="0.35">
      <c r="A1007" s="3">
        <v>581754</v>
      </c>
      <c r="B1007" s="2" t="s">
        <v>22</v>
      </c>
      <c r="C1007">
        <v>37877</v>
      </c>
      <c r="D1007" s="2" t="s">
        <v>35</v>
      </c>
      <c r="E1007">
        <v>3</v>
      </c>
      <c r="F1007">
        <v>2</v>
      </c>
      <c r="G1007" s="4">
        <f>VALUE(SUBSTITUTE(SUBSTITUTE(Table1[[#This Row],[Price]],"$",""),",",""))</f>
        <v>581754</v>
      </c>
      <c r="H1007" s="1">
        <f>Table1[[#This Row],[Price2]]/Table1[[#This Row],[Area]]</f>
        <v>274.80113367973547</v>
      </c>
      <c r="I1007">
        <v>2117</v>
      </c>
      <c r="J1007">
        <v>1953</v>
      </c>
      <c r="K1007">
        <v>112</v>
      </c>
      <c r="L1007" t="s">
        <v>40</v>
      </c>
      <c r="M1007" t="s">
        <v>2103</v>
      </c>
      <c r="N1007" s="2" t="s">
        <v>3033</v>
      </c>
      <c r="O1007" t="s">
        <v>3034</v>
      </c>
      <c r="P1007" t="s">
        <v>16</v>
      </c>
      <c r="Q1007">
        <v>274.80113367973547</v>
      </c>
      <c r="R1007">
        <f ca="1">YEAR(TODAY())-Table1[[#This Row],[Year Built]]</f>
        <v>73</v>
      </c>
      <c r="S1007" t="str">
        <f>IF(Table1[[#This Row],[Days on Market]] &lt; 30,"Fast",IF(Table1[[#This Row],[Days on Market]]&lt;= 90,"Average", "Slow"))</f>
        <v>Slow</v>
      </c>
      <c r="T1007" t="str">
        <f>IF(Table1[[#This Row],[Price2]]&lt;500000,"Affordable",IF(Table1[[#This Row],[Price2]]&lt;1000000,"Mid range","Luxury"))</f>
        <v>Mid range</v>
      </c>
    </row>
    <row r="1008" spans="1:20" x14ac:dyDescent="0.35">
      <c r="A1008" s="3">
        <v>581762</v>
      </c>
      <c r="B1008" s="2" t="s">
        <v>17</v>
      </c>
      <c r="C1008">
        <v>88406</v>
      </c>
      <c r="D1008" s="2" t="s">
        <v>23</v>
      </c>
      <c r="E1008">
        <v>3</v>
      </c>
      <c r="F1008">
        <v>1</v>
      </c>
      <c r="G1008" s="4">
        <f>VALUE(SUBSTITUTE(SUBSTITUTE(Table1[[#This Row],[Price]],"$",""),",",""))</f>
        <v>581762</v>
      </c>
      <c r="H1008" s="1">
        <f>Table1[[#This Row],[Price2]]/Table1[[#This Row],[Area]]</f>
        <v>635.11135371179034</v>
      </c>
      <c r="I1008">
        <v>916</v>
      </c>
      <c r="J1008">
        <v>1971</v>
      </c>
      <c r="K1008">
        <v>120</v>
      </c>
      <c r="L1008" t="s">
        <v>19</v>
      </c>
      <c r="M1008" t="s">
        <v>2180</v>
      </c>
      <c r="N1008" s="2" t="s">
        <v>3035</v>
      </c>
      <c r="O1008" t="s">
        <v>3036</v>
      </c>
      <c r="P1008" t="s">
        <v>21</v>
      </c>
      <c r="Q1008">
        <v>635.11135371179034</v>
      </c>
      <c r="R1008">
        <f ca="1">YEAR(TODAY())-Table1[[#This Row],[Year Built]]</f>
        <v>55</v>
      </c>
      <c r="S1008" t="str">
        <f>IF(Table1[[#This Row],[Days on Market]] &lt; 30,"Fast",IF(Table1[[#This Row],[Days on Market]]&lt;= 90,"Average", "Slow"))</f>
        <v>Slow</v>
      </c>
      <c r="T1008" t="str">
        <f>IF(Table1[[#This Row],[Price2]]&lt;500000,"Affordable",IF(Table1[[#This Row],[Price2]]&lt;1000000,"Mid range","Luxury"))</f>
        <v>Mid range</v>
      </c>
    </row>
    <row r="1009" spans="1:20" x14ac:dyDescent="0.35">
      <c r="A1009" s="3">
        <v>582180</v>
      </c>
      <c r="B1009" s="2" t="s">
        <v>27</v>
      </c>
      <c r="C1009">
        <v>91963</v>
      </c>
      <c r="D1009" s="2" t="s">
        <v>18</v>
      </c>
      <c r="E1009">
        <v>1</v>
      </c>
      <c r="F1009">
        <v>4</v>
      </c>
      <c r="G1009" s="4">
        <f>VALUE(SUBSTITUTE(SUBSTITUTE(Table1[[#This Row],[Price]],"$",""),",",""))</f>
        <v>582180</v>
      </c>
      <c r="H1009" s="1">
        <f>Table1[[#This Row],[Price2]]/Table1[[#This Row],[Area]]</f>
        <v>320.05497526113248</v>
      </c>
      <c r="I1009">
        <v>1819</v>
      </c>
      <c r="J1009">
        <v>1993</v>
      </c>
      <c r="K1009">
        <v>13</v>
      </c>
      <c r="L1009" t="s">
        <v>30</v>
      </c>
      <c r="M1009" t="s">
        <v>1743</v>
      </c>
      <c r="N1009" s="2" t="s">
        <v>3029</v>
      </c>
      <c r="O1009" t="s">
        <v>3030</v>
      </c>
      <c r="P1009" t="s">
        <v>21</v>
      </c>
      <c r="Q1009">
        <v>320.05497526113248</v>
      </c>
      <c r="R1009">
        <f ca="1">YEAR(TODAY())-Table1[[#This Row],[Year Built]]</f>
        <v>33</v>
      </c>
      <c r="S1009" t="str">
        <f>IF(Table1[[#This Row],[Days on Market]] &lt; 30,"Fast",IF(Table1[[#This Row],[Days on Market]]&lt;= 90,"Average", "Slow"))</f>
        <v>Fast</v>
      </c>
      <c r="T1009" t="str">
        <f>IF(Table1[[#This Row],[Price2]]&lt;500000,"Affordable",IF(Table1[[#This Row],[Price2]]&lt;1000000,"Mid range","Luxury"))</f>
        <v>Mid range</v>
      </c>
    </row>
    <row r="1010" spans="1:20" x14ac:dyDescent="0.35">
      <c r="A1010" s="3">
        <v>583154</v>
      </c>
      <c r="B1010" s="2" t="s">
        <v>22</v>
      </c>
      <c r="C1010">
        <v>17616</v>
      </c>
      <c r="D1010" s="2" t="s">
        <v>13</v>
      </c>
      <c r="E1010">
        <v>1</v>
      </c>
      <c r="F1010">
        <v>2</v>
      </c>
      <c r="G1010" s="4">
        <f>VALUE(SUBSTITUTE(SUBSTITUTE(Table1[[#This Row],[Price]],"$",""),",",""))</f>
        <v>583154</v>
      </c>
      <c r="H1010" s="1">
        <f>Table1[[#This Row],[Price2]]/Table1[[#This Row],[Area]]</f>
        <v>242.77851790174853</v>
      </c>
      <c r="I1010">
        <v>2402</v>
      </c>
      <c r="J1010">
        <v>1981</v>
      </c>
      <c r="K1010">
        <v>96</v>
      </c>
      <c r="L1010" t="s">
        <v>14</v>
      </c>
      <c r="M1010" t="s">
        <v>1259</v>
      </c>
      <c r="N1010" s="2" t="s">
        <v>3033</v>
      </c>
      <c r="O1010" t="s">
        <v>3034</v>
      </c>
      <c r="P1010" t="s">
        <v>21</v>
      </c>
      <c r="Q1010">
        <v>242.77851790174853</v>
      </c>
      <c r="R1010">
        <f ca="1">YEAR(TODAY())-Table1[[#This Row],[Year Built]]</f>
        <v>45</v>
      </c>
      <c r="S1010" t="str">
        <f>IF(Table1[[#This Row],[Days on Market]] &lt; 30,"Fast",IF(Table1[[#This Row],[Days on Market]]&lt;= 90,"Average", "Slow"))</f>
        <v>Slow</v>
      </c>
      <c r="T1010" t="str">
        <f>IF(Table1[[#This Row],[Price2]]&lt;500000,"Affordable",IF(Table1[[#This Row],[Price2]]&lt;1000000,"Mid range","Luxury"))</f>
        <v>Mid range</v>
      </c>
    </row>
    <row r="1011" spans="1:20" x14ac:dyDescent="0.35">
      <c r="A1011" s="3">
        <v>583291</v>
      </c>
      <c r="B1011" s="2" t="s">
        <v>34</v>
      </c>
      <c r="C1011">
        <v>20542</v>
      </c>
      <c r="D1011" s="2" t="s">
        <v>35</v>
      </c>
      <c r="E1011">
        <v>5</v>
      </c>
      <c r="F1011">
        <v>4</v>
      </c>
      <c r="G1011" s="4">
        <f>VALUE(SUBSTITUTE(SUBSTITUTE(Table1[[#This Row],[Price]],"$",""),",",""))</f>
        <v>583291</v>
      </c>
      <c r="H1011" s="1">
        <f>Table1[[#This Row],[Price2]]/Table1[[#This Row],[Area]]</f>
        <v>161.62122471598781</v>
      </c>
      <c r="I1011">
        <v>3609</v>
      </c>
      <c r="J1011">
        <v>1957</v>
      </c>
      <c r="K1011">
        <v>8</v>
      </c>
      <c r="L1011" t="s">
        <v>30</v>
      </c>
      <c r="M1011" t="s">
        <v>1110</v>
      </c>
      <c r="N1011" s="2" t="s">
        <v>3033</v>
      </c>
      <c r="O1011" t="s">
        <v>3034</v>
      </c>
      <c r="P1011" t="s">
        <v>16</v>
      </c>
      <c r="Q1011">
        <v>161.62122471598781</v>
      </c>
      <c r="R1011">
        <f ca="1">YEAR(TODAY())-Table1[[#This Row],[Year Built]]</f>
        <v>69</v>
      </c>
      <c r="S1011" t="str">
        <f>IF(Table1[[#This Row],[Days on Market]] &lt; 30,"Fast",IF(Table1[[#This Row],[Days on Market]]&lt;= 90,"Average", "Slow"))</f>
        <v>Fast</v>
      </c>
      <c r="T1011" t="str">
        <f>IF(Table1[[#This Row],[Price2]]&lt;500000,"Affordable",IF(Table1[[#This Row],[Price2]]&lt;1000000,"Mid range","Luxury"))</f>
        <v>Mid range</v>
      </c>
    </row>
    <row r="1012" spans="1:20" x14ac:dyDescent="0.35">
      <c r="A1012" s="3">
        <v>583720</v>
      </c>
      <c r="B1012" s="2" t="s">
        <v>34</v>
      </c>
      <c r="C1012">
        <v>70050</v>
      </c>
      <c r="D1012" s="2" t="s">
        <v>23</v>
      </c>
      <c r="E1012">
        <v>2</v>
      </c>
      <c r="F1012">
        <v>3</v>
      </c>
      <c r="G1012" s="4">
        <f>VALUE(SUBSTITUTE(SUBSTITUTE(Table1[[#This Row],[Price]],"$",""),",",""))</f>
        <v>583720</v>
      </c>
      <c r="H1012" s="1">
        <f>Table1[[#This Row],[Price2]]/Table1[[#This Row],[Area]]</f>
        <v>325.91848129536572</v>
      </c>
      <c r="I1012">
        <v>1791</v>
      </c>
      <c r="J1012">
        <v>1993</v>
      </c>
      <c r="K1012">
        <v>79</v>
      </c>
      <c r="L1012" t="s">
        <v>14</v>
      </c>
      <c r="M1012" t="s">
        <v>2016</v>
      </c>
      <c r="N1012" s="2" t="s">
        <v>3031</v>
      </c>
      <c r="O1012" t="s">
        <v>3032</v>
      </c>
      <c r="P1012" t="s">
        <v>26</v>
      </c>
      <c r="Q1012">
        <v>325.91848129536572</v>
      </c>
      <c r="R1012">
        <f ca="1">YEAR(TODAY())-Table1[[#This Row],[Year Built]]</f>
        <v>33</v>
      </c>
      <c r="S1012" t="str">
        <f>IF(Table1[[#This Row],[Days on Market]] &lt; 30,"Fast",IF(Table1[[#This Row],[Days on Market]]&lt;= 90,"Average", "Slow"))</f>
        <v>Average</v>
      </c>
      <c r="T1012" t="str">
        <f>IF(Table1[[#This Row],[Price2]]&lt;500000,"Affordable",IF(Table1[[#This Row],[Price2]]&lt;1000000,"Mid range","Luxury"))</f>
        <v>Mid range</v>
      </c>
    </row>
    <row r="1013" spans="1:20" x14ac:dyDescent="0.35">
      <c r="A1013" s="3">
        <v>584306</v>
      </c>
      <c r="B1013" s="2" t="s">
        <v>27</v>
      </c>
      <c r="C1013">
        <v>28585</v>
      </c>
      <c r="D1013" s="2" t="s">
        <v>35</v>
      </c>
      <c r="E1013">
        <v>4</v>
      </c>
      <c r="F1013">
        <v>4</v>
      </c>
      <c r="G1013" s="4">
        <f>VALUE(SUBSTITUTE(SUBSTITUTE(Table1[[#This Row],[Price]],"$",""),",",""))</f>
        <v>584306</v>
      </c>
      <c r="H1013" s="1">
        <f>Table1[[#This Row],[Price2]]/Table1[[#This Row],[Area]]</f>
        <v>218.84119850187267</v>
      </c>
      <c r="I1013">
        <v>2670</v>
      </c>
      <c r="J1013">
        <v>1991</v>
      </c>
      <c r="K1013">
        <v>38</v>
      </c>
      <c r="L1013" t="s">
        <v>14</v>
      </c>
      <c r="M1013" t="s">
        <v>1696</v>
      </c>
      <c r="N1013" s="2" t="s">
        <v>3033</v>
      </c>
      <c r="O1013" t="s">
        <v>3034</v>
      </c>
      <c r="P1013" t="s">
        <v>21</v>
      </c>
      <c r="Q1013">
        <v>218.84119850187267</v>
      </c>
      <c r="R1013">
        <f ca="1">YEAR(TODAY())-Table1[[#This Row],[Year Built]]</f>
        <v>35</v>
      </c>
      <c r="S1013" t="str">
        <f>IF(Table1[[#This Row],[Days on Market]] &lt; 30,"Fast",IF(Table1[[#This Row],[Days on Market]]&lt;= 90,"Average", "Slow"))</f>
        <v>Average</v>
      </c>
      <c r="T1013" t="str">
        <f>IF(Table1[[#This Row],[Price2]]&lt;500000,"Affordable",IF(Table1[[#This Row],[Price2]]&lt;1000000,"Mid range","Luxury"))</f>
        <v>Mid range</v>
      </c>
    </row>
    <row r="1014" spans="1:20" x14ac:dyDescent="0.35">
      <c r="A1014" s="3">
        <v>584963</v>
      </c>
      <c r="B1014" s="2" t="s">
        <v>34</v>
      </c>
      <c r="C1014">
        <v>73076</v>
      </c>
      <c r="D1014" s="2" t="s">
        <v>29</v>
      </c>
      <c r="E1014">
        <v>3</v>
      </c>
      <c r="F1014">
        <v>1</v>
      </c>
      <c r="G1014" s="4">
        <f>VALUE(SUBSTITUTE(SUBSTITUTE(Table1[[#This Row],[Price]],"$",""),",",""))</f>
        <v>584963</v>
      </c>
      <c r="H1014" s="1">
        <f>Table1[[#This Row],[Price2]]/Table1[[#This Row],[Area]]</f>
        <v>174.82456664674237</v>
      </c>
      <c r="I1014">
        <v>3346</v>
      </c>
      <c r="J1014">
        <v>1991</v>
      </c>
      <c r="K1014">
        <v>106</v>
      </c>
      <c r="L1014" t="s">
        <v>30</v>
      </c>
      <c r="M1014" t="s">
        <v>2622</v>
      </c>
      <c r="N1014" s="2" t="s">
        <v>3033</v>
      </c>
      <c r="O1014" t="s">
        <v>3034</v>
      </c>
      <c r="P1014" t="s">
        <v>26</v>
      </c>
      <c r="Q1014">
        <v>174.82456664674237</v>
      </c>
      <c r="R1014">
        <f ca="1">YEAR(TODAY())-Table1[[#This Row],[Year Built]]</f>
        <v>35</v>
      </c>
      <c r="S1014" t="str">
        <f>IF(Table1[[#This Row],[Days on Market]] &lt; 30,"Fast",IF(Table1[[#This Row],[Days on Market]]&lt;= 90,"Average", "Slow"))</f>
        <v>Slow</v>
      </c>
      <c r="T1014" t="str">
        <f>IF(Table1[[#This Row],[Price2]]&lt;500000,"Affordable",IF(Table1[[#This Row],[Price2]]&lt;1000000,"Mid range","Luxury"))</f>
        <v>Mid range</v>
      </c>
    </row>
    <row r="1015" spans="1:20" x14ac:dyDescent="0.35">
      <c r="A1015" s="3">
        <v>585085</v>
      </c>
      <c r="B1015" s="2" t="s">
        <v>17</v>
      </c>
      <c r="C1015">
        <v>18937</v>
      </c>
      <c r="D1015" s="2" t="s">
        <v>35</v>
      </c>
      <c r="E1015">
        <v>5</v>
      </c>
      <c r="F1015">
        <v>4</v>
      </c>
      <c r="G1015" s="4">
        <f>VALUE(SUBSTITUTE(SUBSTITUTE(Table1[[#This Row],[Price]],"$",""),",",""))</f>
        <v>585085</v>
      </c>
      <c r="H1015" s="1">
        <f>Table1[[#This Row],[Price2]]/Table1[[#This Row],[Area]]</f>
        <v>416.72720797720797</v>
      </c>
      <c r="I1015">
        <v>1404</v>
      </c>
      <c r="J1015">
        <v>1972</v>
      </c>
      <c r="K1015">
        <v>81</v>
      </c>
      <c r="L1015" t="s">
        <v>19</v>
      </c>
      <c r="M1015" t="s">
        <v>1773</v>
      </c>
      <c r="N1015" s="2" t="s">
        <v>3029</v>
      </c>
      <c r="O1015" t="s">
        <v>3030</v>
      </c>
      <c r="P1015" t="s">
        <v>21</v>
      </c>
      <c r="Q1015">
        <v>416.72720797720797</v>
      </c>
      <c r="R1015">
        <f ca="1">YEAR(TODAY())-Table1[[#This Row],[Year Built]]</f>
        <v>54</v>
      </c>
      <c r="S1015" t="str">
        <f>IF(Table1[[#This Row],[Days on Market]] &lt; 30,"Fast",IF(Table1[[#This Row],[Days on Market]]&lt;= 90,"Average", "Slow"))</f>
        <v>Average</v>
      </c>
      <c r="T1015" t="str">
        <f>IF(Table1[[#This Row],[Price2]]&lt;500000,"Affordable",IF(Table1[[#This Row],[Price2]]&lt;1000000,"Mid range","Luxury"))</f>
        <v>Mid range</v>
      </c>
    </row>
    <row r="1016" spans="1:20" x14ac:dyDescent="0.35">
      <c r="A1016" s="3">
        <v>585846</v>
      </c>
      <c r="B1016" s="2" t="s">
        <v>22</v>
      </c>
      <c r="C1016">
        <v>87872</v>
      </c>
      <c r="D1016" s="2" t="s">
        <v>18</v>
      </c>
      <c r="E1016">
        <v>4</v>
      </c>
      <c r="F1016">
        <v>3</v>
      </c>
      <c r="G1016" s="4">
        <f>VALUE(SUBSTITUTE(SUBSTITUTE(Table1[[#This Row],[Price]],"$",""),",",""))</f>
        <v>585846</v>
      </c>
      <c r="H1016" s="1">
        <f>Table1[[#This Row],[Price2]]/Table1[[#This Row],[Area]]</f>
        <v>314.97096774193551</v>
      </c>
      <c r="I1016">
        <v>1860</v>
      </c>
      <c r="J1016">
        <v>2021</v>
      </c>
      <c r="K1016">
        <v>7</v>
      </c>
      <c r="L1016" t="s">
        <v>30</v>
      </c>
      <c r="M1016" t="s">
        <v>2360</v>
      </c>
      <c r="N1016" s="2" t="s">
        <v>3035</v>
      </c>
      <c r="O1016" t="s">
        <v>3036</v>
      </c>
      <c r="P1016" t="s">
        <v>26</v>
      </c>
      <c r="Q1016">
        <v>314.97096774193551</v>
      </c>
      <c r="R1016">
        <f ca="1">YEAR(TODAY())-Table1[[#This Row],[Year Built]]</f>
        <v>5</v>
      </c>
      <c r="S1016" t="str">
        <f>IF(Table1[[#This Row],[Days on Market]] &lt; 30,"Fast",IF(Table1[[#This Row],[Days on Market]]&lt;= 90,"Average", "Slow"))</f>
        <v>Fast</v>
      </c>
      <c r="T1016" t="str">
        <f>IF(Table1[[#This Row],[Price2]]&lt;500000,"Affordable",IF(Table1[[#This Row],[Price2]]&lt;1000000,"Mid range","Luxury"))</f>
        <v>Mid range</v>
      </c>
    </row>
    <row r="1017" spans="1:20" x14ac:dyDescent="0.35">
      <c r="A1017" s="3">
        <v>586196</v>
      </c>
      <c r="B1017" s="2" t="s">
        <v>12</v>
      </c>
      <c r="C1017">
        <v>77805</v>
      </c>
      <c r="D1017" s="2" t="s">
        <v>35</v>
      </c>
      <c r="E1017">
        <v>3</v>
      </c>
      <c r="F1017">
        <v>3</v>
      </c>
      <c r="G1017" s="4">
        <f>VALUE(SUBSTITUTE(SUBSTITUTE(Table1[[#This Row],[Price]],"$",""),",",""))</f>
        <v>586196</v>
      </c>
      <c r="H1017" s="1">
        <f>Table1[[#This Row],[Price2]]/Table1[[#This Row],[Area]]</f>
        <v>300.76757311441764</v>
      </c>
      <c r="I1017">
        <v>1949</v>
      </c>
      <c r="J1017">
        <v>2020</v>
      </c>
      <c r="K1017">
        <v>33</v>
      </c>
      <c r="L1017" t="s">
        <v>19</v>
      </c>
      <c r="M1017" t="s">
        <v>636</v>
      </c>
      <c r="N1017" s="2" t="s">
        <v>3031</v>
      </c>
      <c r="O1017" t="s">
        <v>3032</v>
      </c>
      <c r="P1017" t="s">
        <v>16</v>
      </c>
      <c r="Q1017">
        <v>300.76757311441764</v>
      </c>
      <c r="R1017">
        <f ca="1">YEAR(TODAY())-Table1[[#This Row],[Year Built]]</f>
        <v>6</v>
      </c>
      <c r="S1017" t="str">
        <f>IF(Table1[[#This Row],[Days on Market]] &lt; 30,"Fast",IF(Table1[[#This Row],[Days on Market]]&lt;= 90,"Average", "Slow"))</f>
        <v>Average</v>
      </c>
      <c r="T1017" t="str">
        <f>IF(Table1[[#This Row],[Price2]]&lt;500000,"Affordable",IF(Table1[[#This Row],[Price2]]&lt;1000000,"Mid range","Luxury"))</f>
        <v>Mid range</v>
      </c>
    </row>
    <row r="1018" spans="1:20" x14ac:dyDescent="0.35">
      <c r="A1018" s="3">
        <v>586629</v>
      </c>
      <c r="B1018" s="2" t="s">
        <v>27</v>
      </c>
      <c r="C1018">
        <v>30666</v>
      </c>
      <c r="D1018" s="2" t="s">
        <v>13</v>
      </c>
      <c r="E1018">
        <v>1</v>
      </c>
      <c r="F1018">
        <v>2</v>
      </c>
      <c r="G1018" s="4">
        <f>VALUE(SUBSTITUTE(SUBSTITUTE(Table1[[#This Row],[Price]],"$",""),",",""))</f>
        <v>586629</v>
      </c>
      <c r="H1018" s="1">
        <f>Table1[[#This Row],[Price2]]/Table1[[#This Row],[Area]]</f>
        <v>313.20288307528028</v>
      </c>
      <c r="I1018">
        <v>1873</v>
      </c>
      <c r="J1018">
        <v>1963</v>
      </c>
      <c r="K1018">
        <v>84</v>
      </c>
      <c r="L1018" t="s">
        <v>52</v>
      </c>
      <c r="M1018" t="s">
        <v>1123</v>
      </c>
      <c r="N1018" s="2" t="s">
        <v>3027</v>
      </c>
      <c r="O1018" t="s">
        <v>3028</v>
      </c>
      <c r="P1018" t="s">
        <v>16</v>
      </c>
      <c r="Q1018">
        <v>313.20288307528028</v>
      </c>
      <c r="R1018">
        <f ca="1">YEAR(TODAY())-Table1[[#This Row],[Year Built]]</f>
        <v>63</v>
      </c>
      <c r="S1018" t="str">
        <f>IF(Table1[[#This Row],[Days on Market]] &lt; 30,"Fast",IF(Table1[[#This Row],[Days on Market]]&lt;= 90,"Average", "Slow"))</f>
        <v>Average</v>
      </c>
      <c r="T1018" t="str">
        <f>IF(Table1[[#This Row],[Price2]]&lt;500000,"Affordable",IF(Table1[[#This Row],[Price2]]&lt;1000000,"Mid range","Luxury"))</f>
        <v>Mid range</v>
      </c>
    </row>
    <row r="1019" spans="1:20" x14ac:dyDescent="0.35">
      <c r="A1019" s="3">
        <v>586833</v>
      </c>
      <c r="B1019" s="2" t="s">
        <v>22</v>
      </c>
      <c r="C1019">
        <v>93094</v>
      </c>
      <c r="D1019" s="2" t="s">
        <v>13</v>
      </c>
      <c r="E1019">
        <v>6</v>
      </c>
      <c r="F1019">
        <v>4</v>
      </c>
      <c r="G1019" s="4">
        <f>VALUE(SUBSTITUTE(SUBSTITUTE(Table1[[#This Row],[Price]],"$",""),",",""))</f>
        <v>586833</v>
      </c>
      <c r="H1019" s="1">
        <f>Table1[[#This Row],[Price2]]/Table1[[#This Row],[Area]]</f>
        <v>389.40477770404777</v>
      </c>
      <c r="I1019">
        <v>1507</v>
      </c>
      <c r="J1019">
        <v>1985</v>
      </c>
      <c r="K1019">
        <v>107</v>
      </c>
      <c r="L1019" t="s">
        <v>30</v>
      </c>
      <c r="M1019" t="s">
        <v>584</v>
      </c>
      <c r="N1019" s="2" t="s">
        <v>3033</v>
      </c>
      <c r="O1019" t="s">
        <v>3034</v>
      </c>
      <c r="P1019" t="s">
        <v>21</v>
      </c>
      <c r="Q1019">
        <v>389.40477770404777</v>
      </c>
      <c r="R1019">
        <f ca="1">YEAR(TODAY())-Table1[[#This Row],[Year Built]]</f>
        <v>41</v>
      </c>
      <c r="S1019" t="str">
        <f>IF(Table1[[#This Row],[Days on Market]] &lt; 30,"Fast",IF(Table1[[#This Row],[Days on Market]]&lt;= 90,"Average", "Slow"))</f>
        <v>Slow</v>
      </c>
      <c r="T1019" t="str">
        <f>IF(Table1[[#This Row],[Price2]]&lt;500000,"Affordable",IF(Table1[[#This Row],[Price2]]&lt;1000000,"Mid range","Luxury"))</f>
        <v>Mid range</v>
      </c>
    </row>
    <row r="1020" spans="1:20" x14ac:dyDescent="0.35">
      <c r="A1020" s="3">
        <v>588396</v>
      </c>
      <c r="B1020" s="2" t="s">
        <v>12</v>
      </c>
      <c r="C1020">
        <v>46347</v>
      </c>
      <c r="D1020" s="2" t="s">
        <v>23</v>
      </c>
      <c r="E1020">
        <v>6</v>
      </c>
      <c r="F1020">
        <v>2</v>
      </c>
      <c r="G1020" s="4">
        <f>VALUE(SUBSTITUTE(SUBSTITUTE(Table1[[#This Row],[Price]],"$",""),",",""))</f>
        <v>588396</v>
      </c>
      <c r="H1020" s="1">
        <f>Table1[[#This Row],[Price2]]/Table1[[#This Row],[Area]]</f>
        <v>192.60098199672669</v>
      </c>
      <c r="I1020">
        <v>3055</v>
      </c>
      <c r="J1020">
        <v>2001</v>
      </c>
      <c r="K1020">
        <v>100</v>
      </c>
      <c r="L1020" t="s">
        <v>19</v>
      </c>
      <c r="M1020" t="s">
        <v>1104</v>
      </c>
      <c r="N1020" s="2" t="s">
        <v>3035</v>
      </c>
      <c r="O1020" t="s">
        <v>3036</v>
      </c>
      <c r="P1020" t="s">
        <v>21</v>
      </c>
      <c r="Q1020">
        <v>192.60098199672669</v>
      </c>
      <c r="R1020">
        <f ca="1">YEAR(TODAY())-Table1[[#This Row],[Year Built]]</f>
        <v>25</v>
      </c>
      <c r="S1020" t="str">
        <f>IF(Table1[[#This Row],[Days on Market]] &lt; 30,"Fast",IF(Table1[[#This Row],[Days on Market]]&lt;= 90,"Average", "Slow"))</f>
        <v>Slow</v>
      </c>
      <c r="T1020" t="str">
        <f>IF(Table1[[#This Row],[Price2]]&lt;500000,"Affordable",IF(Table1[[#This Row],[Price2]]&lt;1000000,"Mid range","Luxury"))</f>
        <v>Mid range</v>
      </c>
    </row>
    <row r="1021" spans="1:20" x14ac:dyDescent="0.35">
      <c r="A1021" s="3">
        <v>588503</v>
      </c>
      <c r="B1021" s="2" t="s">
        <v>22</v>
      </c>
      <c r="C1021">
        <v>11489</v>
      </c>
      <c r="D1021" s="2" t="s">
        <v>18</v>
      </c>
      <c r="E1021">
        <v>2</v>
      </c>
      <c r="F1021">
        <v>2</v>
      </c>
      <c r="G1021" s="4">
        <f>VALUE(SUBSTITUTE(SUBSTITUTE(Table1[[#This Row],[Price]],"$",""),",",""))</f>
        <v>588503</v>
      </c>
      <c r="H1021" s="1">
        <f>Table1[[#This Row],[Price2]]/Table1[[#This Row],[Area]]</f>
        <v>505.58676975945019</v>
      </c>
      <c r="I1021">
        <v>1164</v>
      </c>
      <c r="J1021">
        <v>1985</v>
      </c>
      <c r="K1021">
        <v>14</v>
      </c>
      <c r="L1021" t="s">
        <v>40</v>
      </c>
      <c r="M1021" t="s">
        <v>392</v>
      </c>
      <c r="N1021" s="2" t="s">
        <v>3031</v>
      </c>
      <c r="O1021" t="s">
        <v>3032</v>
      </c>
      <c r="P1021" t="s">
        <v>16</v>
      </c>
      <c r="Q1021">
        <v>505.58676975945019</v>
      </c>
      <c r="R1021">
        <f ca="1">YEAR(TODAY())-Table1[[#This Row],[Year Built]]</f>
        <v>41</v>
      </c>
      <c r="S1021" t="str">
        <f>IF(Table1[[#This Row],[Days on Market]] &lt; 30,"Fast",IF(Table1[[#This Row],[Days on Market]]&lt;= 90,"Average", "Slow"))</f>
        <v>Fast</v>
      </c>
      <c r="T1021" t="str">
        <f>IF(Table1[[#This Row],[Price2]]&lt;500000,"Affordable",IF(Table1[[#This Row],[Price2]]&lt;1000000,"Mid range","Luxury"))</f>
        <v>Mid range</v>
      </c>
    </row>
    <row r="1022" spans="1:20" x14ac:dyDescent="0.35">
      <c r="A1022" s="3">
        <v>589012</v>
      </c>
      <c r="B1022" s="2" t="s">
        <v>17</v>
      </c>
      <c r="C1022">
        <v>66654</v>
      </c>
      <c r="D1022" s="2" t="s">
        <v>23</v>
      </c>
      <c r="E1022">
        <v>1</v>
      </c>
      <c r="F1022">
        <v>2</v>
      </c>
      <c r="G1022" s="4">
        <f>VALUE(SUBSTITUTE(SUBSTITUTE(Table1[[#This Row],[Price]],"$",""),",",""))</f>
        <v>589012</v>
      </c>
      <c r="H1022" s="1">
        <f>Table1[[#This Row],[Price2]]/Table1[[#This Row],[Area]]</f>
        <v>853.64057971014495</v>
      </c>
      <c r="I1022">
        <v>690</v>
      </c>
      <c r="J1022">
        <v>2019</v>
      </c>
      <c r="K1022">
        <v>31</v>
      </c>
      <c r="L1022" t="s">
        <v>14</v>
      </c>
      <c r="M1022" t="s">
        <v>836</v>
      </c>
      <c r="N1022" s="2" t="s">
        <v>3033</v>
      </c>
      <c r="O1022" t="s">
        <v>3034</v>
      </c>
      <c r="P1022" t="s">
        <v>21</v>
      </c>
      <c r="Q1022">
        <v>853.64057971014495</v>
      </c>
      <c r="R1022">
        <f ca="1">YEAR(TODAY())-Table1[[#This Row],[Year Built]]</f>
        <v>7</v>
      </c>
      <c r="S1022" t="str">
        <f>IF(Table1[[#This Row],[Days on Market]] &lt; 30,"Fast",IF(Table1[[#This Row],[Days on Market]]&lt;= 90,"Average", "Slow"))</f>
        <v>Average</v>
      </c>
      <c r="T1022" t="str">
        <f>IF(Table1[[#This Row],[Price2]]&lt;500000,"Affordable",IF(Table1[[#This Row],[Price2]]&lt;1000000,"Mid range","Luxury"))</f>
        <v>Mid range</v>
      </c>
    </row>
    <row r="1023" spans="1:20" x14ac:dyDescent="0.35">
      <c r="A1023" s="3">
        <v>589018</v>
      </c>
      <c r="B1023" s="2" t="s">
        <v>17</v>
      </c>
      <c r="C1023">
        <v>95305</v>
      </c>
      <c r="D1023" s="2" t="s">
        <v>18</v>
      </c>
      <c r="E1023">
        <v>2</v>
      </c>
      <c r="F1023">
        <v>1</v>
      </c>
      <c r="G1023" s="4">
        <f>VALUE(SUBSTITUTE(SUBSTITUTE(Table1[[#This Row],[Price]],"$",""),",",""))</f>
        <v>589018</v>
      </c>
      <c r="H1023" s="1">
        <f>Table1[[#This Row],[Price2]]/Table1[[#This Row],[Area]]</f>
        <v>171.92586106246353</v>
      </c>
      <c r="I1023">
        <v>3426</v>
      </c>
      <c r="J1023">
        <v>1961</v>
      </c>
      <c r="K1023">
        <v>7</v>
      </c>
      <c r="L1023" t="s">
        <v>52</v>
      </c>
      <c r="M1023" t="s">
        <v>2912</v>
      </c>
      <c r="N1023" s="2" t="s">
        <v>3031</v>
      </c>
      <c r="O1023" t="s">
        <v>3032</v>
      </c>
      <c r="P1023" t="s">
        <v>21</v>
      </c>
      <c r="Q1023">
        <v>171.92586106246353</v>
      </c>
      <c r="R1023">
        <f ca="1">YEAR(TODAY())-Table1[[#This Row],[Year Built]]</f>
        <v>65</v>
      </c>
      <c r="S1023" t="str">
        <f>IF(Table1[[#This Row],[Days on Market]] &lt; 30,"Fast",IF(Table1[[#This Row],[Days on Market]]&lt;= 90,"Average", "Slow"))</f>
        <v>Fast</v>
      </c>
      <c r="T1023" t="str">
        <f>IF(Table1[[#This Row],[Price2]]&lt;500000,"Affordable",IF(Table1[[#This Row],[Price2]]&lt;1000000,"Mid range","Luxury"))</f>
        <v>Mid range</v>
      </c>
    </row>
    <row r="1024" spans="1:20" x14ac:dyDescent="0.35">
      <c r="A1024" s="3">
        <v>589177</v>
      </c>
      <c r="B1024" s="2" t="s">
        <v>22</v>
      </c>
      <c r="C1024">
        <v>45058</v>
      </c>
      <c r="D1024" s="2" t="s">
        <v>23</v>
      </c>
      <c r="E1024">
        <v>4</v>
      </c>
      <c r="F1024">
        <v>3</v>
      </c>
      <c r="G1024" s="4">
        <f>VALUE(SUBSTITUTE(SUBSTITUTE(Table1[[#This Row],[Price]],"$",""),",",""))</f>
        <v>589177</v>
      </c>
      <c r="H1024" s="1">
        <f>Table1[[#This Row],[Price2]]/Table1[[#This Row],[Area]]</f>
        <v>965.86393442622955</v>
      </c>
      <c r="I1024">
        <v>610</v>
      </c>
      <c r="J1024">
        <v>2019</v>
      </c>
      <c r="K1024">
        <v>57</v>
      </c>
      <c r="L1024" t="s">
        <v>40</v>
      </c>
      <c r="M1024" t="s">
        <v>2290</v>
      </c>
      <c r="N1024" s="2" t="s">
        <v>3033</v>
      </c>
      <c r="O1024" t="s">
        <v>3034</v>
      </c>
      <c r="P1024" t="s">
        <v>16</v>
      </c>
      <c r="Q1024">
        <v>965.86393442622955</v>
      </c>
      <c r="R1024">
        <f ca="1">YEAR(TODAY())-Table1[[#This Row],[Year Built]]</f>
        <v>7</v>
      </c>
      <c r="S1024" t="str">
        <f>IF(Table1[[#This Row],[Days on Market]] &lt; 30,"Fast",IF(Table1[[#This Row],[Days on Market]]&lt;= 90,"Average", "Slow"))</f>
        <v>Average</v>
      </c>
      <c r="T1024" t="str">
        <f>IF(Table1[[#This Row],[Price2]]&lt;500000,"Affordable",IF(Table1[[#This Row],[Price2]]&lt;1000000,"Mid range","Luxury"))</f>
        <v>Mid range</v>
      </c>
    </row>
    <row r="1025" spans="1:20" x14ac:dyDescent="0.35">
      <c r="A1025" s="3">
        <v>589245</v>
      </c>
      <c r="B1025" s="2" t="s">
        <v>17</v>
      </c>
      <c r="C1025">
        <v>57020</v>
      </c>
      <c r="D1025" s="2" t="s">
        <v>13</v>
      </c>
      <c r="E1025">
        <v>1</v>
      </c>
      <c r="F1025">
        <v>1</v>
      </c>
      <c r="G1025" s="4">
        <f>VALUE(SUBSTITUTE(SUBSTITUTE(Table1[[#This Row],[Price]],"$",""),",",""))</f>
        <v>589245</v>
      </c>
      <c r="H1025" s="1">
        <f>Table1[[#This Row],[Price2]]/Table1[[#This Row],[Area]]</f>
        <v>742.12216624685141</v>
      </c>
      <c r="I1025">
        <v>794</v>
      </c>
      <c r="J1025">
        <v>1987</v>
      </c>
      <c r="K1025">
        <v>39</v>
      </c>
      <c r="L1025" t="s">
        <v>14</v>
      </c>
      <c r="M1025" t="s">
        <v>232</v>
      </c>
      <c r="N1025" s="2" t="s">
        <v>3035</v>
      </c>
      <c r="O1025" t="s">
        <v>3036</v>
      </c>
      <c r="P1025" t="s">
        <v>16</v>
      </c>
      <c r="Q1025">
        <v>742.12216624685141</v>
      </c>
      <c r="R1025">
        <f ca="1">YEAR(TODAY())-Table1[[#This Row],[Year Built]]</f>
        <v>39</v>
      </c>
      <c r="S1025" t="str">
        <f>IF(Table1[[#This Row],[Days on Market]] &lt; 30,"Fast",IF(Table1[[#This Row],[Days on Market]]&lt;= 90,"Average", "Slow"))</f>
        <v>Average</v>
      </c>
      <c r="T1025" t="str">
        <f>IF(Table1[[#This Row],[Price2]]&lt;500000,"Affordable",IF(Table1[[#This Row],[Price2]]&lt;1000000,"Mid range","Luxury"))</f>
        <v>Mid range</v>
      </c>
    </row>
    <row r="1026" spans="1:20" x14ac:dyDescent="0.35">
      <c r="A1026" s="3">
        <v>589344</v>
      </c>
      <c r="B1026" s="2" t="s">
        <v>22</v>
      </c>
      <c r="C1026">
        <v>42099</v>
      </c>
      <c r="D1026" s="2" t="s">
        <v>13</v>
      </c>
      <c r="E1026">
        <v>1</v>
      </c>
      <c r="F1026">
        <v>3</v>
      </c>
      <c r="G1026" s="4">
        <f>VALUE(SUBSTITUTE(SUBSTITUTE(Table1[[#This Row],[Price]],"$",""),",",""))</f>
        <v>589344</v>
      </c>
      <c r="H1026" s="1">
        <f>Table1[[#This Row],[Price2]]/Table1[[#This Row],[Area]]</f>
        <v>190.04966139954854</v>
      </c>
      <c r="I1026">
        <v>3101</v>
      </c>
      <c r="J1026">
        <v>2008</v>
      </c>
      <c r="K1026">
        <v>44</v>
      </c>
      <c r="L1026" t="s">
        <v>40</v>
      </c>
      <c r="M1026" t="s">
        <v>1755</v>
      </c>
      <c r="N1026" s="2" t="s">
        <v>3035</v>
      </c>
      <c r="O1026" t="s">
        <v>3036</v>
      </c>
      <c r="P1026" t="s">
        <v>26</v>
      </c>
      <c r="Q1026">
        <v>190.04966139954854</v>
      </c>
      <c r="R1026">
        <f ca="1">YEAR(TODAY())-Table1[[#This Row],[Year Built]]</f>
        <v>18</v>
      </c>
      <c r="S1026" t="str">
        <f>IF(Table1[[#This Row],[Days on Market]] &lt; 30,"Fast",IF(Table1[[#This Row],[Days on Market]]&lt;= 90,"Average", "Slow"))</f>
        <v>Average</v>
      </c>
      <c r="T1026" t="str">
        <f>IF(Table1[[#This Row],[Price2]]&lt;500000,"Affordable",IF(Table1[[#This Row],[Price2]]&lt;1000000,"Mid range","Luxury"))</f>
        <v>Mid range</v>
      </c>
    </row>
    <row r="1027" spans="1:20" x14ac:dyDescent="0.35">
      <c r="A1027" s="3">
        <v>589404</v>
      </c>
      <c r="B1027" s="2" t="s">
        <v>12</v>
      </c>
      <c r="C1027">
        <v>21158</v>
      </c>
      <c r="D1027" s="2" t="s">
        <v>18</v>
      </c>
      <c r="E1027">
        <v>6</v>
      </c>
      <c r="F1027">
        <v>4</v>
      </c>
      <c r="G1027" s="4">
        <f>VALUE(SUBSTITUTE(SUBSTITUTE(Table1[[#This Row],[Price]],"$",""),",",""))</f>
        <v>589404</v>
      </c>
      <c r="H1027" s="1">
        <f>Table1[[#This Row],[Price2]]/Table1[[#This Row],[Area]]</f>
        <v>191.24075275794939</v>
      </c>
      <c r="I1027">
        <v>3082</v>
      </c>
      <c r="J1027">
        <v>1991</v>
      </c>
      <c r="K1027">
        <v>40</v>
      </c>
      <c r="L1027" t="s">
        <v>30</v>
      </c>
      <c r="M1027" t="s">
        <v>2043</v>
      </c>
      <c r="N1027" s="2" t="s">
        <v>3029</v>
      </c>
      <c r="O1027" t="s">
        <v>3030</v>
      </c>
      <c r="P1027" t="s">
        <v>21</v>
      </c>
      <c r="Q1027">
        <v>191.24075275794939</v>
      </c>
      <c r="R1027">
        <f ca="1">YEAR(TODAY())-Table1[[#This Row],[Year Built]]</f>
        <v>35</v>
      </c>
      <c r="S1027" t="str">
        <f>IF(Table1[[#This Row],[Days on Market]] &lt; 30,"Fast",IF(Table1[[#This Row],[Days on Market]]&lt;= 90,"Average", "Slow"))</f>
        <v>Average</v>
      </c>
      <c r="T1027" t="str">
        <f>IF(Table1[[#This Row],[Price2]]&lt;500000,"Affordable",IF(Table1[[#This Row],[Price2]]&lt;1000000,"Mid range","Luxury"))</f>
        <v>Mid range</v>
      </c>
    </row>
    <row r="1028" spans="1:20" x14ac:dyDescent="0.35">
      <c r="A1028" s="3">
        <v>590041</v>
      </c>
      <c r="B1028" s="2" t="s">
        <v>27</v>
      </c>
      <c r="C1028">
        <v>63105</v>
      </c>
      <c r="D1028" s="2" t="s">
        <v>18</v>
      </c>
      <c r="E1028">
        <v>3</v>
      </c>
      <c r="F1028">
        <v>1</v>
      </c>
      <c r="G1028" s="4">
        <f>VALUE(SUBSTITUTE(SUBSTITUTE(Table1[[#This Row],[Price]],"$",""),",",""))</f>
        <v>590041</v>
      </c>
      <c r="H1028" s="1">
        <f>Table1[[#This Row],[Price2]]/Table1[[#This Row],[Area]]</f>
        <v>182.33652657601976</v>
      </c>
      <c r="I1028">
        <v>3236</v>
      </c>
      <c r="J1028">
        <v>1953</v>
      </c>
      <c r="K1028">
        <v>17</v>
      </c>
      <c r="L1028" t="s">
        <v>19</v>
      </c>
      <c r="M1028" t="s">
        <v>2000</v>
      </c>
      <c r="N1028" s="2" t="s">
        <v>3027</v>
      </c>
      <c r="O1028" t="s">
        <v>3028</v>
      </c>
      <c r="P1028" t="s">
        <v>16</v>
      </c>
      <c r="Q1028">
        <v>182.33652657601976</v>
      </c>
      <c r="R1028">
        <f ca="1">YEAR(TODAY())-Table1[[#This Row],[Year Built]]</f>
        <v>73</v>
      </c>
      <c r="S1028" t="str">
        <f>IF(Table1[[#This Row],[Days on Market]] &lt; 30,"Fast",IF(Table1[[#This Row],[Days on Market]]&lt;= 90,"Average", "Slow"))</f>
        <v>Fast</v>
      </c>
      <c r="T1028" t="str">
        <f>IF(Table1[[#This Row],[Price2]]&lt;500000,"Affordable",IF(Table1[[#This Row],[Price2]]&lt;1000000,"Mid range","Luxury"))</f>
        <v>Mid range</v>
      </c>
    </row>
    <row r="1029" spans="1:20" x14ac:dyDescent="0.35">
      <c r="A1029" s="3">
        <v>590836</v>
      </c>
      <c r="B1029" s="2" t="s">
        <v>27</v>
      </c>
      <c r="C1029">
        <v>77726</v>
      </c>
      <c r="D1029" s="2" t="s">
        <v>23</v>
      </c>
      <c r="E1029">
        <v>4</v>
      </c>
      <c r="F1029">
        <v>1</v>
      </c>
      <c r="G1029" s="4">
        <f>VALUE(SUBSTITUTE(SUBSTITUTE(Table1[[#This Row],[Price]],"$",""),",",""))</f>
        <v>590836</v>
      </c>
      <c r="H1029" s="1">
        <f>Table1[[#This Row],[Price2]]/Table1[[#This Row],[Area]]</f>
        <v>601.05391658189217</v>
      </c>
      <c r="I1029">
        <v>983</v>
      </c>
      <c r="J1029">
        <v>1998</v>
      </c>
      <c r="K1029">
        <v>3</v>
      </c>
      <c r="L1029" t="s">
        <v>40</v>
      </c>
      <c r="M1029" t="s">
        <v>980</v>
      </c>
      <c r="N1029" s="2" t="s">
        <v>3027</v>
      </c>
      <c r="O1029" t="s">
        <v>3028</v>
      </c>
      <c r="P1029" t="s">
        <v>16</v>
      </c>
      <c r="Q1029">
        <v>601.05391658189217</v>
      </c>
      <c r="R1029">
        <f ca="1">YEAR(TODAY())-Table1[[#This Row],[Year Built]]</f>
        <v>28</v>
      </c>
      <c r="S1029" t="str">
        <f>IF(Table1[[#This Row],[Days on Market]] &lt; 30,"Fast",IF(Table1[[#This Row],[Days on Market]]&lt;= 90,"Average", "Slow"))</f>
        <v>Fast</v>
      </c>
      <c r="T1029" t="str">
        <f>IF(Table1[[#This Row],[Price2]]&lt;500000,"Affordable",IF(Table1[[#This Row],[Price2]]&lt;1000000,"Mid range","Luxury"))</f>
        <v>Mid range</v>
      </c>
    </row>
    <row r="1030" spans="1:20" x14ac:dyDescent="0.35">
      <c r="A1030" s="3">
        <v>591413</v>
      </c>
      <c r="B1030" s="2" t="s">
        <v>22</v>
      </c>
      <c r="C1030">
        <v>29253</v>
      </c>
      <c r="D1030" s="2" t="s">
        <v>29</v>
      </c>
      <c r="E1030">
        <v>4</v>
      </c>
      <c r="F1030">
        <v>2</v>
      </c>
      <c r="G1030" s="4">
        <f>VALUE(SUBSTITUTE(SUBSTITUTE(Table1[[#This Row],[Price]],"$",""),",",""))</f>
        <v>591413</v>
      </c>
      <c r="H1030" s="1">
        <f>Table1[[#This Row],[Price2]]/Table1[[#This Row],[Area]]</f>
        <v>188.2881248010188</v>
      </c>
      <c r="I1030">
        <v>3141</v>
      </c>
      <c r="J1030">
        <v>1964</v>
      </c>
      <c r="K1030">
        <v>69</v>
      </c>
      <c r="L1030" t="s">
        <v>40</v>
      </c>
      <c r="M1030" t="s">
        <v>1500</v>
      </c>
      <c r="N1030" s="2" t="s">
        <v>3027</v>
      </c>
      <c r="O1030" t="s">
        <v>3028</v>
      </c>
      <c r="P1030" t="s">
        <v>26</v>
      </c>
      <c r="Q1030">
        <v>188.2881248010188</v>
      </c>
      <c r="R1030">
        <f ca="1">YEAR(TODAY())-Table1[[#This Row],[Year Built]]</f>
        <v>62</v>
      </c>
      <c r="S1030" t="str">
        <f>IF(Table1[[#This Row],[Days on Market]] &lt; 30,"Fast",IF(Table1[[#This Row],[Days on Market]]&lt;= 90,"Average", "Slow"))</f>
        <v>Average</v>
      </c>
      <c r="T1030" t="str">
        <f>IF(Table1[[#This Row],[Price2]]&lt;500000,"Affordable",IF(Table1[[#This Row],[Price2]]&lt;1000000,"Mid range","Luxury"))</f>
        <v>Mid range</v>
      </c>
    </row>
    <row r="1031" spans="1:20" x14ac:dyDescent="0.35">
      <c r="A1031" s="3">
        <v>591446</v>
      </c>
      <c r="B1031" s="2" t="s">
        <v>22</v>
      </c>
      <c r="C1031">
        <v>90940</v>
      </c>
      <c r="D1031" s="2" t="s">
        <v>29</v>
      </c>
      <c r="E1031">
        <v>1</v>
      </c>
      <c r="F1031">
        <v>4</v>
      </c>
      <c r="G1031" s="4">
        <f>VALUE(SUBSTITUTE(SUBSTITUTE(Table1[[#This Row],[Price]],"$",""),",",""))</f>
        <v>591446</v>
      </c>
      <c r="H1031" s="1">
        <f>Table1[[#This Row],[Price2]]/Table1[[#This Row],[Area]]</f>
        <v>339.13188073394497</v>
      </c>
      <c r="I1031">
        <v>1744</v>
      </c>
      <c r="J1031">
        <v>1977</v>
      </c>
      <c r="K1031">
        <v>77</v>
      </c>
      <c r="L1031" t="s">
        <v>19</v>
      </c>
      <c r="M1031" t="s">
        <v>736</v>
      </c>
      <c r="N1031" s="2" t="s">
        <v>3033</v>
      </c>
      <c r="O1031" t="s">
        <v>3034</v>
      </c>
      <c r="P1031" t="s">
        <v>21</v>
      </c>
      <c r="Q1031">
        <v>339.13188073394497</v>
      </c>
      <c r="R1031">
        <f ca="1">YEAR(TODAY())-Table1[[#This Row],[Year Built]]</f>
        <v>49</v>
      </c>
      <c r="S1031" t="str">
        <f>IF(Table1[[#This Row],[Days on Market]] &lt; 30,"Fast",IF(Table1[[#This Row],[Days on Market]]&lt;= 90,"Average", "Slow"))</f>
        <v>Average</v>
      </c>
      <c r="T1031" t="str">
        <f>IF(Table1[[#This Row],[Price2]]&lt;500000,"Affordable",IF(Table1[[#This Row],[Price2]]&lt;1000000,"Mid range","Luxury"))</f>
        <v>Mid range</v>
      </c>
    </row>
    <row r="1032" spans="1:20" x14ac:dyDescent="0.35">
      <c r="A1032" s="3">
        <v>591497</v>
      </c>
      <c r="B1032" s="2" t="s">
        <v>34</v>
      </c>
      <c r="C1032">
        <v>92847</v>
      </c>
      <c r="D1032" s="2" t="s">
        <v>18</v>
      </c>
      <c r="E1032">
        <v>2</v>
      </c>
      <c r="F1032">
        <v>1</v>
      </c>
      <c r="G1032" s="4">
        <f>VALUE(SUBSTITUTE(SUBSTITUTE(Table1[[#This Row],[Price]],"$",""),",",""))</f>
        <v>591497</v>
      </c>
      <c r="H1032" s="1">
        <f>Table1[[#This Row],[Price2]]/Table1[[#This Row],[Area]]</f>
        <v>214.93350290697674</v>
      </c>
      <c r="I1032">
        <v>2752</v>
      </c>
      <c r="J1032">
        <v>1968</v>
      </c>
      <c r="K1032">
        <v>16</v>
      </c>
      <c r="L1032" t="s">
        <v>19</v>
      </c>
      <c r="M1032" t="s">
        <v>1667</v>
      </c>
      <c r="N1032" s="2" t="s">
        <v>3029</v>
      </c>
      <c r="O1032" t="s">
        <v>3030</v>
      </c>
      <c r="P1032" t="s">
        <v>21</v>
      </c>
      <c r="Q1032">
        <v>214.93350290697674</v>
      </c>
      <c r="R1032">
        <f ca="1">YEAR(TODAY())-Table1[[#This Row],[Year Built]]</f>
        <v>58</v>
      </c>
      <c r="S1032" t="str">
        <f>IF(Table1[[#This Row],[Days on Market]] &lt; 30,"Fast",IF(Table1[[#This Row],[Days on Market]]&lt;= 90,"Average", "Slow"))</f>
        <v>Fast</v>
      </c>
      <c r="T1032" t="str">
        <f>IF(Table1[[#This Row],[Price2]]&lt;500000,"Affordable",IF(Table1[[#This Row],[Price2]]&lt;1000000,"Mid range","Luxury"))</f>
        <v>Mid range</v>
      </c>
    </row>
    <row r="1033" spans="1:20" x14ac:dyDescent="0.35">
      <c r="A1033" s="3">
        <v>591776</v>
      </c>
      <c r="B1033" s="2" t="s">
        <v>12</v>
      </c>
      <c r="C1033">
        <v>57259</v>
      </c>
      <c r="D1033" s="2" t="s">
        <v>23</v>
      </c>
      <c r="E1033">
        <v>6</v>
      </c>
      <c r="F1033">
        <v>2</v>
      </c>
      <c r="G1033" s="4">
        <f>VALUE(SUBSTITUTE(SUBSTITUTE(Table1[[#This Row],[Price]],"$",""),",",""))</f>
        <v>591776</v>
      </c>
      <c r="H1033" s="1">
        <f>Table1[[#This Row],[Price2]]/Table1[[#This Row],[Area]]</f>
        <v>459.09697439875873</v>
      </c>
      <c r="I1033">
        <v>1289</v>
      </c>
      <c r="J1033">
        <v>1976</v>
      </c>
      <c r="K1033">
        <v>19</v>
      </c>
      <c r="L1033" t="s">
        <v>14</v>
      </c>
      <c r="M1033" t="s">
        <v>2470</v>
      </c>
      <c r="N1033" s="2" t="s">
        <v>3029</v>
      </c>
      <c r="O1033" t="s">
        <v>3030</v>
      </c>
      <c r="P1033" t="s">
        <v>26</v>
      </c>
      <c r="Q1033">
        <v>459.09697439875873</v>
      </c>
      <c r="R1033">
        <f ca="1">YEAR(TODAY())-Table1[[#This Row],[Year Built]]</f>
        <v>50</v>
      </c>
      <c r="S1033" t="str">
        <f>IF(Table1[[#This Row],[Days on Market]] &lt; 30,"Fast",IF(Table1[[#This Row],[Days on Market]]&lt;= 90,"Average", "Slow"))</f>
        <v>Fast</v>
      </c>
      <c r="T1033" t="str">
        <f>IF(Table1[[#This Row],[Price2]]&lt;500000,"Affordable",IF(Table1[[#This Row],[Price2]]&lt;1000000,"Mid range","Luxury"))</f>
        <v>Mid range</v>
      </c>
    </row>
    <row r="1034" spans="1:20" x14ac:dyDescent="0.35">
      <c r="A1034" s="3">
        <v>592036</v>
      </c>
      <c r="B1034" s="2" t="s">
        <v>27</v>
      </c>
      <c r="C1034">
        <v>64507</v>
      </c>
      <c r="D1034" s="2" t="s">
        <v>13</v>
      </c>
      <c r="E1034">
        <v>4</v>
      </c>
      <c r="F1034">
        <v>2</v>
      </c>
      <c r="G1034" s="4">
        <f>VALUE(SUBSTITUTE(SUBSTITUTE(Table1[[#This Row],[Price]],"$",""),",",""))</f>
        <v>592036</v>
      </c>
      <c r="H1034" s="1">
        <f>Table1[[#This Row],[Price2]]/Table1[[#This Row],[Area]]</f>
        <v>447.49508692365833</v>
      </c>
      <c r="I1034">
        <v>1323</v>
      </c>
      <c r="J1034">
        <v>1952</v>
      </c>
      <c r="K1034">
        <v>62</v>
      </c>
      <c r="L1034" t="s">
        <v>30</v>
      </c>
      <c r="M1034" t="s">
        <v>1950</v>
      </c>
      <c r="N1034" s="2" t="s">
        <v>3029</v>
      </c>
      <c r="O1034" t="s">
        <v>3030</v>
      </c>
      <c r="P1034" t="s">
        <v>21</v>
      </c>
      <c r="Q1034">
        <v>447.49508692365833</v>
      </c>
      <c r="R1034">
        <f ca="1">YEAR(TODAY())-Table1[[#This Row],[Year Built]]</f>
        <v>74</v>
      </c>
      <c r="S1034" t="str">
        <f>IF(Table1[[#This Row],[Days on Market]] &lt; 30,"Fast",IF(Table1[[#This Row],[Days on Market]]&lt;= 90,"Average", "Slow"))</f>
        <v>Average</v>
      </c>
      <c r="T1034" t="str">
        <f>IF(Table1[[#This Row],[Price2]]&lt;500000,"Affordable",IF(Table1[[#This Row],[Price2]]&lt;1000000,"Mid range","Luxury"))</f>
        <v>Mid range</v>
      </c>
    </row>
    <row r="1035" spans="1:20" x14ac:dyDescent="0.35">
      <c r="A1035" s="3">
        <v>592454</v>
      </c>
      <c r="B1035" s="2" t="s">
        <v>27</v>
      </c>
      <c r="C1035">
        <v>57711</v>
      </c>
      <c r="D1035" s="2" t="s">
        <v>18</v>
      </c>
      <c r="E1035">
        <v>4</v>
      </c>
      <c r="F1035">
        <v>3</v>
      </c>
      <c r="G1035" s="4">
        <f>VALUE(SUBSTITUTE(SUBSTITUTE(Table1[[#This Row],[Price]],"$",""),",",""))</f>
        <v>592454</v>
      </c>
      <c r="H1035" s="1">
        <f>Table1[[#This Row],[Price2]]/Table1[[#This Row],[Area]]</f>
        <v>239.08555286521388</v>
      </c>
      <c r="I1035">
        <v>2478</v>
      </c>
      <c r="J1035">
        <v>1980</v>
      </c>
      <c r="K1035">
        <v>16</v>
      </c>
      <c r="L1035" t="s">
        <v>52</v>
      </c>
      <c r="M1035" t="s">
        <v>956</v>
      </c>
      <c r="N1035" s="2" t="s">
        <v>3027</v>
      </c>
      <c r="O1035" t="s">
        <v>3028</v>
      </c>
      <c r="P1035" t="s">
        <v>26</v>
      </c>
      <c r="Q1035">
        <v>239.08555286521388</v>
      </c>
      <c r="R1035">
        <f ca="1">YEAR(TODAY())-Table1[[#This Row],[Year Built]]</f>
        <v>46</v>
      </c>
      <c r="S1035" t="str">
        <f>IF(Table1[[#This Row],[Days on Market]] &lt; 30,"Fast",IF(Table1[[#This Row],[Days on Market]]&lt;= 90,"Average", "Slow"))</f>
        <v>Fast</v>
      </c>
      <c r="T1035" t="str">
        <f>IF(Table1[[#This Row],[Price2]]&lt;500000,"Affordable",IF(Table1[[#This Row],[Price2]]&lt;1000000,"Mid range","Luxury"))</f>
        <v>Mid range</v>
      </c>
    </row>
    <row r="1036" spans="1:20" x14ac:dyDescent="0.35">
      <c r="A1036" s="3">
        <v>592771</v>
      </c>
      <c r="B1036" s="2" t="s">
        <v>22</v>
      </c>
      <c r="C1036">
        <v>64106</v>
      </c>
      <c r="D1036" s="2" t="s">
        <v>35</v>
      </c>
      <c r="E1036">
        <v>4</v>
      </c>
      <c r="F1036">
        <v>1</v>
      </c>
      <c r="G1036" s="4">
        <f>VALUE(SUBSTITUTE(SUBSTITUTE(Table1[[#This Row],[Price]],"$",""),",",""))</f>
        <v>592771</v>
      </c>
      <c r="H1036" s="1">
        <f>Table1[[#This Row],[Price2]]/Table1[[#This Row],[Area]]</f>
        <v>528.31639928698758</v>
      </c>
      <c r="I1036">
        <v>1122</v>
      </c>
      <c r="J1036">
        <v>1995</v>
      </c>
      <c r="K1036">
        <v>79</v>
      </c>
      <c r="L1036" t="s">
        <v>52</v>
      </c>
      <c r="M1036" t="s">
        <v>1372</v>
      </c>
      <c r="N1036" s="2" t="s">
        <v>3031</v>
      </c>
      <c r="O1036" t="s">
        <v>3032</v>
      </c>
      <c r="P1036" t="s">
        <v>16</v>
      </c>
      <c r="Q1036">
        <v>528.31639928698758</v>
      </c>
      <c r="R1036">
        <f ca="1">YEAR(TODAY())-Table1[[#This Row],[Year Built]]</f>
        <v>31</v>
      </c>
      <c r="S1036" t="str">
        <f>IF(Table1[[#This Row],[Days on Market]] &lt; 30,"Fast",IF(Table1[[#This Row],[Days on Market]]&lt;= 90,"Average", "Slow"))</f>
        <v>Average</v>
      </c>
      <c r="T1036" t="str">
        <f>IF(Table1[[#This Row],[Price2]]&lt;500000,"Affordable",IF(Table1[[#This Row],[Price2]]&lt;1000000,"Mid range","Luxury"))</f>
        <v>Mid range</v>
      </c>
    </row>
    <row r="1037" spans="1:20" x14ac:dyDescent="0.35">
      <c r="A1037" s="3">
        <v>593887</v>
      </c>
      <c r="B1037" s="2" t="s">
        <v>27</v>
      </c>
      <c r="C1037">
        <v>18513</v>
      </c>
      <c r="D1037" s="2" t="s">
        <v>23</v>
      </c>
      <c r="E1037">
        <v>3</v>
      </c>
      <c r="F1037">
        <v>2</v>
      </c>
      <c r="G1037" s="4">
        <f>VALUE(SUBSTITUTE(SUBSTITUTE(Table1[[#This Row],[Price]],"$",""),",",""))</f>
        <v>593887</v>
      </c>
      <c r="H1037" s="1">
        <f>Table1[[#This Row],[Price2]]/Table1[[#This Row],[Area]]</f>
        <v>171.24769319492503</v>
      </c>
      <c r="I1037">
        <v>3468</v>
      </c>
      <c r="J1037">
        <v>1989</v>
      </c>
      <c r="K1037">
        <v>118</v>
      </c>
      <c r="L1037" t="s">
        <v>19</v>
      </c>
      <c r="M1037" t="s">
        <v>1641</v>
      </c>
      <c r="N1037" s="2" t="s">
        <v>3027</v>
      </c>
      <c r="O1037" t="s">
        <v>3028</v>
      </c>
      <c r="P1037" t="s">
        <v>21</v>
      </c>
      <c r="Q1037">
        <v>171.24769319492503</v>
      </c>
      <c r="R1037">
        <f ca="1">YEAR(TODAY())-Table1[[#This Row],[Year Built]]</f>
        <v>37</v>
      </c>
      <c r="S1037" t="str">
        <f>IF(Table1[[#This Row],[Days on Market]] &lt; 30,"Fast",IF(Table1[[#This Row],[Days on Market]]&lt;= 90,"Average", "Slow"))</f>
        <v>Slow</v>
      </c>
      <c r="T1037" t="str">
        <f>IF(Table1[[#This Row],[Price2]]&lt;500000,"Affordable",IF(Table1[[#This Row],[Price2]]&lt;1000000,"Mid range","Luxury"))</f>
        <v>Mid range</v>
      </c>
    </row>
    <row r="1038" spans="1:20" x14ac:dyDescent="0.35">
      <c r="A1038" s="3">
        <v>596612</v>
      </c>
      <c r="B1038" s="2" t="s">
        <v>34</v>
      </c>
      <c r="C1038">
        <v>17048</v>
      </c>
      <c r="D1038" s="2" t="s">
        <v>13</v>
      </c>
      <c r="E1038">
        <v>2</v>
      </c>
      <c r="F1038">
        <v>4</v>
      </c>
      <c r="G1038" s="4">
        <f>VALUE(SUBSTITUTE(SUBSTITUTE(Table1[[#This Row],[Price]],"$",""),",",""))</f>
        <v>596612</v>
      </c>
      <c r="H1038" s="1">
        <f>Table1[[#This Row],[Price2]]/Table1[[#This Row],[Area]]</f>
        <v>564.97348484848487</v>
      </c>
      <c r="I1038">
        <v>1056</v>
      </c>
      <c r="J1038">
        <v>2014</v>
      </c>
      <c r="K1038">
        <v>93</v>
      </c>
      <c r="L1038" t="s">
        <v>19</v>
      </c>
      <c r="M1038" t="s">
        <v>730</v>
      </c>
      <c r="N1038" s="2" t="s">
        <v>3033</v>
      </c>
      <c r="O1038" t="s">
        <v>3034</v>
      </c>
      <c r="P1038" t="s">
        <v>26</v>
      </c>
      <c r="Q1038">
        <v>564.97348484848487</v>
      </c>
      <c r="R1038">
        <f ca="1">YEAR(TODAY())-Table1[[#This Row],[Year Built]]</f>
        <v>12</v>
      </c>
      <c r="S1038" t="str">
        <f>IF(Table1[[#This Row],[Days on Market]] &lt; 30,"Fast",IF(Table1[[#This Row],[Days on Market]]&lt;= 90,"Average", "Slow"))</f>
        <v>Slow</v>
      </c>
      <c r="T1038" t="str">
        <f>IF(Table1[[#This Row],[Price2]]&lt;500000,"Affordable",IF(Table1[[#This Row],[Price2]]&lt;1000000,"Mid range","Luxury"))</f>
        <v>Mid range</v>
      </c>
    </row>
    <row r="1039" spans="1:20" x14ac:dyDescent="0.35">
      <c r="A1039" s="3">
        <v>596947</v>
      </c>
      <c r="B1039" s="2" t="s">
        <v>12</v>
      </c>
      <c r="C1039">
        <v>82273</v>
      </c>
      <c r="D1039" s="2" t="s">
        <v>23</v>
      </c>
      <c r="E1039">
        <v>1</v>
      </c>
      <c r="F1039">
        <v>1</v>
      </c>
      <c r="G1039" s="4">
        <f>VALUE(SUBSTITUTE(SUBSTITUTE(Table1[[#This Row],[Price]],"$",""),",",""))</f>
        <v>596947</v>
      </c>
      <c r="H1039" s="1">
        <f>Table1[[#This Row],[Price2]]/Table1[[#This Row],[Area]]</f>
        <v>168.62909604519774</v>
      </c>
      <c r="I1039">
        <v>3540</v>
      </c>
      <c r="J1039">
        <v>1960</v>
      </c>
      <c r="K1039">
        <v>86</v>
      </c>
      <c r="L1039" t="s">
        <v>40</v>
      </c>
      <c r="M1039" t="s">
        <v>637</v>
      </c>
      <c r="N1039" s="2" t="s">
        <v>3035</v>
      </c>
      <c r="O1039" t="s">
        <v>3036</v>
      </c>
      <c r="P1039" t="s">
        <v>16</v>
      </c>
      <c r="Q1039">
        <v>168.62909604519774</v>
      </c>
      <c r="R1039">
        <f ca="1">YEAR(TODAY())-Table1[[#This Row],[Year Built]]</f>
        <v>66</v>
      </c>
      <c r="S1039" t="str">
        <f>IF(Table1[[#This Row],[Days on Market]] &lt; 30,"Fast",IF(Table1[[#This Row],[Days on Market]]&lt;= 90,"Average", "Slow"))</f>
        <v>Average</v>
      </c>
      <c r="T1039" t="str">
        <f>IF(Table1[[#This Row],[Price2]]&lt;500000,"Affordable",IF(Table1[[#This Row],[Price2]]&lt;1000000,"Mid range","Luxury"))</f>
        <v>Mid range</v>
      </c>
    </row>
    <row r="1040" spans="1:20" x14ac:dyDescent="0.35">
      <c r="A1040" s="3">
        <v>598034</v>
      </c>
      <c r="B1040" s="2" t="s">
        <v>17</v>
      </c>
      <c r="C1040">
        <v>33935</v>
      </c>
      <c r="D1040" s="2" t="s">
        <v>13</v>
      </c>
      <c r="E1040">
        <v>4</v>
      </c>
      <c r="F1040">
        <v>3</v>
      </c>
      <c r="G1040" s="4">
        <f>VALUE(SUBSTITUTE(SUBSTITUTE(Table1[[#This Row],[Price]],"$",""),",",""))</f>
        <v>598034</v>
      </c>
      <c r="H1040" s="1">
        <f>Table1[[#This Row],[Price2]]/Table1[[#This Row],[Area]]</f>
        <v>275.08463661453544</v>
      </c>
      <c r="I1040">
        <v>2174</v>
      </c>
      <c r="J1040">
        <v>1970</v>
      </c>
      <c r="K1040">
        <v>65</v>
      </c>
      <c r="L1040" t="s">
        <v>14</v>
      </c>
      <c r="M1040" t="s">
        <v>187</v>
      </c>
      <c r="N1040" s="2" t="s">
        <v>3031</v>
      </c>
      <c r="O1040" t="s">
        <v>3032</v>
      </c>
      <c r="P1040" t="s">
        <v>16</v>
      </c>
      <c r="Q1040">
        <v>275.08463661453544</v>
      </c>
      <c r="R1040">
        <f ca="1">YEAR(TODAY())-Table1[[#This Row],[Year Built]]</f>
        <v>56</v>
      </c>
      <c r="S1040" t="str">
        <f>IF(Table1[[#This Row],[Days on Market]] &lt; 30,"Fast",IF(Table1[[#This Row],[Days on Market]]&lt;= 90,"Average", "Slow"))</f>
        <v>Average</v>
      </c>
      <c r="T1040" t="str">
        <f>IF(Table1[[#This Row],[Price2]]&lt;500000,"Affordable",IF(Table1[[#This Row],[Price2]]&lt;1000000,"Mid range","Luxury"))</f>
        <v>Mid range</v>
      </c>
    </row>
    <row r="1041" spans="1:20" x14ac:dyDescent="0.35">
      <c r="A1041" s="3">
        <v>599922</v>
      </c>
      <c r="B1041" s="2" t="s">
        <v>34</v>
      </c>
      <c r="C1041">
        <v>43019</v>
      </c>
      <c r="D1041" s="2" t="s">
        <v>18</v>
      </c>
      <c r="E1041">
        <v>6</v>
      </c>
      <c r="F1041">
        <v>3</v>
      </c>
      <c r="G1041" s="4">
        <f>VALUE(SUBSTITUTE(SUBSTITUTE(Table1[[#This Row],[Price]],"$",""),",",""))</f>
        <v>599922</v>
      </c>
      <c r="H1041" s="1">
        <f>Table1[[#This Row],[Price2]]/Table1[[#This Row],[Area]]</f>
        <v>385.30635838150289</v>
      </c>
      <c r="I1041">
        <v>1557</v>
      </c>
      <c r="J1041">
        <v>1980</v>
      </c>
      <c r="K1041">
        <v>20</v>
      </c>
      <c r="L1041" t="s">
        <v>19</v>
      </c>
      <c r="M1041" t="s">
        <v>2328</v>
      </c>
      <c r="N1041" s="2" t="s">
        <v>3027</v>
      </c>
      <c r="O1041" t="s">
        <v>3028</v>
      </c>
      <c r="P1041" t="s">
        <v>26</v>
      </c>
      <c r="Q1041">
        <v>385.30635838150289</v>
      </c>
      <c r="R1041">
        <f ca="1">YEAR(TODAY())-Table1[[#This Row],[Year Built]]</f>
        <v>46</v>
      </c>
      <c r="S1041" t="str">
        <f>IF(Table1[[#This Row],[Days on Market]] &lt; 30,"Fast",IF(Table1[[#This Row],[Days on Market]]&lt;= 90,"Average", "Slow"))</f>
        <v>Fast</v>
      </c>
      <c r="T1041" t="str">
        <f>IF(Table1[[#This Row],[Price2]]&lt;500000,"Affordable",IF(Table1[[#This Row],[Price2]]&lt;1000000,"Mid range","Luxury"))</f>
        <v>Mid range</v>
      </c>
    </row>
    <row r="1042" spans="1:20" x14ac:dyDescent="0.35">
      <c r="A1042" s="3">
        <v>600024</v>
      </c>
      <c r="B1042" s="2" t="s">
        <v>34</v>
      </c>
      <c r="C1042">
        <v>82166</v>
      </c>
      <c r="D1042" s="2" t="s">
        <v>18</v>
      </c>
      <c r="E1042">
        <v>4</v>
      </c>
      <c r="F1042">
        <v>2</v>
      </c>
      <c r="G1042" s="4">
        <f>VALUE(SUBSTITUTE(SUBSTITUTE(Table1[[#This Row],[Price]],"$",""),",",""))</f>
        <v>600024</v>
      </c>
      <c r="H1042" s="1">
        <f>Table1[[#This Row],[Price2]]/Table1[[#This Row],[Area]]</f>
        <v>217.95277878677805</v>
      </c>
      <c r="I1042">
        <v>2753</v>
      </c>
      <c r="J1042">
        <v>2004</v>
      </c>
      <c r="K1042">
        <v>118</v>
      </c>
      <c r="L1042" t="s">
        <v>52</v>
      </c>
      <c r="M1042" t="s">
        <v>2215</v>
      </c>
      <c r="N1042" s="2" t="s">
        <v>3029</v>
      </c>
      <c r="O1042" t="s">
        <v>3030</v>
      </c>
      <c r="P1042" t="s">
        <v>21</v>
      </c>
      <c r="Q1042">
        <v>217.95277878677805</v>
      </c>
      <c r="R1042">
        <f ca="1">YEAR(TODAY())-Table1[[#This Row],[Year Built]]</f>
        <v>22</v>
      </c>
      <c r="S1042" t="str">
        <f>IF(Table1[[#This Row],[Days on Market]] &lt; 30,"Fast",IF(Table1[[#This Row],[Days on Market]]&lt;= 90,"Average", "Slow"))</f>
        <v>Slow</v>
      </c>
      <c r="T1042" t="str">
        <f>IF(Table1[[#This Row],[Price2]]&lt;500000,"Affordable",IF(Table1[[#This Row],[Price2]]&lt;1000000,"Mid range","Luxury"))</f>
        <v>Mid range</v>
      </c>
    </row>
    <row r="1043" spans="1:20" x14ac:dyDescent="0.35">
      <c r="A1043" s="3">
        <v>601508</v>
      </c>
      <c r="B1043" s="2" t="s">
        <v>17</v>
      </c>
      <c r="C1043">
        <v>87430</v>
      </c>
      <c r="D1043" s="2" t="s">
        <v>35</v>
      </c>
      <c r="E1043">
        <v>1</v>
      </c>
      <c r="F1043">
        <v>3</v>
      </c>
      <c r="G1043" s="4">
        <f>VALUE(SUBSTITUTE(SUBSTITUTE(Table1[[#This Row],[Price]],"$",""),",",""))</f>
        <v>601508</v>
      </c>
      <c r="H1043" s="1">
        <f>Table1[[#This Row],[Price2]]/Table1[[#This Row],[Area]]</f>
        <v>200.97160040093553</v>
      </c>
      <c r="I1043">
        <v>2993</v>
      </c>
      <c r="J1043">
        <v>2004</v>
      </c>
      <c r="K1043">
        <v>113</v>
      </c>
      <c r="L1043" t="s">
        <v>40</v>
      </c>
      <c r="M1043" t="s">
        <v>958</v>
      </c>
      <c r="N1043" s="2" t="s">
        <v>3027</v>
      </c>
      <c r="O1043" t="s">
        <v>3028</v>
      </c>
      <c r="P1043" t="s">
        <v>16</v>
      </c>
      <c r="Q1043">
        <v>200.97160040093553</v>
      </c>
      <c r="R1043">
        <f ca="1">YEAR(TODAY())-Table1[[#This Row],[Year Built]]</f>
        <v>22</v>
      </c>
      <c r="S1043" t="str">
        <f>IF(Table1[[#This Row],[Days on Market]] &lt; 30,"Fast",IF(Table1[[#This Row],[Days on Market]]&lt;= 90,"Average", "Slow"))</f>
        <v>Slow</v>
      </c>
      <c r="T1043" t="str">
        <f>IF(Table1[[#This Row],[Price2]]&lt;500000,"Affordable",IF(Table1[[#This Row],[Price2]]&lt;1000000,"Mid range","Luxury"))</f>
        <v>Mid range</v>
      </c>
    </row>
    <row r="1044" spans="1:20" x14ac:dyDescent="0.35">
      <c r="A1044" s="3">
        <v>602097</v>
      </c>
      <c r="B1044" s="2" t="s">
        <v>34</v>
      </c>
      <c r="C1044">
        <v>13622</v>
      </c>
      <c r="D1044" s="2" t="s">
        <v>13</v>
      </c>
      <c r="E1044">
        <v>4</v>
      </c>
      <c r="F1044">
        <v>3</v>
      </c>
      <c r="G1044" s="4">
        <f>VALUE(SUBSTITUTE(SUBSTITUTE(Table1[[#This Row],[Price]],"$",""),",",""))</f>
        <v>602097</v>
      </c>
      <c r="H1044" s="1">
        <f>Table1[[#This Row],[Price2]]/Table1[[#This Row],[Area]]</f>
        <v>157.69958093242536</v>
      </c>
      <c r="I1044">
        <v>3818</v>
      </c>
      <c r="J1044">
        <v>2006</v>
      </c>
      <c r="K1044">
        <v>16</v>
      </c>
      <c r="L1044" t="s">
        <v>30</v>
      </c>
      <c r="M1044" t="s">
        <v>2864</v>
      </c>
      <c r="N1044" s="2" t="s">
        <v>3029</v>
      </c>
      <c r="O1044" t="s">
        <v>3030</v>
      </c>
      <c r="P1044" t="s">
        <v>26</v>
      </c>
      <c r="Q1044">
        <v>157.69958093242536</v>
      </c>
      <c r="R1044">
        <f ca="1">YEAR(TODAY())-Table1[[#This Row],[Year Built]]</f>
        <v>20</v>
      </c>
      <c r="S1044" t="str">
        <f>IF(Table1[[#This Row],[Days on Market]] &lt; 30,"Fast",IF(Table1[[#This Row],[Days on Market]]&lt;= 90,"Average", "Slow"))</f>
        <v>Fast</v>
      </c>
      <c r="T1044" t="str">
        <f>IF(Table1[[#This Row],[Price2]]&lt;500000,"Affordable",IF(Table1[[#This Row],[Price2]]&lt;1000000,"Mid range","Luxury"))</f>
        <v>Mid range</v>
      </c>
    </row>
    <row r="1045" spans="1:20" x14ac:dyDescent="0.35">
      <c r="A1045" s="3">
        <v>602545</v>
      </c>
      <c r="B1045" s="2" t="s">
        <v>17</v>
      </c>
      <c r="C1045">
        <v>56633</v>
      </c>
      <c r="D1045" s="2" t="s">
        <v>18</v>
      </c>
      <c r="E1045">
        <v>6</v>
      </c>
      <c r="F1045">
        <v>1</v>
      </c>
      <c r="G1045" s="4">
        <f>VALUE(SUBSTITUTE(SUBSTITUTE(Table1[[#This Row],[Price]],"$",""),",",""))</f>
        <v>602545</v>
      </c>
      <c r="H1045" s="1">
        <f>Table1[[#This Row],[Price2]]/Table1[[#This Row],[Area]]</f>
        <v>599.54726368159209</v>
      </c>
      <c r="I1045">
        <v>1005</v>
      </c>
      <c r="J1045">
        <v>1992</v>
      </c>
      <c r="K1045">
        <v>70</v>
      </c>
      <c r="L1045" t="s">
        <v>40</v>
      </c>
      <c r="M1045" t="s">
        <v>2453</v>
      </c>
      <c r="N1045" s="2" t="s">
        <v>3035</v>
      </c>
      <c r="O1045" t="s">
        <v>3036</v>
      </c>
      <c r="P1045" t="s">
        <v>16</v>
      </c>
      <c r="Q1045">
        <v>599.54726368159209</v>
      </c>
      <c r="R1045">
        <f ca="1">YEAR(TODAY())-Table1[[#This Row],[Year Built]]</f>
        <v>34</v>
      </c>
      <c r="S1045" t="str">
        <f>IF(Table1[[#This Row],[Days on Market]] &lt; 30,"Fast",IF(Table1[[#This Row],[Days on Market]]&lt;= 90,"Average", "Slow"))</f>
        <v>Average</v>
      </c>
      <c r="T1045" t="str">
        <f>IF(Table1[[#This Row],[Price2]]&lt;500000,"Affordable",IF(Table1[[#This Row],[Price2]]&lt;1000000,"Mid range","Luxury"))</f>
        <v>Mid range</v>
      </c>
    </row>
    <row r="1046" spans="1:20" x14ac:dyDescent="0.35">
      <c r="A1046" s="3">
        <v>602563</v>
      </c>
      <c r="B1046" s="2" t="s">
        <v>22</v>
      </c>
      <c r="C1046">
        <v>67799</v>
      </c>
      <c r="D1046" s="2" t="s">
        <v>29</v>
      </c>
      <c r="E1046">
        <v>5</v>
      </c>
      <c r="F1046">
        <v>4</v>
      </c>
      <c r="G1046" s="4">
        <f>VALUE(SUBSTITUTE(SUBSTITUTE(Table1[[#This Row],[Price]],"$",""),",",""))</f>
        <v>602563</v>
      </c>
      <c r="H1046" s="1">
        <f>Table1[[#This Row],[Price2]]/Table1[[#This Row],[Area]]</f>
        <v>184.55222052067381</v>
      </c>
      <c r="I1046">
        <v>3265</v>
      </c>
      <c r="J1046">
        <v>1990</v>
      </c>
      <c r="K1046">
        <v>8</v>
      </c>
      <c r="L1046" t="s">
        <v>14</v>
      </c>
      <c r="M1046" t="s">
        <v>1221</v>
      </c>
      <c r="N1046" s="2" t="s">
        <v>3035</v>
      </c>
      <c r="O1046" t="s">
        <v>3036</v>
      </c>
      <c r="P1046" t="s">
        <v>21</v>
      </c>
      <c r="Q1046">
        <v>184.55222052067381</v>
      </c>
      <c r="R1046">
        <f ca="1">YEAR(TODAY())-Table1[[#This Row],[Year Built]]</f>
        <v>36</v>
      </c>
      <c r="S1046" t="str">
        <f>IF(Table1[[#This Row],[Days on Market]] &lt; 30,"Fast",IF(Table1[[#This Row],[Days on Market]]&lt;= 90,"Average", "Slow"))</f>
        <v>Fast</v>
      </c>
      <c r="T1046" t="str">
        <f>IF(Table1[[#This Row],[Price2]]&lt;500000,"Affordable",IF(Table1[[#This Row],[Price2]]&lt;1000000,"Mid range","Luxury"))</f>
        <v>Mid range</v>
      </c>
    </row>
    <row r="1047" spans="1:20" x14ac:dyDescent="0.35">
      <c r="A1047" s="3">
        <v>603539</v>
      </c>
      <c r="B1047" s="2" t="s">
        <v>27</v>
      </c>
      <c r="C1047">
        <v>25359</v>
      </c>
      <c r="D1047" s="2" t="s">
        <v>29</v>
      </c>
      <c r="E1047">
        <v>2</v>
      </c>
      <c r="F1047">
        <v>3</v>
      </c>
      <c r="G1047" s="4">
        <f>VALUE(SUBSTITUTE(SUBSTITUTE(Table1[[#This Row],[Price]],"$",""),",",""))</f>
        <v>603539</v>
      </c>
      <c r="H1047" s="1">
        <f>Table1[[#This Row],[Price2]]/Table1[[#This Row],[Area]]</f>
        <v>555.74493554327807</v>
      </c>
      <c r="I1047">
        <v>1086</v>
      </c>
      <c r="J1047">
        <v>1976</v>
      </c>
      <c r="K1047">
        <v>50</v>
      </c>
      <c r="L1047" t="s">
        <v>30</v>
      </c>
      <c r="M1047" t="s">
        <v>270</v>
      </c>
      <c r="N1047" s="2" t="s">
        <v>3033</v>
      </c>
      <c r="O1047" t="s">
        <v>3034</v>
      </c>
      <c r="P1047" t="s">
        <v>21</v>
      </c>
      <c r="Q1047">
        <v>555.74493554327807</v>
      </c>
      <c r="R1047">
        <f ca="1">YEAR(TODAY())-Table1[[#This Row],[Year Built]]</f>
        <v>50</v>
      </c>
      <c r="S1047" t="str">
        <f>IF(Table1[[#This Row],[Days on Market]] &lt; 30,"Fast",IF(Table1[[#This Row],[Days on Market]]&lt;= 90,"Average", "Slow"))</f>
        <v>Average</v>
      </c>
      <c r="T1047" t="str">
        <f>IF(Table1[[#This Row],[Price2]]&lt;500000,"Affordable",IF(Table1[[#This Row],[Price2]]&lt;1000000,"Mid range","Luxury"))</f>
        <v>Mid range</v>
      </c>
    </row>
    <row r="1048" spans="1:20" x14ac:dyDescent="0.35">
      <c r="A1048" s="3">
        <v>603712</v>
      </c>
      <c r="B1048" s="2" t="s">
        <v>27</v>
      </c>
      <c r="C1048">
        <v>21255</v>
      </c>
      <c r="D1048" s="2" t="s">
        <v>23</v>
      </c>
      <c r="E1048">
        <v>6</v>
      </c>
      <c r="F1048">
        <v>3</v>
      </c>
      <c r="G1048" s="4">
        <f>VALUE(SUBSTITUTE(SUBSTITUTE(Table1[[#This Row],[Price]],"$",""),",",""))</f>
        <v>603712</v>
      </c>
      <c r="H1048" s="1">
        <f>Table1[[#This Row],[Price2]]/Table1[[#This Row],[Area]]</f>
        <v>534.25840707964596</v>
      </c>
      <c r="I1048">
        <v>1130</v>
      </c>
      <c r="J1048">
        <v>1987</v>
      </c>
      <c r="K1048">
        <v>83</v>
      </c>
      <c r="L1048" t="s">
        <v>14</v>
      </c>
      <c r="M1048" t="s">
        <v>2604</v>
      </c>
      <c r="N1048" s="2" t="s">
        <v>3035</v>
      </c>
      <c r="O1048" t="s">
        <v>3036</v>
      </c>
      <c r="P1048" t="s">
        <v>21</v>
      </c>
      <c r="Q1048">
        <v>534.25840707964596</v>
      </c>
      <c r="R1048">
        <f ca="1">YEAR(TODAY())-Table1[[#This Row],[Year Built]]</f>
        <v>39</v>
      </c>
      <c r="S1048" t="str">
        <f>IF(Table1[[#This Row],[Days on Market]] &lt; 30,"Fast",IF(Table1[[#This Row],[Days on Market]]&lt;= 90,"Average", "Slow"))</f>
        <v>Average</v>
      </c>
      <c r="T1048" t="str">
        <f>IF(Table1[[#This Row],[Price2]]&lt;500000,"Affordable",IF(Table1[[#This Row],[Price2]]&lt;1000000,"Mid range","Luxury"))</f>
        <v>Mid range</v>
      </c>
    </row>
    <row r="1049" spans="1:20" x14ac:dyDescent="0.35">
      <c r="A1049" s="3">
        <v>603748</v>
      </c>
      <c r="B1049" s="2" t="s">
        <v>12</v>
      </c>
      <c r="C1049">
        <v>67157</v>
      </c>
      <c r="D1049" s="2" t="s">
        <v>18</v>
      </c>
      <c r="E1049">
        <v>3</v>
      </c>
      <c r="F1049">
        <v>1</v>
      </c>
      <c r="G1049" s="4">
        <f>VALUE(SUBSTITUTE(SUBSTITUTE(Table1[[#This Row],[Price]],"$",""),",",""))</f>
        <v>603748</v>
      </c>
      <c r="H1049" s="1">
        <f>Table1[[#This Row],[Price2]]/Table1[[#This Row],[Area]]</f>
        <v>177.0002931691586</v>
      </c>
      <c r="I1049">
        <v>3411</v>
      </c>
      <c r="J1049">
        <v>1956</v>
      </c>
      <c r="K1049">
        <v>88</v>
      </c>
      <c r="L1049" t="s">
        <v>40</v>
      </c>
      <c r="M1049" t="s">
        <v>151</v>
      </c>
      <c r="N1049" s="2" t="s">
        <v>3033</v>
      </c>
      <c r="O1049" t="s">
        <v>3034</v>
      </c>
      <c r="P1049" t="s">
        <v>16</v>
      </c>
      <c r="Q1049">
        <v>177.0002931691586</v>
      </c>
      <c r="R1049">
        <f ca="1">YEAR(TODAY())-Table1[[#This Row],[Year Built]]</f>
        <v>70</v>
      </c>
      <c r="S1049" t="str">
        <f>IF(Table1[[#This Row],[Days on Market]] &lt; 30,"Fast",IF(Table1[[#This Row],[Days on Market]]&lt;= 90,"Average", "Slow"))</f>
        <v>Average</v>
      </c>
      <c r="T1049" t="str">
        <f>IF(Table1[[#This Row],[Price2]]&lt;500000,"Affordable",IF(Table1[[#This Row],[Price2]]&lt;1000000,"Mid range","Luxury"))</f>
        <v>Mid range</v>
      </c>
    </row>
    <row r="1050" spans="1:20" x14ac:dyDescent="0.35">
      <c r="A1050" s="3">
        <v>603958</v>
      </c>
      <c r="B1050" s="2" t="s">
        <v>27</v>
      </c>
      <c r="C1050">
        <v>16787</v>
      </c>
      <c r="D1050" s="2" t="s">
        <v>13</v>
      </c>
      <c r="E1050">
        <v>3</v>
      </c>
      <c r="F1050">
        <v>1</v>
      </c>
      <c r="G1050" s="4">
        <f>VALUE(SUBSTITUTE(SUBSTITUTE(Table1[[#This Row],[Price]],"$",""),",",""))</f>
        <v>603958</v>
      </c>
      <c r="H1050" s="1">
        <f>Table1[[#This Row],[Price2]]/Table1[[#This Row],[Area]]</f>
        <v>176.9062683069713</v>
      </c>
      <c r="I1050">
        <v>3414</v>
      </c>
      <c r="J1050">
        <v>1952</v>
      </c>
      <c r="K1050">
        <v>100</v>
      </c>
      <c r="L1050" t="s">
        <v>52</v>
      </c>
      <c r="M1050" t="s">
        <v>2543</v>
      </c>
      <c r="N1050" s="2" t="s">
        <v>3035</v>
      </c>
      <c r="O1050" t="s">
        <v>3036</v>
      </c>
      <c r="P1050" t="s">
        <v>26</v>
      </c>
      <c r="Q1050">
        <v>176.9062683069713</v>
      </c>
      <c r="R1050">
        <f ca="1">YEAR(TODAY())-Table1[[#This Row],[Year Built]]</f>
        <v>74</v>
      </c>
      <c r="S1050" t="str">
        <f>IF(Table1[[#This Row],[Days on Market]] &lt; 30,"Fast",IF(Table1[[#This Row],[Days on Market]]&lt;= 90,"Average", "Slow"))</f>
        <v>Slow</v>
      </c>
      <c r="T1050" t="str">
        <f>IF(Table1[[#This Row],[Price2]]&lt;500000,"Affordable",IF(Table1[[#This Row],[Price2]]&lt;1000000,"Mid range","Luxury"))</f>
        <v>Mid range</v>
      </c>
    </row>
    <row r="1051" spans="1:20" x14ac:dyDescent="0.35">
      <c r="A1051" s="3">
        <v>604616</v>
      </c>
      <c r="B1051" s="2" t="s">
        <v>12</v>
      </c>
      <c r="C1051">
        <v>16818</v>
      </c>
      <c r="D1051" s="2" t="s">
        <v>13</v>
      </c>
      <c r="E1051">
        <v>2</v>
      </c>
      <c r="F1051">
        <v>3</v>
      </c>
      <c r="G1051" s="4">
        <f>VALUE(SUBSTITUTE(SUBSTITUTE(Table1[[#This Row],[Price]],"$",""),",",""))</f>
        <v>604616</v>
      </c>
      <c r="H1051" s="1">
        <f>Table1[[#This Row],[Price2]]/Table1[[#This Row],[Area]]</f>
        <v>994.43421052631584</v>
      </c>
      <c r="I1051">
        <v>608</v>
      </c>
      <c r="J1051">
        <v>1991</v>
      </c>
      <c r="K1051">
        <v>76</v>
      </c>
      <c r="L1051" t="s">
        <v>30</v>
      </c>
      <c r="M1051" t="s">
        <v>2961</v>
      </c>
      <c r="N1051" s="2" t="s">
        <v>3029</v>
      </c>
      <c r="O1051" t="s">
        <v>3030</v>
      </c>
      <c r="P1051" t="s">
        <v>21</v>
      </c>
      <c r="Q1051">
        <v>994.43421052631584</v>
      </c>
      <c r="R1051">
        <f ca="1">YEAR(TODAY())-Table1[[#This Row],[Year Built]]</f>
        <v>35</v>
      </c>
      <c r="S1051" t="str">
        <f>IF(Table1[[#This Row],[Days on Market]] &lt; 30,"Fast",IF(Table1[[#This Row],[Days on Market]]&lt;= 90,"Average", "Slow"))</f>
        <v>Average</v>
      </c>
      <c r="T1051" t="str">
        <f>IF(Table1[[#This Row],[Price2]]&lt;500000,"Affordable",IF(Table1[[#This Row],[Price2]]&lt;1000000,"Mid range","Luxury"))</f>
        <v>Mid range</v>
      </c>
    </row>
    <row r="1052" spans="1:20" x14ac:dyDescent="0.35">
      <c r="A1052" s="3">
        <v>605221</v>
      </c>
      <c r="B1052" s="2" t="s">
        <v>22</v>
      </c>
      <c r="C1052">
        <v>60800</v>
      </c>
      <c r="D1052" s="2" t="s">
        <v>29</v>
      </c>
      <c r="E1052">
        <v>1</v>
      </c>
      <c r="F1052">
        <v>1</v>
      </c>
      <c r="G1052" s="4">
        <f>VALUE(SUBSTITUTE(SUBSTITUTE(Table1[[#This Row],[Price]],"$",""),",",""))</f>
        <v>605221</v>
      </c>
      <c r="H1052" s="1">
        <f>Table1[[#This Row],[Price2]]/Table1[[#This Row],[Area]]</f>
        <v>348.42890040299369</v>
      </c>
      <c r="I1052">
        <v>1737</v>
      </c>
      <c r="J1052">
        <v>1956</v>
      </c>
      <c r="K1052">
        <v>17</v>
      </c>
      <c r="L1052" t="s">
        <v>19</v>
      </c>
      <c r="M1052" t="s">
        <v>1469</v>
      </c>
      <c r="N1052" s="2" t="s">
        <v>3029</v>
      </c>
      <c r="O1052" t="s">
        <v>3030</v>
      </c>
      <c r="P1052" t="s">
        <v>26</v>
      </c>
      <c r="Q1052">
        <v>348.42890040299369</v>
      </c>
      <c r="R1052">
        <f ca="1">YEAR(TODAY())-Table1[[#This Row],[Year Built]]</f>
        <v>70</v>
      </c>
      <c r="S1052" t="str">
        <f>IF(Table1[[#This Row],[Days on Market]] &lt; 30,"Fast",IF(Table1[[#This Row],[Days on Market]]&lt;= 90,"Average", "Slow"))</f>
        <v>Fast</v>
      </c>
      <c r="T1052" t="str">
        <f>IF(Table1[[#This Row],[Price2]]&lt;500000,"Affordable",IF(Table1[[#This Row],[Price2]]&lt;1000000,"Mid range","Luxury"))</f>
        <v>Mid range</v>
      </c>
    </row>
    <row r="1053" spans="1:20" x14ac:dyDescent="0.35">
      <c r="A1053" s="3">
        <v>605861</v>
      </c>
      <c r="B1053" s="2" t="s">
        <v>27</v>
      </c>
      <c r="C1053">
        <v>55207</v>
      </c>
      <c r="D1053" s="2" t="s">
        <v>13</v>
      </c>
      <c r="E1053">
        <v>5</v>
      </c>
      <c r="F1053">
        <v>4</v>
      </c>
      <c r="G1053" s="4">
        <f>VALUE(SUBSTITUTE(SUBSTITUTE(Table1[[#This Row],[Price]],"$",""),",",""))</f>
        <v>605861</v>
      </c>
      <c r="H1053" s="1">
        <f>Table1[[#This Row],[Price2]]/Table1[[#This Row],[Area]]</f>
        <v>394.95501955671449</v>
      </c>
      <c r="I1053">
        <v>1534</v>
      </c>
      <c r="J1053">
        <v>1971</v>
      </c>
      <c r="K1053">
        <v>63</v>
      </c>
      <c r="L1053" t="s">
        <v>40</v>
      </c>
      <c r="M1053" t="s">
        <v>420</v>
      </c>
      <c r="N1053" s="2" t="s">
        <v>3029</v>
      </c>
      <c r="O1053" t="s">
        <v>3030</v>
      </c>
      <c r="P1053" t="s">
        <v>26</v>
      </c>
      <c r="Q1053">
        <v>394.95501955671449</v>
      </c>
      <c r="R1053">
        <f ca="1">YEAR(TODAY())-Table1[[#This Row],[Year Built]]</f>
        <v>55</v>
      </c>
      <c r="S1053" t="str">
        <f>IF(Table1[[#This Row],[Days on Market]] &lt; 30,"Fast",IF(Table1[[#This Row],[Days on Market]]&lt;= 90,"Average", "Slow"))</f>
        <v>Average</v>
      </c>
      <c r="T1053" t="str">
        <f>IF(Table1[[#This Row],[Price2]]&lt;500000,"Affordable",IF(Table1[[#This Row],[Price2]]&lt;1000000,"Mid range","Luxury"))</f>
        <v>Mid range</v>
      </c>
    </row>
    <row r="1054" spans="1:20" x14ac:dyDescent="0.35">
      <c r="A1054" s="3">
        <v>606184</v>
      </c>
      <c r="B1054" s="2" t="s">
        <v>17</v>
      </c>
      <c r="C1054">
        <v>12532</v>
      </c>
      <c r="D1054" s="2" t="s">
        <v>18</v>
      </c>
      <c r="E1054">
        <v>6</v>
      </c>
      <c r="F1054">
        <v>2</v>
      </c>
      <c r="G1054" s="4">
        <f>VALUE(SUBSTITUTE(SUBSTITUTE(Table1[[#This Row],[Price]],"$",""),",",""))</f>
        <v>606184</v>
      </c>
      <c r="H1054" s="1">
        <f>Table1[[#This Row],[Price2]]/Table1[[#This Row],[Area]]</f>
        <v>276.54379562043795</v>
      </c>
      <c r="I1054">
        <v>2192</v>
      </c>
      <c r="J1054">
        <v>1998</v>
      </c>
      <c r="K1054">
        <v>65</v>
      </c>
      <c r="L1054" t="s">
        <v>40</v>
      </c>
      <c r="M1054" t="s">
        <v>1893</v>
      </c>
      <c r="N1054" s="2" t="s">
        <v>3027</v>
      </c>
      <c r="O1054" t="s">
        <v>3028</v>
      </c>
      <c r="P1054" t="s">
        <v>21</v>
      </c>
      <c r="Q1054">
        <v>276.54379562043795</v>
      </c>
      <c r="R1054">
        <f ca="1">YEAR(TODAY())-Table1[[#This Row],[Year Built]]</f>
        <v>28</v>
      </c>
      <c r="S1054" t="str">
        <f>IF(Table1[[#This Row],[Days on Market]] &lt; 30,"Fast",IF(Table1[[#This Row],[Days on Market]]&lt;= 90,"Average", "Slow"))</f>
        <v>Average</v>
      </c>
      <c r="T1054" t="str">
        <f>IF(Table1[[#This Row],[Price2]]&lt;500000,"Affordable",IF(Table1[[#This Row],[Price2]]&lt;1000000,"Mid range","Luxury"))</f>
        <v>Mid range</v>
      </c>
    </row>
    <row r="1055" spans="1:20" x14ac:dyDescent="0.35">
      <c r="A1055" s="3">
        <v>606489</v>
      </c>
      <c r="B1055" s="2" t="s">
        <v>12</v>
      </c>
      <c r="C1055">
        <v>43051</v>
      </c>
      <c r="D1055" s="2" t="s">
        <v>29</v>
      </c>
      <c r="E1055">
        <v>3</v>
      </c>
      <c r="F1055">
        <v>1</v>
      </c>
      <c r="G1055" s="4">
        <f>VALUE(SUBSTITUTE(SUBSTITUTE(Table1[[#This Row],[Price]],"$",""),",",""))</f>
        <v>606489</v>
      </c>
      <c r="H1055" s="1">
        <f>Table1[[#This Row],[Price2]]/Table1[[#This Row],[Area]]</f>
        <v>218.47586455331412</v>
      </c>
      <c r="I1055">
        <v>2776</v>
      </c>
      <c r="J1055">
        <v>1965</v>
      </c>
      <c r="K1055">
        <v>59</v>
      </c>
      <c r="L1055" t="s">
        <v>30</v>
      </c>
      <c r="M1055" t="s">
        <v>2320</v>
      </c>
      <c r="N1055" s="2" t="s">
        <v>3029</v>
      </c>
      <c r="O1055" t="s">
        <v>3030</v>
      </c>
      <c r="P1055" t="s">
        <v>21</v>
      </c>
      <c r="Q1055">
        <v>218.47586455331412</v>
      </c>
      <c r="R1055">
        <f ca="1">YEAR(TODAY())-Table1[[#This Row],[Year Built]]</f>
        <v>61</v>
      </c>
      <c r="S1055" t="str">
        <f>IF(Table1[[#This Row],[Days on Market]] &lt; 30,"Fast",IF(Table1[[#This Row],[Days on Market]]&lt;= 90,"Average", "Slow"))</f>
        <v>Average</v>
      </c>
      <c r="T1055" t="str">
        <f>IF(Table1[[#This Row],[Price2]]&lt;500000,"Affordable",IF(Table1[[#This Row],[Price2]]&lt;1000000,"Mid range","Luxury"))</f>
        <v>Mid range</v>
      </c>
    </row>
    <row r="1056" spans="1:20" x14ac:dyDescent="0.35">
      <c r="A1056" s="3">
        <v>607071</v>
      </c>
      <c r="B1056" s="2" t="s">
        <v>17</v>
      </c>
      <c r="C1056">
        <v>32435</v>
      </c>
      <c r="D1056" s="2" t="s">
        <v>13</v>
      </c>
      <c r="E1056">
        <v>6</v>
      </c>
      <c r="F1056">
        <v>4</v>
      </c>
      <c r="G1056" s="4">
        <f>VALUE(SUBSTITUTE(SUBSTITUTE(Table1[[#This Row],[Price]],"$",""),",",""))</f>
        <v>607071</v>
      </c>
      <c r="H1056" s="1">
        <f>Table1[[#This Row],[Price2]]/Table1[[#This Row],[Area]]</f>
        <v>189.59119300437226</v>
      </c>
      <c r="I1056">
        <v>3202</v>
      </c>
      <c r="J1056">
        <v>2010</v>
      </c>
      <c r="K1056">
        <v>76</v>
      </c>
      <c r="L1056" t="s">
        <v>30</v>
      </c>
      <c r="M1056" t="s">
        <v>1432</v>
      </c>
      <c r="N1056" s="2" t="s">
        <v>3033</v>
      </c>
      <c r="O1056" t="s">
        <v>3034</v>
      </c>
      <c r="P1056" t="s">
        <v>21</v>
      </c>
      <c r="Q1056">
        <v>189.59119300437226</v>
      </c>
      <c r="R1056">
        <f ca="1">YEAR(TODAY())-Table1[[#This Row],[Year Built]]</f>
        <v>16</v>
      </c>
      <c r="S1056" t="str">
        <f>IF(Table1[[#This Row],[Days on Market]] &lt; 30,"Fast",IF(Table1[[#This Row],[Days on Market]]&lt;= 90,"Average", "Slow"))</f>
        <v>Average</v>
      </c>
      <c r="T1056" t="str">
        <f>IF(Table1[[#This Row],[Price2]]&lt;500000,"Affordable",IF(Table1[[#This Row],[Price2]]&lt;1000000,"Mid range","Luxury"))</f>
        <v>Mid range</v>
      </c>
    </row>
    <row r="1057" spans="1:20" x14ac:dyDescent="0.35">
      <c r="A1057" s="3">
        <v>607785</v>
      </c>
      <c r="B1057" s="2" t="s">
        <v>22</v>
      </c>
      <c r="C1057">
        <v>32785</v>
      </c>
      <c r="D1057" s="2" t="s">
        <v>23</v>
      </c>
      <c r="E1057">
        <v>3</v>
      </c>
      <c r="F1057">
        <v>4</v>
      </c>
      <c r="G1057" s="4">
        <f>VALUE(SUBSTITUTE(SUBSTITUTE(Table1[[#This Row],[Price]],"$",""),",",""))</f>
        <v>607785</v>
      </c>
      <c r="H1057" s="1">
        <f>Table1[[#This Row],[Price2]]/Table1[[#This Row],[Area]]</f>
        <v>198.29853181076672</v>
      </c>
      <c r="I1057">
        <v>3065</v>
      </c>
      <c r="J1057">
        <v>2004</v>
      </c>
      <c r="K1057">
        <v>15</v>
      </c>
      <c r="L1057" t="s">
        <v>14</v>
      </c>
      <c r="M1057" t="s">
        <v>1753</v>
      </c>
      <c r="N1057" s="2" t="s">
        <v>3027</v>
      </c>
      <c r="O1057" t="s">
        <v>3028</v>
      </c>
      <c r="P1057" t="s">
        <v>26</v>
      </c>
      <c r="Q1057">
        <v>198.29853181076672</v>
      </c>
      <c r="R1057">
        <f ca="1">YEAR(TODAY())-Table1[[#This Row],[Year Built]]</f>
        <v>22</v>
      </c>
      <c r="S1057" t="str">
        <f>IF(Table1[[#This Row],[Days on Market]] &lt; 30,"Fast",IF(Table1[[#This Row],[Days on Market]]&lt;= 90,"Average", "Slow"))</f>
        <v>Fast</v>
      </c>
      <c r="T1057" t="str">
        <f>IF(Table1[[#This Row],[Price2]]&lt;500000,"Affordable",IF(Table1[[#This Row],[Price2]]&lt;1000000,"Mid range","Luxury"))</f>
        <v>Mid range</v>
      </c>
    </row>
    <row r="1058" spans="1:20" x14ac:dyDescent="0.35">
      <c r="A1058" s="3">
        <v>607972</v>
      </c>
      <c r="B1058" s="2" t="s">
        <v>17</v>
      </c>
      <c r="C1058">
        <v>96549</v>
      </c>
      <c r="D1058" s="2" t="s">
        <v>13</v>
      </c>
      <c r="E1058">
        <v>4</v>
      </c>
      <c r="F1058">
        <v>3</v>
      </c>
      <c r="G1058" s="4">
        <f>VALUE(SUBSTITUTE(SUBSTITUTE(Table1[[#This Row],[Price]],"$",""),",",""))</f>
        <v>607972</v>
      </c>
      <c r="H1058" s="1">
        <f>Table1[[#This Row],[Price2]]/Table1[[#This Row],[Area]]</f>
        <v>288.2750118539592</v>
      </c>
      <c r="I1058">
        <v>2109</v>
      </c>
      <c r="J1058">
        <v>2017</v>
      </c>
      <c r="K1058">
        <v>31</v>
      </c>
      <c r="L1058" t="s">
        <v>30</v>
      </c>
      <c r="M1058" t="s">
        <v>607</v>
      </c>
      <c r="N1058" s="2" t="s">
        <v>3031</v>
      </c>
      <c r="O1058" t="s">
        <v>3032</v>
      </c>
      <c r="P1058" t="s">
        <v>26</v>
      </c>
      <c r="Q1058">
        <v>288.2750118539592</v>
      </c>
      <c r="R1058">
        <f ca="1">YEAR(TODAY())-Table1[[#This Row],[Year Built]]</f>
        <v>9</v>
      </c>
      <c r="S1058" t="str">
        <f>IF(Table1[[#This Row],[Days on Market]] &lt; 30,"Fast",IF(Table1[[#This Row],[Days on Market]]&lt;= 90,"Average", "Slow"))</f>
        <v>Average</v>
      </c>
      <c r="T1058" t="str">
        <f>IF(Table1[[#This Row],[Price2]]&lt;500000,"Affordable",IF(Table1[[#This Row],[Price2]]&lt;1000000,"Mid range","Luxury"))</f>
        <v>Mid range</v>
      </c>
    </row>
    <row r="1059" spans="1:20" x14ac:dyDescent="0.35">
      <c r="A1059" s="3">
        <v>608037</v>
      </c>
      <c r="B1059" s="2" t="s">
        <v>34</v>
      </c>
      <c r="C1059">
        <v>27987</v>
      </c>
      <c r="D1059" s="2" t="s">
        <v>35</v>
      </c>
      <c r="E1059">
        <v>1</v>
      </c>
      <c r="F1059">
        <v>4</v>
      </c>
      <c r="G1059" s="4">
        <f>VALUE(SUBSTITUTE(SUBSTITUTE(Table1[[#This Row],[Price]],"$",""),",",""))</f>
        <v>608037</v>
      </c>
      <c r="H1059" s="1">
        <f>Table1[[#This Row],[Price2]]/Table1[[#This Row],[Area]]</f>
        <v>208.58902229845626</v>
      </c>
      <c r="I1059">
        <v>2915</v>
      </c>
      <c r="J1059">
        <v>1975</v>
      </c>
      <c r="K1059">
        <v>89</v>
      </c>
      <c r="L1059" t="s">
        <v>40</v>
      </c>
      <c r="M1059" t="s">
        <v>2817</v>
      </c>
      <c r="N1059" s="2" t="s">
        <v>3035</v>
      </c>
      <c r="O1059" t="s">
        <v>3036</v>
      </c>
      <c r="P1059" t="s">
        <v>21</v>
      </c>
      <c r="Q1059">
        <v>208.58902229845626</v>
      </c>
      <c r="R1059">
        <f ca="1">YEAR(TODAY())-Table1[[#This Row],[Year Built]]</f>
        <v>51</v>
      </c>
      <c r="S1059" t="str">
        <f>IF(Table1[[#This Row],[Days on Market]] &lt; 30,"Fast",IF(Table1[[#This Row],[Days on Market]]&lt;= 90,"Average", "Slow"))</f>
        <v>Average</v>
      </c>
      <c r="T1059" t="str">
        <f>IF(Table1[[#This Row],[Price2]]&lt;500000,"Affordable",IF(Table1[[#This Row],[Price2]]&lt;1000000,"Mid range","Luxury"))</f>
        <v>Mid range</v>
      </c>
    </row>
    <row r="1060" spans="1:20" x14ac:dyDescent="0.35">
      <c r="A1060" s="3">
        <v>609804</v>
      </c>
      <c r="B1060" s="2" t="s">
        <v>34</v>
      </c>
      <c r="C1060">
        <v>41619</v>
      </c>
      <c r="D1060" s="2" t="s">
        <v>29</v>
      </c>
      <c r="E1060">
        <v>5</v>
      </c>
      <c r="F1060">
        <v>1</v>
      </c>
      <c r="G1060" s="4">
        <f>VALUE(SUBSTITUTE(SUBSTITUTE(Table1[[#This Row],[Price]],"$",""),",",""))</f>
        <v>609804</v>
      </c>
      <c r="H1060" s="1">
        <f>Table1[[#This Row],[Price2]]/Table1[[#This Row],[Area]]</f>
        <v>255.2549183758895</v>
      </c>
      <c r="I1060">
        <v>2389</v>
      </c>
      <c r="J1060">
        <v>1976</v>
      </c>
      <c r="K1060">
        <v>57</v>
      </c>
      <c r="L1060" t="s">
        <v>30</v>
      </c>
      <c r="M1060" t="s">
        <v>2318</v>
      </c>
      <c r="N1060" s="2" t="s">
        <v>3035</v>
      </c>
      <c r="O1060" t="s">
        <v>3036</v>
      </c>
      <c r="P1060" t="s">
        <v>21</v>
      </c>
      <c r="Q1060">
        <v>255.2549183758895</v>
      </c>
      <c r="R1060">
        <f ca="1">YEAR(TODAY())-Table1[[#This Row],[Year Built]]</f>
        <v>50</v>
      </c>
      <c r="S1060" t="str">
        <f>IF(Table1[[#This Row],[Days on Market]] &lt; 30,"Fast",IF(Table1[[#This Row],[Days on Market]]&lt;= 90,"Average", "Slow"))</f>
        <v>Average</v>
      </c>
      <c r="T1060" t="str">
        <f>IF(Table1[[#This Row],[Price2]]&lt;500000,"Affordable",IF(Table1[[#This Row],[Price2]]&lt;1000000,"Mid range","Luxury"))</f>
        <v>Mid range</v>
      </c>
    </row>
    <row r="1061" spans="1:20" x14ac:dyDescent="0.35">
      <c r="A1061" s="3">
        <v>609946</v>
      </c>
      <c r="B1061" s="2" t="s">
        <v>27</v>
      </c>
      <c r="C1061">
        <v>67992</v>
      </c>
      <c r="D1061" s="2" t="s">
        <v>18</v>
      </c>
      <c r="E1061">
        <v>5</v>
      </c>
      <c r="F1061">
        <v>1</v>
      </c>
      <c r="G1061" s="4">
        <f>VALUE(SUBSTITUTE(SUBSTITUTE(Table1[[#This Row],[Price]],"$",""),",",""))</f>
        <v>609946</v>
      </c>
      <c r="H1061" s="1">
        <f>Table1[[#This Row],[Price2]]/Table1[[#This Row],[Area]]</f>
        <v>176.69351100811124</v>
      </c>
      <c r="I1061">
        <v>3452</v>
      </c>
      <c r="J1061">
        <v>1980</v>
      </c>
      <c r="K1061">
        <v>92</v>
      </c>
      <c r="L1061" t="s">
        <v>52</v>
      </c>
      <c r="M1061" t="s">
        <v>1954</v>
      </c>
      <c r="N1061" s="2" t="s">
        <v>3033</v>
      </c>
      <c r="O1061" t="s">
        <v>3034</v>
      </c>
      <c r="P1061" t="s">
        <v>16</v>
      </c>
      <c r="Q1061">
        <v>176.69351100811124</v>
      </c>
      <c r="R1061">
        <f ca="1">YEAR(TODAY())-Table1[[#This Row],[Year Built]]</f>
        <v>46</v>
      </c>
      <c r="S1061" t="str">
        <f>IF(Table1[[#This Row],[Days on Market]] &lt; 30,"Fast",IF(Table1[[#This Row],[Days on Market]]&lt;= 90,"Average", "Slow"))</f>
        <v>Slow</v>
      </c>
      <c r="T1061" t="str">
        <f>IF(Table1[[#This Row],[Price2]]&lt;500000,"Affordable",IF(Table1[[#This Row],[Price2]]&lt;1000000,"Mid range","Luxury"))</f>
        <v>Mid range</v>
      </c>
    </row>
    <row r="1062" spans="1:20" x14ac:dyDescent="0.35">
      <c r="A1062" s="3">
        <v>610670</v>
      </c>
      <c r="B1062" s="2" t="s">
        <v>17</v>
      </c>
      <c r="C1062">
        <v>46716</v>
      </c>
      <c r="D1062" s="2" t="s">
        <v>35</v>
      </c>
      <c r="E1062">
        <v>5</v>
      </c>
      <c r="F1062">
        <v>3</v>
      </c>
      <c r="G1062" s="4">
        <f>VALUE(SUBSTITUTE(SUBSTITUTE(Table1[[#This Row],[Price]],"$",""),",",""))</f>
        <v>610670</v>
      </c>
      <c r="H1062" s="1">
        <f>Table1[[#This Row],[Price2]]/Table1[[#This Row],[Area]]</f>
        <v>274.95272399819902</v>
      </c>
      <c r="I1062">
        <v>2221</v>
      </c>
      <c r="J1062">
        <v>1971</v>
      </c>
      <c r="K1062">
        <v>96</v>
      </c>
      <c r="L1062" t="s">
        <v>52</v>
      </c>
      <c r="M1062" t="s">
        <v>1462</v>
      </c>
      <c r="N1062" s="2" t="s">
        <v>3029</v>
      </c>
      <c r="O1062" t="s">
        <v>3030</v>
      </c>
      <c r="P1062" t="s">
        <v>21</v>
      </c>
      <c r="Q1062">
        <v>274.95272399819902</v>
      </c>
      <c r="R1062">
        <f ca="1">YEAR(TODAY())-Table1[[#This Row],[Year Built]]</f>
        <v>55</v>
      </c>
      <c r="S1062" t="str">
        <f>IF(Table1[[#This Row],[Days on Market]] &lt; 30,"Fast",IF(Table1[[#This Row],[Days on Market]]&lt;= 90,"Average", "Slow"))</f>
        <v>Slow</v>
      </c>
      <c r="T1062" t="str">
        <f>IF(Table1[[#This Row],[Price2]]&lt;500000,"Affordable",IF(Table1[[#This Row],[Price2]]&lt;1000000,"Mid range","Luxury"))</f>
        <v>Mid range</v>
      </c>
    </row>
    <row r="1063" spans="1:20" x14ac:dyDescent="0.35">
      <c r="A1063" s="3">
        <v>611479</v>
      </c>
      <c r="B1063" s="2" t="s">
        <v>12</v>
      </c>
      <c r="C1063">
        <v>14992</v>
      </c>
      <c r="D1063" s="2" t="s">
        <v>13</v>
      </c>
      <c r="E1063">
        <v>6</v>
      </c>
      <c r="F1063">
        <v>3</v>
      </c>
      <c r="G1063" s="4">
        <f>VALUE(SUBSTITUTE(SUBSTITUTE(Table1[[#This Row],[Price]],"$",""),",",""))</f>
        <v>611479</v>
      </c>
      <c r="H1063" s="1">
        <f>Table1[[#This Row],[Price2]]/Table1[[#This Row],[Area]]</f>
        <v>285.87143525011686</v>
      </c>
      <c r="I1063">
        <v>2139</v>
      </c>
      <c r="J1063">
        <v>1998</v>
      </c>
      <c r="K1063">
        <v>83</v>
      </c>
      <c r="L1063" t="s">
        <v>19</v>
      </c>
      <c r="M1063" t="s">
        <v>2314</v>
      </c>
      <c r="N1063" s="2" t="s">
        <v>3027</v>
      </c>
      <c r="O1063" t="s">
        <v>3028</v>
      </c>
      <c r="P1063" t="s">
        <v>21</v>
      </c>
      <c r="Q1063">
        <v>285.87143525011686</v>
      </c>
      <c r="R1063">
        <f ca="1">YEAR(TODAY())-Table1[[#This Row],[Year Built]]</f>
        <v>28</v>
      </c>
      <c r="S1063" t="str">
        <f>IF(Table1[[#This Row],[Days on Market]] &lt; 30,"Fast",IF(Table1[[#This Row],[Days on Market]]&lt;= 90,"Average", "Slow"))</f>
        <v>Average</v>
      </c>
      <c r="T1063" t="str">
        <f>IF(Table1[[#This Row],[Price2]]&lt;500000,"Affordable",IF(Table1[[#This Row],[Price2]]&lt;1000000,"Mid range","Luxury"))</f>
        <v>Mid range</v>
      </c>
    </row>
    <row r="1064" spans="1:20" x14ac:dyDescent="0.35">
      <c r="A1064" s="3">
        <v>611694</v>
      </c>
      <c r="B1064" s="2" t="s">
        <v>17</v>
      </c>
      <c r="C1064">
        <v>81534</v>
      </c>
      <c r="D1064" s="2" t="s">
        <v>23</v>
      </c>
      <c r="E1064">
        <v>4</v>
      </c>
      <c r="F1064">
        <v>1</v>
      </c>
      <c r="G1064" s="4">
        <f>VALUE(SUBSTITUTE(SUBSTITUTE(Table1[[#This Row],[Price]],"$",""),",",""))</f>
        <v>611694</v>
      </c>
      <c r="H1064" s="1">
        <f>Table1[[#This Row],[Price2]]/Table1[[#This Row],[Area]]</f>
        <v>160.42328874901654</v>
      </c>
      <c r="I1064">
        <v>3813</v>
      </c>
      <c r="J1064">
        <v>1999</v>
      </c>
      <c r="K1064">
        <v>27</v>
      </c>
      <c r="L1064" t="s">
        <v>30</v>
      </c>
      <c r="M1064" t="s">
        <v>2352</v>
      </c>
      <c r="N1064" s="2" t="s">
        <v>3027</v>
      </c>
      <c r="O1064" t="s">
        <v>3028</v>
      </c>
      <c r="P1064" t="s">
        <v>21</v>
      </c>
      <c r="Q1064">
        <v>160.42328874901654</v>
      </c>
      <c r="R1064">
        <f ca="1">YEAR(TODAY())-Table1[[#This Row],[Year Built]]</f>
        <v>27</v>
      </c>
      <c r="S1064" t="str">
        <f>IF(Table1[[#This Row],[Days on Market]] &lt; 30,"Fast",IF(Table1[[#This Row],[Days on Market]]&lt;= 90,"Average", "Slow"))</f>
        <v>Fast</v>
      </c>
      <c r="T1064" t="str">
        <f>IF(Table1[[#This Row],[Price2]]&lt;500000,"Affordable",IF(Table1[[#This Row],[Price2]]&lt;1000000,"Mid range","Luxury"))</f>
        <v>Mid range</v>
      </c>
    </row>
    <row r="1065" spans="1:20" x14ac:dyDescent="0.35">
      <c r="A1065" s="3">
        <v>611900</v>
      </c>
      <c r="B1065" s="2" t="s">
        <v>22</v>
      </c>
      <c r="C1065">
        <v>88736</v>
      </c>
      <c r="D1065" s="2" t="s">
        <v>23</v>
      </c>
      <c r="E1065">
        <v>2</v>
      </c>
      <c r="F1065">
        <v>1</v>
      </c>
      <c r="G1065" s="4">
        <f>VALUE(SUBSTITUTE(SUBSTITUTE(Table1[[#This Row],[Price]],"$",""),",",""))</f>
        <v>611900</v>
      </c>
      <c r="H1065" s="1">
        <f>Table1[[#This Row],[Price2]]/Table1[[#This Row],[Area]]</f>
        <v>174.67884670282615</v>
      </c>
      <c r="I1065">
        <v>3503</v>
      </c>
      <c r="J1065">
        <v>2015</v>
      </c>
      <c r="K1065">
        <v>80</v>
      </c>
      <c r="L1065" t="s">
        <v>19</v>
      </c>
      <c r="M1065" t="s">
        <v>1601</v>
      </c>
      <c r="N1065" s="2" t="s">
        <v>3027</v>
      </c>
      <c r="O1065" t="s">
        <v>3028</v>
      </c>
      <c r="P1065" t="s">
        <v>16</v>
      </c>
      <c r="Q1065">
        <v>174.67884670282615</v>
      </c>
      <c r="R1065">
        <f ca="1">YEAR(TODAY())-Table1[[#This Row],[Year Built]]</f>
        <v>11</v>
      </c>
      <c r="S1065" t="str">
        <f>IF(Table1[[#This Row],[Days on Market]] &lt; 30,"Fast",IF(Table1[[#This Row],[Days on Market]]&lt;= 90,"Average", "Slow"))</f>
        <v>Average</v>
      </c>
      <c r="T1065" t="str">
        <f>IF(Table1[[#This Row],[Price2]]&lt;500000,"Affordable",IF(Table1[[#This Row],[Price2]]&lt;1000000,"Mid range","Luxury"))</f>
        <v>Mid range</v>
      </c>
    </row>
    <row r="1066" spans="1:20" x14ac:dyDescent="0.35">
      <c r="A1066" s="3">
        <v>611986</v>
      </c>
      <c r="B1066" s="2" t="s">
        <v>34</v>
      </c>
      <c r="C1066">
        <v>39241</v>
      </c>
      <c r="D1066" s="2" t="s">
        <v>35</v>
      </c>
      <c r="E1066">
        <v>6</v>
      </c>
      <c r="F1066">
        <v>2</v>
      </c>
      <c r="G1066" s="4">
        <f>VALUE(SUBSTITUTE(SUBSTITUTE(Table1[[#This Row],[Price]],"$",""),",",""))</f>
        <v>611986</v>
      </c>
      <c r="H1066" s="1">
        <f>Table1[[#This Row],[Price2]]/Table1[[#This Row],[Area]]</f>
        <v>666.65141612200432</v>
      </c>
      <c r="I1066">
        <v>918</v>
      </c>
      <c r="J1066">
        <v>2015</v>
      </c>
      <c r="K1066">
        <v>120</v>
      </c>
      <c r="L1066" t="s">
        <v>52</v>
      </c>
      <c r="M1066" t="s">
        <v>1197</v>
      </c>
      <c r="N1066" s="2" t="s">
        <v>3033</v>
      </c>
      <c r="O1066" t="s">
        <v>3034</v>
      </c>
      <c r="P1066" t="s">
        <v>26</v>
      </c>
      <c r="Q1066">
        <v>666.65141612200432</v>
      </c>
      <c r="R1066">
        <f ca="1">YEAR(TODAY())-Table1[[#This Row],[Year Built]]</f>
        <v>11</v>
      </c>
      <c r="S1066" t="str">
        <f>IF(Table1[[#This Row],[Days on Market]] &lt; 30,"Fast",IF(Table1[[#This Row],[Days on Market]]&lt;= 90,"Average", "Slow"))</f>
        <v>Slow</v>
      </c>
      <c r="T1066" t="str">
        <f>IF(Table1[[#This Row],[Price2]]&lt;500000,"Affordable",IF(Table1[[#This Row],[Price2]]&lt;1000000,"Mid range","Luxury"))</f>
        <v>Mid range</v>
      </c>
    </row>
    <row r="1067" spans="1:20" x14ac:dyDescent="0.35">
      <c r="A1067" s="3">
        <v>613429</v>
      </c>
      <c r="B1067" s="2" t="s">
        <v>17</v>
      </c>
      <c r="C1067">
        <v>72546</v>
      </c>
      <c r="D1067" s="2" t="s">
        <v>13</v>
      </c>
      <c r="E1067">
        <v>1</v>
      </c>
      <c r="F1067">
        <v>1</v>
      </c>
      <c r="G1067" s="4">
        <f>VALUE(SUBSTITUTE(SUBSTITUTE(Table1[[#This Row],[Price]],"$",""),",",""))</f>
        <v>613429</v>
      </c>
      <c r="H1067" s="1">
        <f>Table1[[#This Row],[Price2]]/Table1[[#This Row],[Area]]</f>
        <v>179.36520467836257</v>
      </c>
      <c r="I1067">
        <v>3420</v>
      </c>
      <c r="J1067">
        <v>1992</v>
      </c>
      <c r="K1067">
        <v>22</v>
      </c>
      <c r="L1067" t="s">
        <v>40</v>
      </c>
      <c r="M1067" t="s">
        <v>1574</v>
      </c>
      <c r="N1067" s="2" t="s">
        <v>3029</v>
      </c>
      <c r="O1067" t="s">
        <v>3030</v>
      </c>
      <c r="P1067" t="s">
        <v>26</v>
      </c>
      <c r="Q1067">
        <v>179.36520467836257</v>
      </c>
      <c r="R1067">
        <f ca="1">YEAR(TODAY())-Table1[[#This Row],[Year Built]]</f>
        <v>34</v>
      </c>
      <c r="S1067" t="str">
        <f>IF(Table1[[#This Row],[Days on Market]] &lt; 30,"Fast",IF(Table1[[#This Row],[Days on Market]]&lt;= 90,"Average", "Slow"))</f>
        <v>Fast</v>
      </c>
      <c r="T1067" t="str">
        <f>IF(Table1[[#This Row],[Price2]]&lt;500000,"Affordable",IF(Table1[[#This Row],[Price2]]&lt;1000000,"Mid range","Luxury"))</f>
        <v>Mid range</v>
      </c>
    </row>
    <row r="1068" spans="1:20" x14ac:dyDescent="0.35">
      <c r="A1068" s="3">
        <v>615962</v>
      </c>
      <c r="B1068" s="2" t="s">
        <v>27</v>
      </c>
      <c r="C1068">
        <v>37127</v>
      </c>
      <c r="D1068" s="2" t="s">
        <v>13</v>
      </c>
      <c r="E1068">
        <v>2</v>
      </c>
      <c r="F1068">
        <v>3</v>
      </c>
      <c r="G1068" s="4">
        <f>VALUE(SUBSTITUTE(SUBSTITUTE(Table1[[#This Row],[Price]],"$",""),",",""))</f>
        <v>615962</v>
      </c>
      <c r="H1068" s="1">
        <f>Table1[[#This Row],[Price2]]/Table1[[#This Row],[Area]]</f>
        <v>193.94269521410578</v>
      </c>
      <c r="I1068">
        <v>3176</v>
      </c>
      <c r="J1068">
        <v>1953</v>
      </c>
      <c r="K1068">
        <v>40</v>
      </c>
      <c r="L1068" t="s">
        <v>30</v>
      </c>
      <c r="M1068" t="s">
        <v>273</v>
      </c>
      <c r="N1068" s="2" t="s">
        <v>3031</v>
      </c>
      <c r="O1068" t="s">
        <v>3032</v>
      </c>
      <c r="P1068" t="s">
        <v>26</v>
      </c>
      <c r="Q1068">
        <v>193.94269521410578</v>
      </c>
      <c r="R1068">
        <f ca="1">YEAR(TODAY())-Table1[[#This Row],[Year Built]]</f>
        <v>73</v>
      </c>
      <c r="S1068" t="str">
        <f>IF(Table1[[#This Row],[Days on Market]] &lt; 30,"Fast",IF(Table1[[#This Row],[Days on Market]]&lt;= 90,"Average", "Slow"))</f>
        <v>Average</v>
      </c>
      <c r="T1068" t="str">
        <f>IF(Table1[[#This Row],[Price2]]&lt;500000,"Affordable",IF(Table1[[#This Row],[Price2]]&lt;1000000,"Mid range","Luxury"))</f>
        <v>Mid range</v>
      </c>
    </row>
    <row r="1069" spans="1:20" x14ac:dyDescent="0.35">
      <c r="A1069" s="3">
        <v>616741</v>
      </c>
      <c r="B1069" s="2" t="s">
        <v>17</v>
      </c>
      <c r="C1069">
        <v>92471</v>
      </c>
      <c r="D1069" s="2" t="s">
        <v>35</v>
      </c>
      <c r="E1069">
        <v>2</v>
      </c>
      <c r="F1069">
        <v>1</v>
      </c>
      <c r="G1069" s="4">
        <f>VALUE(SUBSTITUTE(SUBSTITUTE(Table1[[#This Row],[Price]],"$",""),",",""))</f>
        <v>616741</v>
      </c>
      <c r="H1069" s="1">
        <f>Table1[[#This Row],[Price2]]/Table1[[#This Row],[Area]]</f>
        <v>490.25516693163752</v>
      </c>
      <c r="I1069">
        <v>1258</v>
      </c>
      <c r="J1069">
        <v>1966</v>
      </c>
      <c r="K1069">
        <v>73</v>
      </c>
      <c r="L1069" t="s">
        <v>19</v>
      </c>
      <c r="M1069" t="s">
        <v>119</v>
      </c>
      <c r="N1069" s="2" t="s">
        <v>3031</v>
      </c>
      <c r="O1069" t="s">
        <v>3032</v>
      </c>
      <c r="P1069" t="s">
        <v>26</v>
      </c>
      <c r="Q1069">
        <v>490.25516693163752</v>
      </c>
      <c r="R1069">
        <f ca="1">YEAR(TODAY())-Table1[[#This Row],[Year Built]]</f>
        <v>60</v>
      </c>
      <c r="S1069" t="str">
        <f>IF(Table1[[#This Row],[Days on Market]] &lt; 30,"Fast",IF(Table1[[#This Row],[Days on Market]]&lt;= 90,"Average", "Slow"))</f>
        <v>Average</v>
      </c>
      <c r="T1069" t="str">
        <f>IF(Table1[[#This Row],[Price2]]&lt;500000,"Affordable",IF(Table1[[#This Row],[Price2]]&lt;1000000,"Mid range","Luxury"))</f>
        <v>Mid range</v>
      </c>
    </row>
    <row r="1070" spans="1:20" x14ac:dyDescent="0.35">
      <c r="A1070" s="3">
        <v>617079</v>
      </c>
      <c r="B1070" s="2" t="s">
        <v>22</v>
      </c>
      <c r="C1070">
        <v>98321</v>
      </c>
      <c r="D1070" s="2" t="s">
        <v>13</v>
      </c>
      <c r="E1070">
        <v>2</v>
      </c>
      <c r="F1070">
        <v>4</v>
      </c>
      <c r="G1070" s="4">
        <f>VALUE(SUBSTITUTE(SUBSTITUTE(Table1[[#This Row],[Price]],"$",""),",",""))</f>
        <v>617079</v>
      </c>
      <c r="H1070" s="1">
        <f>Table1[[#This Row],[Price2]]/Table1[[#This Row],[Area]]</f>
        <v>286.88005578800556</v>
      </c>
      <c r="I1070">
        <v>2151</v>
      </c>
      <c r="J1070">
        <v>2020</v>
      </c>
      <c r="K1070">
        <v>82</v>
      </c>
      <c r="L1070" t="s">
        <v>52</v>
      </c>
      <c r="M1070" t="s">
        <v>2943</v>
      </c>
      <c r="N1070" s="2" t="s">
        <v>3031</v>
      </c>
      <c r="O1070" t="s">
        <v>3032</v>
      </c>
      <c r="P1070" t="s">
        <v>26</v>
      </c>
      <c r="Q1070">
        <v>286.88005578800556</v>
      </c>
      <c r="R1070">
        <f ca="1">YEAR(TODAY())-Table1[[#This Row],[Year Built]]</f>
        <v>6</v>
      </c>
      <c r="S1070" t="str">
        <f>IF(Table1[[#This Row],[Days on Market]] &lt; 30,"Fast",IF(Table1[[#This Row],[Days on Market]]&lt;= 90,"Average", "Slow"))</f>
        <v>Average</v>
      </c>
      <c r="T1070" t="str">
        <f>IF(Table1[[#This Row],[Price2]]&lt;500000,"Affordable",IF(Table1[[#This Row],[Price2]]&lt;1000000,"Mid range","Luxury"))</f>
        <v>Mid range</v>
      </c>
    </row>
    <row r="1071" spans="1:20" x14ac:dyDescent="0.35">
      <c r="A1071" s="3">
        <v>617617</v>
      </c>
      <c r="B1071" s="2" t="s">
        <v>12</v>
      </c>
      <c r="C1071">
        <v>98236</v>
      </c>
      <c r="D1071" s="2" t="s">
        <v>18</v>
      </c>
      <c r="E1071">
        <v>2</v>
      </c>
      <c r="F1071">
        <v>2</v>
      </c>
      <c r="G1071" s="4">
        <f>VALUE(SUBSTITUTE(SUBSTITUTE(Table1[[#This Row],[Price]],"$",""),",",""))</f>
        <v>617617</v>
      </c>
      <c r="H1071" s="1">
        <f>Table1[[#This Row],[Price2]]/Table1[[#This Row],[Area]]</f>
        <v>521.63597972972968</v>
      </c>
      <c r="I1071">
        <v>1184</v>
      </c>
      <c r="J1071">
        <v>2010</v>
      </c>
      <c r="K1071">
        <v>88</v>
      </c>
      <c r="L1071" t="s">
        <v>52</v>
      </c>
      <c r="M1071" t="s">
        <v>795</v>
      </c>
      <c r="N1071" s="2" t="s">
        <v>3035</v>
      </c>
      <c r="O1071" t="s">
        <v>3036</v>
      </c>
      <c r="P1071" t="s">
        <v>21</v>
      </c>
      <c r="Q1071">
        <v>521.63597972972968</v>
      </c>
      <c r="R1071">
        <f ca="1">YEAR(TODAY())-Table1[[#This Row],[Year Built]]</f>
        <v>16</v>
      </c>
      <c r="S1071" t="str">
        <f>IF(Table1[[#This Row],[Days on Market]] &lt; 30,"Fast",IF(Table1[[#This Row],[Days on Market]]&lt;= 90,"Average", "Slow"))</f>
        <v>Average</v>
      </c>
      <c r="T1071" t="str">
        <f>IF(Table1[[#This Row],[Price2]]&lt;500000,"Affordable",IF(Table1[[#This Row],[Price2]]&lt;1000000,"Mid range","Luxury"))</f>
        <v>Mid range</v>
      </c>
    </row>
    <row r="1072" spans="1:20" x14ac:dyDescent="0.35">
      <c r="A1072" s="3">
        <v>617620</v>
      </c>
      <c r="B1072" s="2" t="s">
        <v>34</v>
      </c>
      <c r="C1072">
        <v>79196</v>
      </c>
      <c r="D1072" s="2" t="s">
        <v>23</v>
      </c>
      <c r="E1072">
        <v>3</v>
      </c>
      <c r="F1072">
        <v>4</v>
      </c>
      <c r="G1072" s="4">
        <f>VALUE(SUBSTITUTE(SUBSTITUTE(Table1[[#This Row],[Price]],"$",""),",",""))</f>
        <v>617620</v>
      </c>
      <c r="H1072" s="1">
        <f>Table1[[#This Row],[Price2]]/Table1[[#This Row],[Area]]</f>
        <v>212.53269098417067</v>
      </c>
      <c r="I1072">
        <v>2906</v>
      </c>
      <c r="J1072">
        <v>2021</v>
      </c>
      <c r="K1072">
        <v>112</v>
      </c>
      <c r="L1072" t="s">
        <v>30</v>
      </c>
      <c r="M1072" t="s">
        <v>1871</v>
      </c>
      <c r="N1072" s="2" t="s">
        <v>3027</v>
      </c>
      <c r="O1072" t="s">
        <v>3028</v>
      </c>
      <c r="P1072" t="s">
        <v>21</v>
      </c>
      <c r="Q1072">
        <v>212.53269098417067</v>
      </c>
      <c r="R1072">
        <f ca="1">YEAR(TODAY())-Table1[[#This Row],[Year Built]]</f>
        <v>5</v>
      </c>
      <c r="S1072" t="str">
        <f>IF(Table1[[#This Row],[Days on Market]] &lt; 30,"Fast",IF(Table1[[#This Row],[Days on Market]]&lt;= 90,"Average", "Slow"))</f>
        <v>Slow</v>
      </c>
      <c r="T1072" t="str">
        <f>IF(Table1[[#This Row],[Price2]]&lt;500000,"Affordable",IF(Table1[[#This Row],[Price2]]&lt;1000000,"Mid range","Luxury"))</f>
        <v>Mid range</v>
      </c>
    </row>
    <row r="1073" spans="1:20" x14ac:dyDescent="0.35">
      <c r="A1073" s="3">
        <v>617862</v>
      </c>
      <c r="B1073" s="2" t="s">
        <v>27</v>
      </c>
      <c r="C1073">
        <v>42468</v>
      </c>
      <c r="D1073" s="2" t="s">
        <v>13</v>
      </c>
      <c r="E1073">
        <v>1</v>
      </c>
      <c r="F1073">
        <v>3</v>
      </c>
      <c r="G1073" s="4">
        <f>VALUE(SUBSTITUTE(SUBSTITUTE(Table1[[#This Row],[Price]],"$",""),",",""))</f>
        <v>617862</v>
      </c>
      <c r="H1073" s="1">
        <f>Table1[[#This Row],[Price2]]/Table1[[#This Row],[Area]]</f>
        <v>197.02232142857142</v>
      </c>
      <c r="I1073">
        <v>3136</v>
      </c>
      <c r="J1073">
        <v>1987</v>
      </c>
      <c r="K1073">
        <v>98</v>
      </c>
      <c r="L1073" t="s">
        <v>14</v>
      </c>
      <c r="M1073" t="s">
        <v>2447</v>
      </c>
      <c r="N1073" s="2" t="s">
        <v>3029</v>
      </c>
      <c r="O1073" t="s">
        <v>3030</v>
      </c>
      <c r="P1073" t="s">
        <v>21</v>
      </c>
      <c r="Q1073">
        <v>197.02232142857142</v>
      </c>
      <c r="R1073">
        <f ca="1">YEAR(TODAY())-Table1[[#This Row],[Year Built]]</f>
        <v>39</v>
      </c>
      <c r="S1073" t="str">
        <f>IF(Table1[[#This Row],[Days on Market]] &lt; 30,"Fast",IF(Table1[[#This Row],[Days on Market]]&lt;= 90,"Average", "Slow"))</f>
        <v>Slow</v>
      </c>
      <c r="T1073" t="str">
        <f>IF(Table1[[#This Row],[Price2]]&lt;500000,"Affordable",IF(Table1[[#This Row],[Price2]]&lt;1000000,"Mid range","Luxury"))</f>
        <v>Mid range</v>
      </c>
    </row>
    <row r="1074" spans="1:20" x14ac:dyDescent="0.35">
      <c r="A1074" s="3">
        <v>618573</v>
      </c>
      <c r="B1074" s="2" t="s">
        <v>27</v>
      </c>
      <c r="C1074">
        <v>16960</v>
      </c>
      <c r="D1074" s="2" t="s">
        <v>23</v>
      </c>
      <c r="E1074">
        <v>6</v>
      </c>
      <c r="F1074">
        <v>4</v>
      </c>
      <c r="G1074" s="4">
        <f>VALUE(SUBSTITUTE(SUBSTITUTE(Table1[[#This Row],[Price]],"$",""),",",""))</f>
        <v>618573</v>
      </c>
      <c r="H1074" s="1">
        <f>Table1[[#This Row],[Price2]]/Table1[[#This Row],[Area]]</f>
        <v>193.84926355374492</v>
      </c>
      <c r="I1074">
        <v>3191</v>
      </c>
      <c r="J1074">
        <v>1981</v>
      </c>
      <c r="K1074">
        <v>54</v>
      </c>
      <c r="L1074" t="s">
        <v>14</v>
      </c>
      <c r="M1074" t="s">
        <v>1698</v>
      </c>
      <c r="N1074" s="2" t="s">
        <v>3031</v>
      </c>
      <c r="O1074" t="s">
        <v>3032</v>
      </c>
      <c r="P1074" t="s">
        <v>21</v>
      </c>
      <c r="Q1074">
        <v>193.84926355374492</v>
      </c>
      <c r="R1074">
        <f ca="1">YEAR(TODAY())-Table1[[#This Row],[Year Built]]</f>
        <v>45</v>
      </c>
      <c r="S1074" t="str">
        <f>IF(Table1[[#This Row],[Days on Market]] &lt; 30,"Fast",IF(Table1[[#This Row],[Days on Market]]&lt;= 90,"Average", "Slow"))</f>
        <v>Average</v>
      </c>
      <c r="T1074" t="str">
        <f>IF(Table1[[#This Row],[Price2]]&lt;500000,"Affordable",IF(Table1[[#This Row],[Price2]]&lt;1000000,"Mid range","Luxury"))</f>
        <v>Mid range</v>
      </c>
    </row>
    <row r="1075" spans="1:20" x14ac:dyDescent="0.35">
      <c r="A1075" s="3">
        <v>619389</v>
      </c>
      <c r="B1075" s="2" t="s">
        <v>34</v>
      </c>
      <c r="C1075">
        <v>89824</v>
      </c>
      <c r="D1075" s="2" t="s">
        <v>35</v>
      </c>
      <c r="E1075">
        <v>5</v>
      </c>
      <c r="F1075">
        <v>4</v>
      </c>
      <c r="G1075" s="4">
        <f>VALUE(SUBSTITUTE(SUBSTITUTE(Table1[[#This Row],[Price]],"$",""),",",""))</f>
        <v>619389</v>
      </c>
      <c r="H1075" s="1">
        <f>Table1[[#This Row],[Price2]]/Table1[[#This Row],[Area]]</f>
        <v>188.32137427789601</v>
      </c>
      <c r="I1075">
        <v>3289</v>
      </c>
      <c r="J1075">
        <v>2001</v>
      </c>
      <c r="K1075">
        <v>22</v>
      </c>
      <c r="L1075" t="s">
        <v>52</v>
      </c>
      <c r="M1075" t="s">
        <v>920</v>
      </c>
      <c r="N1075" s="2" t="s">
        <v>3033</v>
      </c>
      <c r="O1075" t="s">
        <v>3034</v>
      </c>
      <c r="P1075" t="s">
        <v>26</v>
      </c>
      <c r="Q1075">
        <v>188.32137427789601</v>
      </c>
      <c r="R1075">
        <f ca="1">YEAR(TODAY())-Table1[[#This Row],[Year Built]]</f>
        <v>25</v>
      </c>
      <c r="S1075" t="str">
        <f>IF(Table1[[#This Row],[Days on Market]] &lt; 30,"Fast",IF(Table1[[#This Row],[Days on Market]]&lt;= 90,"Average", "Slow"))</f>
        <v>Fast</v>
      </c>
      <c r="T1075" t="str">
        <f>IF(Table1[[#This Row],[Price2]]&lt;500000,"Affordable",IF(Table1[[#This Row],[Price2]]&lt;1000000,"Mid range","Luxury"))</f>
        <v>Mid range</v>
      </c>
    </row>
    <row r="1076" spans="1:20" x14ac:dyDescent="0.35">
      <c r="A1076" s="3">
        <v>619431</v>
      </c>
      <c r="B1076" s="2" t="s">
        <v>12</v>
      </c>
      <c r="C1076">
        <v>25303</v>
      </c>
      <c r="D1076" s="2" t="s">
        <v>18</v>
      </c>
      <c r="E1076">
        <v>5</v>
      </c>
      <c r="F1076">
        <v>2</v>
      </c>
      <c r="G1076" s="4">
        <f>VALUE(SUBSTITUTE(SUBSTITUTE(Table1[[#This Row],[Price]],"$",""),",",""))</f>
        <v>619431</v>
      </c>
      <c r="H1076" s="1">
        <f>Table1[[#This Row],[Price2]]/Table1[[#This Row],[Area]]</f>
        <v>378.16300366300368</v>
      </c>
      <c r="I1076">
        <v>1638</v>
      </c>
      <c r="J1076">
        <v>1973</v>
      </c>
      <c r="K1076">
        <v>24</v>
      </c>
      <c r="L1076" t="s">
        <v>14</v>
      </c>
      <c r="M1076" t="s">
        <v>1266</v>
      </c>
      <c r="N1076" s="2" t="s">
        <v>3033</v>
      </c>
      <c r="O1076" t="s">
        <v>3034</v>
      </c>
      <c r="P1076" t="s">
        <v>16</v>
      </c>
      <c r="Q1076">
        <v>378.16300366300368</v>
      </c>
      <c r="R1076">
        <f ca="1">YEAR(TODAY())-Table1[[#This Row],[Year Built]]</f>
        <v>53</v>
      </c>
      <c r="S1076" t="str">
        <f>IF(Table1[[#This Row],[Days on Market]] &lt; 30,"Fast",IF(Table1[[#This Row],[Days on Market]]&lt;= 90,"Average", "Slow"))</f>
        <v>Fast</v>
      </c>
      <c r="T1076" t="str">
        <f>IF(Table1[[#This Row],[Price2]]&lt;500000,"Affordable",IF(Table1[[#This Row],[Price2]]&lt;1000000,"Mid range","Luxury"))</f>
        <v>Mid range</v>
      </c>
    </row>
    <row r="1077" spans="1:20" x14ac:dyDescent="0.35">
      <c r="A1077" s="3">
        <v>619571</v>
      </c>
      <c r="B1077" s="2" t="s">
        <v>22</v>
      </c>
      <c r="C1077">
        <v>86858</v>
      </c>
      <c r="D1077" s="2" t="s">
        <v>13</v>
      </c>
      <c r="E1077">
        <v>2</v>
      </c>
      <c r="F1077">
        <v>4</v>
      </c>
      <c r="G1077" s="4">
        <f>VALUE(SUBSTITUTE(SUBSTITUTE(Table1[[#This Row],[Price]],"$",""),",",""))</f>
        <v>619571</v>
      </c>
      <c r="H1077" s="1">
        <f>Table1[[#This Row],[Price2]]/Table1[[#This Row],[Area]]</f>
        <v>175.66515452225687</v>
      </c>
      <c r="I1077">
        <v>3527</v>
      </c>
      <c r="J1077">
        <v>1976</v>
      </c>
      <c r="K1077">
        <v>77</v>
      </c>
      <c r="L1077" t="s">
        <v>19</v>
      </c>
      <c r="M1077" t="s">
        <v>440</v>
      </c>
      <c r="N1077" s="2" t="s">
        <v>3035</v>
      </c>
      <c r="O1077" t="s">
        <v>3036</v>
      </c>
      <c r="P1077" t="s">
        <v>16</v>
      </c>
      <c r="Q1077">
        <v>175.66515452225687</v>
      </c>
      <c r="R1077">
        <f ca="1">YEAR(TODAY())-Table1[[#This Row],[Year Built]]</f>
        <v>50</v>
      </c>
      <c r="S1077" t="str">
        <f>IF(Table1[[#This Row],[Days on Market]] &lt; 30,"Fast",IF(Table1[[#This Row],[Days on Market]]&lt;= 90,"Average", "Slow"))</f>
        <v>Average</v>
      </c>
      <c r="T1077" t="str">
        <f>IF(Table1[[#This Row],[Price2]]&lt;500000,"Affordable",IF(Table1[[#This Row],[Price2]]&lt;1000000,"Mid range","Luxury"))</f>
        <v>Mid range</v>
      </c>
    </row>
    <row r="1078" spans="1:20" x14ac:dyDescent="0.35">
      <c r="A1078" s="3">
        <v>621411</v>
      </c>
      <c r="B1078" s="2" t="s">
        <v>22</v>
      </c>
      <c r="C1078">
        <v>12493</v>
      </c>
      <c r="D1078" s="2" t="s">
        <v>23</v>
      </c>
      <c r="E1078">
        <v>1</v>
      </c>
      <c r="F1078">
        <v>3</v>
      </c>
      <c r="G1078" s="4">
        <f>VALUE(SUBSTITUTE(SUBSTITUTE(Table1[[#This Row],[Price]],"$",""),",",""))</f>
        <v>621411</v>
      </c>
      <c r="H1078" s="1">
        <f>Table1[[#This Row],[Price2]]/Table1[[#This Row],[Area]]</f>
        <v>329.48621420996818</v>
      </c>
      <c r="I1078">
        <v>1886</v>
      </c>
      <c r="J1078">
        <v>2011</v>
      </c>
      <c r="K1078">
        <v>94</v>
      </c>
      <c r="L1078" t="s">
        <v>14</v>
      </c>
      <c r="M1078" t="s">
        <v>2800</v>
      </c>
      <c r="N1078" s="2" t="s">
        <v>3029</v>
      </c>
      <c r="O1078" t="s">
        <v>3030</v>
      </c>
      <c r="P1078" t="s">
        <v>26</v>
      </c>
      <c r="Q1078">
        <v>329.48621420996818</v>
      </c>
      <c r="R1078">
        <f ca="1">YEAR(TODAY())-Table1[[#This Row],[Year Built]]</f>
        <v>15</v>
      </c>
      <c r="S1078" t="str">
        <f>IF(Table1[[#This Row],[Days on Market]] &lt; 30,"Fast",IF(Table1[[#This Row],[Days on Market]]&lt;= 90,"Average", "Slow"))</f>
        <v>Slow</v>
      </c>
      <c r="T1078" t="str">
        <f>IF(Table1[[#This Row],[Price2]]&lt;500000,"Affordable",IF(Table1[[#This Row],[Price2]]&lt;1000000,"Mid range","Luxury"))</f>
        <v>Mid range</v>
      </c>
    </row>
    <row r="1079" spans="1:20" x14ac:dyDescent="0.35">
      <c r="A1079" s="3">
        <v>621685</v>
      </c>
      <c r="B1079" s="2" t="s">
        <v>34</v>
      </c>
      <c r="C1079">
        <v>18319</v>
      </c>
      <c r="D1079" s="2" t="s">
        <v>29</v>
      </c>
      <c r="E1079">
        <v>2</v>
      </c>
      <c r="F1079">
        <v>1</v>
      </c>
      <c r="G1079" s="4">
        <f>VALUE(SUBSTITUTE(SUBSTITUTE(Table1[[#This Row],[Price]],"$",""),",",""))</f>
        <v>621685</v>
      </c>
      <c r="H1079" s="1">
        <f>Table1[[#This Row],[Price2]]/Table1[[#This Row],[Area]]</f>
        <v>308.22260783341596</v>
      </c>
      <c r="I1079">
        <v>2017</v>
      </c>
      <c r="J1079">
        <v>2010</v>
      </c>
      <c r="K1079">
        <v>105</v>
      </c>
      <c r="L1079" t="s">
        <v>40</v>
      </c>
      <c r="M1079" t="s">
        <v>1590</v>
      </c>
      <c r="N1079" s="2" t="s">
        <v>3035</v>
      </c>
      <c r="O1079" t="s">
        <v>3036</v>
      </c>
      <c r="P1079" t="s">
        <v>21</v>
      </c>
      <c r="Q1079">
        <v>308.22260783341596</v>
      </c>
      <c r="R1079">
        <f ca="1">YEAR(TODAY())-Table1[[#This Row],[Year Built]]</f>
        <v>16</v>
      </c>
      <c r="S1079" t="str">
        <f>IF(Table1[[#This Row],[Days on Market]] &lt; 30,"Fast",IF(Table1[[#This Row],[Days on Market]]&lt;= 90,"Average", "Slow"))</f>
        <v>Slow</v>
      </c>
      <c r="T1079" t="str">
        <f>IF(Table1[[#This Row],[Price2]]&lt;500000,"Affordable",IF(Table1[[#This Row],[Price2]]&lt;1000000,"Mid range","Luxury"))</f>
        <v>Mid range</v>
      </c>
    </row>
    <row r="1080" spans="1:20" x14ac:dyDescent="0.35">
      <c r="A1080" s="3">
        <v>622655</v>
      </c>
      <c r="B1080" s="2" t="s">
        <v>12</v>
      </c>
      <c r="C1080">
        <v>30843</v>
      </c>
      <c r="D1080" s="2" t="s">
        <v>13</v>
      </c>
      <c r="E1080">
        <v>4</v>
      </c>
      <c r="F1080">
        <v>4</v>
      </c>
      <c r="G1080" s="4">
        <f>VALUE(SUBSTITUTE(SUBSTITUTE(Table1[[#This Row],[Price]],"$",""),",",""))</f>
        <v>622655</v>
      </c>
      <c r="H1080" s="1">
        <f>Table1[[#This Row],[Price2]]/Table1[[#This Row],[Area]]</f>
        <v>271.78306416412045</v>
      </c>
      <c r="I1080">
        <v>2291</v>
      </c>
      <c r="J1080">
        <v>1984</v>
      </c>
      <c r="K1080">
        <v>8</v>
      </c>
      <c r="L1080" t="s">
        <v>19</v>
      </c>
      <c r="M1080" t="s">
        <v>2815</v>
      </c>
      <c r="N1080" s="2" t="s">
        <v>3029</v>
      </c>
      <c r="O1080" t="s">
        <v>3030</v>
      </c>
      <c r="P1080" t="s">
        <v>16</v>
      </c>
      <c r="Q1080">
        <v>271.78306416412045</v>
      </c>
      <c r="R1080">
        <f ca="1">YEAR(TODAY())-Table1[[#This Row],[Year Built]]</f>
        <v>42</v>
      </c>
      <c r="S1080" t="str">
        <f>IF(Table1[[#This Row],[Days on Market]] &lt; 30,"Fast",IF(Table1[[#This Row],[Days on Market]]&lt;= 90,"Average", "Slow"))</f>
        <v>Fast</v>
      </c>
      <c r="T1080" t="str">
        <f>IF(Table1[[#This Row],[Price2]]&lt;500000,"Affordable",IF(Table1[[#This Row],[Price2]]&lt;1000000,"Mid range","Luxury"))</f>
        <v>Mid range</v>
      </c>
    </row>
    <row r="1081" spans="1:20" x14ac:dyDescent="0.35">
      <c r="A1081" s="3">
        <v>622890</v>
      </c>
      <c r="B1081" s="2" t="s">
        <v>22</v>
      </c>
      <c r="C1081">
        <v>45847</v>
      </c>
      <c r="D1081" s="2" t="s">
        <v>35</v>
      </c>
      <c r="E1081">
        <v>3</v>
      </c>
      <c r="F1081">
        <v>2</v>
      </c>
      <c r="G1081" s="4">
        <f>VALUE(SUBSTITUTE(SUBSTITUTE(Table1[[#This Row],[Price]],"$",""),",",""))</f>
        <v>622890</v>
      </c>
      <c r="H1081" s="1">
        <f>Table1[[#This Row],[Price2]]/Table1[[#This Row],[Area]]</f>
        <v>659.84110169491521</v>
      </c>
      <c r="I1081">
        <v>944</v>
      </c>
      <c r="J1081">
        <v>1977</v>
      </c>
      <c r="K1081">
        <v>29</v>
      </c>
      <c r="L1081" t="s">
        <v>14</v>
      </c>
      <c r="M1081" t="s">
        <v>2002</v>
      </c>
      <c r="N1081" s="2" t="s">
        <v>3035</v>
      </c>
      <c r="O1081" t="s">
        <v>3036</v>
      </c>
      <c r="P1081" t="s">
        <v>21</v>
      </c>
      <c r="Q1081">
        <v>659.84110169491521</v>
      </c>
      <c r="R1081">
        <f ca="1">YEAR(TODAY())-Table1[[#This Row],[Year Built]]</f>
        <v>49</v>
      </c>
      <c r="S1081" t="str">
        <f>IF(Table1[[#This Row],[Days on Market]] &lt; 30,"Fast",IF(Table1[[#This Row],[Days on Market]]&lt;= 90,"Average", "Slow"))</f>
        <v>Fast</v>
      </c>
      <c r="T1081" t="str">
        <f>IF(Table1[[#This Row],[Price2]]&lt;500000,"Affordable",IF(Table1[[#This Row],[Price2]]&lt;1000000,"Mid range","Luxury"))</f>
        <v>Mid range</v>
      </c>
    </row>
    <row r="1082" spans="1:20" x14ac:dyDescent="0.35">
      <c r="A1082" s="3">
        <v>624172</v>
      </c>
      <c r="B1082" s="2" t="s">
        <v>17</v>
      </c>
      <c r="C1082">
        <v>58626</v>
      </c>
      <c r="D1082" s="2" t="s">
        <v>13</v>
      </c>
      <c r="E1082">
        <v>6</v>
      </c>
      <c r="F1082">
        <v>3</v>
      </c>
      <c r="G1082" s="4">
        <f>VALUE(SUBSTITUTE(SUBSTITUTE(Table1[[#This Row],[Price]],"$",""),",",""))</f>
        <v>624172</v>
      </c>
      <c r="H1082" s="1">
        <f>Table1[[#This Row],[Price2]]/Table1[[#This Row],[Area]]</f>
        <v>388.40821406347231</v>
      </c>
      <c r="I1082">
        <v>1607</v>
      </c>
      <c r="J1082">
        <v>2022</v>
      </c>
      <c r="K1082">
        <v>26</v>
      </c>
      <c r="L1082" t="s">
        <v>40</v>
      </c>
      <c r="M1082" t="s">
        <v>1886</v>
      </c>
      <c r="N1082" s="2" t="s">
        <v>3035</v>
      </c>
      <c r="O1082" t="s">
        <v>3036</v>
      </c>
      <c r="P1082" t="s">
        <v>16</v>
      </c>
      <c r="Q1082">
        <v>388.40821406347231</v>
      </c>
      <c r="R1082">
        <f ca="1">YEAR(TODAY())-Table1[[#This Row],[Year Built]]</f>
        <v>4</v>
      </c>
      <c r="S1082" t="str">
        <f>IF(Table1[[#This Row],[Days on Market]] &lt; 30,"Fast",IF(Table1[[#This Row],[Days on Market]]&lt;= 90,"Average", "Slow"))</f>
        <v>Fast</v>
      </c>
      <c r="T1082" t="str">
        <f>IF(Table1[[#This Row],[Price2]]&lt;500000,"Affordable",IF(Table1[[#This Row],[Price2]]&lt;1000000,"Mid range","Luxury"))</f>
        <v>Mid range</v>
      </c>
    </row>
    <row r="1083" spans="1:20" x14ac:dyDescent="0.35">
      <c r="A1083" s="3">
        <v>624263</v>
      </c>
      <c r="B1083" s="2" t="s">
        <v>12</v>
      </c>
      <c r="C1083">
        <v>51574</v>
      </c>
      <c r="D1083" s="2" t="s">
        <v>29</v>
      </c>
      <c r="E1083">
        <v>1</v>
      </c>
      <c r="F1083">
        <v>1</v>
      </c>
      <c r="G1083" s="4">
        <f>VALUE(SUBSTITUTE(SUBSTITUTE(Table1[[#This Row],[Price]],"$",""),",",""))</f>
        <v>624263</v>
      </c>
      <c r="H1083" s="1">
        <f>Table1[[#This Row],[Price2]]/Table1[[#This Row],[Area]]</f>
        <v>162.35708712613783</v>
      </c>
      <c r="I1083">
        <v>3845</v>
      </c>
      <c r="J1083">
        <v>2006</v>
      </c>
      <c r="K1083">
        <v>15</v>
      </c>
      <c r="L1083" t="s">
        <v>19</v>
      </c>
      <c r="M1083" t="s">
        <v>2843</v>
      </c>
      <c r="N1083" s="2" t="s">
        <v>3031</v>
      </c>
      <c r="O1083" t="s">
        <v>3032</v>
      </c>
      <c r="P1083" t="s">
        <v>26</v>
      </c>
      <c r="Q1083">
        <v>162.35708712613783</v>
      </c>
      <c r="R1083">
        <f ca="1">YEAR(TODAY())-Table1[[#This Row],[Year Built]]</f>
        <v>20</v>
      </c>
      <c r="S1083" t="str">
        <f>IF(Table1[[#This Row],[Days on Market]] &lt; 30,"Fast",IF(Table1[[#This Row],[Days on Market]]&lt;= 90,"Average", "Slow"))</f>
        <v>Fast</v>
      </c>
      <c r="T1083" t="str">
        <f>IF(Table1[[#This Row],[Price2]]&lt;500000,"Affordable",IF(Table1[[#This Row],[Price2]]&lt;1000000,"Mid range","Luxury"))</f>
        <v>Mid range</v>
      </c>
    </row>
    <row r="1084" spans="1:20" x14ac:dyDescent="0.35">
      <c r="A1084" s="3">
        <v>624411</v>
      </c>
      <c r="B1084" s="2" t="s">
        <v>12</v>
      </c>
      <c r="C1084">
        <v>28207</v>
      </c>
      <c r="D1084" s="2" t="s">
        <v>23</v>
      </c>
      <c r="E1084">
        <v>3</v>
      </c>
      <c r="F1084">
        <v>1</v>
      </c>
      <c r="G1084" s="4">
        <f>VALUE(SUBSTITUTE(SUBSTITUTE(Table1[[#This Row],[Price]],"$",""),",",""))</f>
        <v>624411</v>
      </c>
      <c r="H1084" s="1">
        <f>Table1[[#This Row],[Price2]]/Table1[[#This Row],[Area]]</f>
        <v>184.0291777188329</v>
      </c>
      <c r="I1084">
        <v>3393</v>
      </c>
      <c r="J1084">
        <v>1978</v>
      </c>
      <c r="K1084">
        <v>86</v>
      </c>
      <c r="L1084" t="s">
        <v>19</v>
      </c>
      <c r="M1084" t="s">
        <v>2684</v>
      </c>
      <c r="N1084" s="2" t="s">
        <v>3031</v>
      </c>
      <c r="O1084" t="s">
        <v>3032</v>
      </c>
      <c r="P1084" t="s">
        <v>21</v>
      </c>
      <c r="Q1084">
        <v>184.0291777188329</v>
      </c>
      <c r="R1084">
        <f ca="1">YEAR(TODAY())-Table1[[#This Row],[Year Built]]</f>
        <v>48</v>
      </c>
      <c r="S1084" t="str">
        <f>IF(Table1[[#This Row],[Days on Market]] &lt; 30,"Fast",IF(Table1[[#This Row],[Days on Market]]&lt;= 90,"Average", "Slow"))</f>
        <v>Average</v>
      </c>
      <c r="T1084" t="str">
        <f>IF(Table1[[#This Row],[Price2]]&lt;500000,"Affordable",IF(Table1[[#This Row],[Price2]]&lt;1000000,"Mid range","Luxury"))</f>
        <v>Mid range</v>
      </c>
    </row>
    <row r="1085" spans="1:20" x14ac:dyDescent="0.35">
      <c r="A1085" s="3">
        <v>624612</v>
      </c>
      <c r="B1085" s="2" t="s">
        <v>34</v>
      </c>
      <c r="C1085">
        <v>45435</v>
      </c>
      <c r="D1085" s="2" t="s">
        <v>13</v>
      </c>
      <c r="E1085">
        <v>3</v>
      </c>
      <c r="F1085">
        <v>3</v>
      </c>
      <c r="G1085" s="4">
        <f>VALUE(SUBSTITUTE(SUBSTITUTE(Table1[[#This Row],[Price]],"$",""),",",""))</f>
        <v>624612</v>
      </c>
      <c r="H1085" s="1">
        <f>Table1[[#This Row],[Price2]]/Table1[[#This Row],[Area]]</f>
        <v>263.88339670468946</v>
      </c>
      <c r="I1085">
        <v>2367</v>
      </c>
      <c r="J1085">
        <v>1995</v>
      </c>
      <c r="K1085">
        <v>13</v>
      </c>
      <c r="L1085" t="s">
        <v>14</v>
      </c>
      <c r="M1085" t="s">
        <v>432</v>
      </c>
      <c r="N1085" s="2" t="s">
        <v>3031</v>
      </c>
      <c r="O1085" t="s">
        <v>3032</v>
      </c>
      <c r="P1085" t="s">
        <v>16</v>
      </c>
      <c r="Q1085">
        <v>263.88339670468946</v>
      </c>
      <c r="R1085">
        <f ca="1">YEAR(TODAY())-Table1[[#This Row],[Year Built]]</f>
        <v>31</v>
      </c>
      <c r="S1085" t="str">
        <f>IF(Table1[[#This Row],[Days on Market]] &lt; 30,"Fast",IF(Table1[[#This Row],[Days on Market]]&lt;= 90,"Average", "Slow"))</f>
        <v>Fast</v>
      </c>
      <c r="T1085" t="str">
        <f>IF(Table1[[#This Row],[Price2]]&lt;500000,"Affordable",IF(Table1[[#This Row],[Price2]]&lt;1000000,"Mid range","Luxury"))</f>
        <v>Mid range</v>
      </c>
    </row>
    <row r="1086" spans="1:20" x14ac:dyDescent="0.35">
      <c r="A1086" s="3">
        <v>625007</v>
      </c>
      <c r="B1086" s="2" t="s">
        <v>12</v>
      </c>
      <c r="C1086">
        <v>92002</v>
      </c>
      <c r="D1086" s="2" t="s">
        <v>18</v>
      </c>
      <c r="E1086">
        <v>3</v>
      </c>
      <c r="F1086">
        <v>2</v>
      </c>
      <c r="G1086" s="4">
        <f>VALUE(SUBSTITUTE(SUBSTITUTE(Table1[[#This Row],[Price]],"$",""),",",""))</f>
        <v>625007</v>
      </c>
      <c r="H1086" s="1">
        <f>Table1[[#This Row],[Price2]]/Table1[[#This Row],[Area]]</f>
        <v>319.04389994895354</v>
      </c>
      <c r="I1086">
        <v>1959</v>
      </c>
      <c r="J1086">
        <v>1958</v>
      </c>
      <c r="K1086">
        <v>33</v>
      </c>
      <c r="L1086" t="s">
        <v>14</v>
      </c>
      <c r="M1086" t="s">
        <v>2281</v>
      </c>
      <c r="N1086" s="2" t="s">
        <v>3027</v>
      </c>
      <c r="O1086" t="s">
        <v>3028</v>
      </c>
      <c r="P1086" t="s">
        <v>16</v>
      </c>
      <c r="Q1086">
        <v>319.04389994895354</v>
      </c>
      <c r="R1086">
        <f ca="1">YEAR(TODAY())-Table1[[#This Row],[Year Built]]</f>
        <v>68</v>
      </c>
      <c r="S1086" t="str">
        <f>IF(Table1[[#This Row],[Days on Market]] &lt; 30,"Fast",IF(Table1[[#This Row],[Days on Market]]&lt;= 90,"Average", "Slow"))</f>
        <v>Average</v>
      </c>
      <c r="T1086" t="str">
        <f>IF(Table1[[#This Row],[Price2]]&lt;500000,"Affordable",IF(Table1[[#This Row],[Price2]]&lt;1000000,"Mid range","Luxury"))</f>
        <v>Mid range</v>
      </c>
    </row>
    <row r="1087" spans="1:20" x14ac:dyDescent="0.35">
      <c r="A1087" s="3">
        <v>625188</v>
      </c>
      <c r="B1087" s="2" t="s">
        <v>12</v>
      </c>
      <c r="C1087">
        <v>94424</v>
      </c>
      <c r="D1087" s="2" t="s">
        <v>18</v>
      </c>
      <c r="E1087">
        <v>4</v>
      </c>
      <c r="F1087">
        <v>4</v>
      </c>
      <c r="G1087" s="4">
        <f>VALUE(SUBSTITUTE(SUBSTITUTE(Table1[[#This Row],[Price]],"$",""),",",""))</f>
        <v>625188</v>
      </c>
      <c r="H1087" s="1">
        <f>Table1[[#This Row],[Price2]]/Table1[[#This Row],[Area]]</f>
        <v>304.969756097561</v>
      </c>
      <c r="I1087">
        <v>2050</v>
      </c>
      <c r="J1087">
        <v>1957</v>
      </c>
      <c r="K1087">
        <v>73</v>
      </c>
      <c r="L1087" t="s">
        <v>30</v>
      </c>
      <c r="M1087" t="s">
        <v>2996</v>
      </c>
      <c r="N1087" s="2" t="s">
        <v>3035</v>
      </c>
      <c r="O1087" t="s">
        <v>3036</v>
      </c>
      <c r="P1087" t="s">
        <v>21</v>
      </c>
      <c r="Q1087">
        <v>304.969756097561</v>
      </c>
      <c r="R1087">
        <f ca="1">YEAR(TODAY())-Table1[[#This Row],[Year Built]]</f>
        <v>69</v>
      </c>
      <c r="S1087" t="str">
        <f>IF(Table1[[#This Row],[Days on Market]] &lt; 30,"Fast",IF(Table1[[#This Row],[Days on Market]]&lt;= 90,"Average", "Slow"))</f>
        <v>Average</v>
      </c>
      <c r="T1087" t="str">
        <f>IF(Table1[[#This Row],[Price2]]&lt;500000,"Affordable",IF(Table1[[#This Row],[Price2]]&lt;1000000,"Mid range","Luxury"))</f>
        <v>Mid range</v>
      </c>
    </row>
    <row r="1088" spans="1:20" x14ac:dyDescent="0.35">
      <c r="A1088" s="3">
        <v>627152</v>
      </c>
      <c r="B1088" s="2" t="s">
        <v>22</v>
      </c>
      <c r="C1088">
        <v>19584</v>
      </c>
      <c r="D1088" s="2" t="s">
        <v>29</v>
      </c>
      <c r="E1088">
        <v>5</v>
      </c>
      <c r="F1088">
        <v>4</v>
      </c>
      <c r="G1088" s="4">
        <f>VALUE(SUBSTITUTE(SUBSTITUTE(Table1[[#This Row],[Price]],"$",""),",",""))</f>
        <v>627152</v>
      </c>
      <c r="H1088" s="1">
        <f>Table1[[#This Row],[Price2]]/Table1[[#This Row],[Area]]</f>
        <v>315.46881287726359</v>
      </c>
      <c r="I1088">
        <v>1988</v>
      </c>
      <c r="J1088">
        <v>1996</v>
      </c>
      <c r="K1088">
        <v>64</v>
      </c>
      <c r="L1088" t="s">
        <v>52</v>
      </c>
      <c r="M1088" t="s">
        <v>2017</v>
      </c>
      <c r="N1088" s="2" t="s">
        <v>3035</v>
      </c>
      <c r="O1088" t="s">
        <v>3036</v>
      </c>
      <c r="P1088" t="s">
        <v>21</v>
      </c>
      <c r="Q1088">
        <v>315.46881287726359</v>
      </c>
      <c r="R1088">
        <f ca="1">YEAR(TODAY())-Table1[[#This Row],[Year Built]]</f>
        <v>30</v>
      </c>
      <c r="S1088" t="str">
        <f>IF(Table1[[#This Row],[Days on Market]] &lt; 30,"Fast",IF(Table1[[#This Row],[Days on Market]]&lt;= 90,"Average", "Slow"))</f>
        <v>Average</v>
      </c>
      <c r="T1088" t="str">
        <f>IF(Table1[[#This Row],[Price2]]&lt;500000,"Affordable",IF(Table1[[#This Row],[Price2]]&lt;1000000,"Mid range","Luxury"))</f>
        <v>Mid range</v>
      </c>
    </row>
    <row r="1089" spans="1:20" x14ac:dyDescent="0.35">
      <c r="A1089" s="3">
        <v>627255</v>
      </c>
      <c r="B1089" s="2" t="s">
        <v>17</v>
      </c>
      <c r="C1089">
        <v>10177</v>
      </c>
      <c r="D1089" s="2" t="s">
        <v>35</v>
      </c>
      <c r="E1089">
        <v>5</v>
      </c>
      <c r="F1089">
        <v>2</v>
      </c>
      <c r="G1089" s="4">
        <f>VALUE(SUBSTITUTE(SUBSTITUTE(Table1[[#This Row],[Price]],"$",""),",",""))</f>
        <v>627255</v>
      </c>
      <c r="H1089" s="1">
        <f>Table1[[#This Row],[Price2]]/Table1[[#This Row],[Area]]</f>
        <v>160.75217837006664</v>
      </c>
      <c r="I1089">
        <v>3902</v>
      </c>
      <c r="J1089">
        <v>1972</v>
      </c>
      <c r="K1089">
        <v>59</v>
      </c>
      <c r="L1089" t="s">
        <v>40</v>
      </c>
      <c r="M1089" t="s">
        <v>2484</v>
      </c>
      <c r="N1089" s="2" t="s">
        <v>3033</v>
      </c>
      <c r="O1089" t="s">
        <v>3034</v>
      </c>
      <c r="P1089" t="s">
        <v>21</v>
      </c>
      <c r="Q1089">
        <v>160.75217837006664</v>
      </c>
      <c r="R1089">
        <f ca="1">YEAR(TODAY())-Table1[[#This Row],[Year Built]]</f>
        <v>54</v>
      </c>
      <c r="S1089" t="str">
        <f>IF(Table1[[#This Row],[Days on Market]] &lt; 30,"Fast",IF(Table1[[#This Row],[Days on Market]]&lt;= 90,"Average", "Slow"))</f>
        <v>Average</v>
      </c>
      <c r="T1089" t="str">
        <f>IF(Table1[[#This Row],[Price2]]&lt;500000,"Affordable",IF(Table1[[#This Row],[Price2]]&lt;1000000,"Mid range","Luxury"))</f>
        <v>Mid range</v>
      </c>
    </row>
    <row r="1090" spans="1:20" x14ac:dyDescent="0.35">
      <c r="A1090" s="3">
        <v>628075</v>
      </c>
      <c r="B1090" s="2" t="s">
        <v>17</v>
      </c>
      <c r="C1090">
        <v>94763</v>
      </c>
      <c r="D1090" s="2" t="s">
        <v>18</v>
      </c>
      <c r="E1090">
        <v>6</v>
      </c>
      <c r="F1090">
        <v>1</v>
      </c>
      <c r="G1090" s="4">
        <f>VALUE(SUBSTITUTE(SUBSTITUTE(Table1[[#This Row],[Price]],"$",""),",",""))</f>
        <v>628075</v>
      </c>
      <c r="H1090" s="1">
        <f>Table1[[#This Row],[Price2]]/Table1[[#This Row],[Area]]</f>
        <v>199.96020375676537</v>
      </c>
      <c r="I1090">
        <v>3141</v>
      </c>
      <c r="J1090">
        <v>1992</v>
      </c>
      <c r="K1090">
        <v>117</v>
      </c>
      <c r="L1090" t="s">
        <v>40</v>
      </c>
      <c r="M1090" t="s">
        <v>1572</v>
      </c>
      <c r="N1090" s="2" t="s">
        <v>3031</v>
      </c>
      <c r="O1090" t="s">
        <v>3032</v>
      </c>
      <c r="P1090" t="s">
        <v>26</v>
      </c>
      <c r="Q1090">
        <v>199.96020375676537</v>
      </c>
      <c r="R1090">
        <f ca="1">YEAR(TODAY())-Table1[[#This Row],[Year Built]]</f>
        <v>34</v>
      </c>
      <c r="S1090" t="str">
        <f>IF(Table1[[#This Row],[Days on Market]] &lt; 30,"Fast",IF(Table1[[#This Row],[Days on Market]]&lt;= 90,"Average", "Slow"))</f>
        <v>Slow</v>
      </c>
      <c r="T1090" t="str">
        <f>IF(Table1[[#This Row],[Price2]]&lt;500000,"Affordable",IF(Table1[[#This Row],[Price2]]&lt;1000000,"Mid range","Luxury"))</f>
        <v>Mid range</v>
      </c>
    </row>
    <row r="1091" spans="1:20" x14ac:dyDescent="0.35">
      <c r="A1091" s="3">
        <v>628319</v>
      </c>
      <c r="B1091" s="2" t="s">
        <v>22</v>
      </c>
      <c r="C1091">
        <v>56656</v>
      </c>
      <c r="D1091" s="2" t="s">
        <v>35</v>
      </c>
      <c r="E1091">
        <v>6</v>
      </c>
      <c r="F1091">
        <v>1</v>
      </c>
      <c r="G1091" s="4">
        <f>VALUE(SUBSTITUTE(SUBSTITUTE(Table1[[#This Row],[Price]],"$",""),",",""))</f>
        <v>628319</v>
      </c>
      <c r="H1091" s="1">
        <f>Table1[[#This Row],[Price2]]/Table1[[#This Row],[Area]]</f>
        <v>249.13521015067406</v>
      </c>
      <c r="I1091">
        <v>2522</v>
      </c>
      <c r="J1091">
        <v>1970</v>
      </c>
      <c r="K1091">
        <v>58</v>
      </c>
      <c r="L1091" t="s">
        <v>52</v>
      </c>
      <c r="M1091" t="s">
        <v>2307</v>
      </c>
      <c r="N1091" s="2" t="s">
        <v>3035</v>
      </c>
      <c r="O1091" t="s">
        <v>3036</v>
      </c>
      <c r="P1091" t="s">
        <v>26</v>
      </c>
      <c r="Q1091">
        <v>249.13521015067406</v>
      </c>
      <c r="R1091">
        <f ca="1">YEAR(TODAY())-Table1[[#This Row],[Year Built]]</f>
        <v>56</v>
      </c>
      <c r="S1091" t="str">
        <f>IF(Table1[[#This Row],[Days on Market]] &lt; 30,"Fast",IF(Table1[[#This Row],[Days on Market]]&lt;= 90,"Average", "Slow"))</f>
        <v>Average</v>
      </c>
      <c r="T1091" t="str">
        <f>IF(Table1[[#This Row],[Price2]]&lt;500000,"Affordable",IF(Table1[[#This Row],[Price2]]&lt;1000000,"Mid range","Luxury"))</f>
        <v>Mid range</v>
      </c>
    </row>
    <row r="1092" spans="1:20" x14ac:dyDescent="0.35">
      <c r="A1092" s="3">
        <v>628568</v>
      </c>
      <c r="B1092" s="2" t="s">
        <v>22</v>
      </c>
      <c r="C1092">
        <v>75834</v>
      </c>
      <c r="D1092" s="2" t="s">
        <v>18</v>
      </c>
      <c r="E1092">
        <v>1</v>
      </c>
      <c r="F1092">
        <v>3</v>
      </c>
      <c r="G1092" s="4">
        <f>VALUE(SUBSTITUTE(SUBSTITUTE(Table1[[#This Row],[Price]],"$",""),",",""))</f>
        <v>628568</v>
      </c>
      <c r="H1092" s="1">
        <f>Table1[[#This Row],[Price2]]/Table1[[#This Row],[Area]]</f>
        <v>623.57936507936506</v>
      </c>
      <c r="I1092">
        <v>1008</v>
      </c>
      <c r="J1092">
        <v>1968</v>
      </c>
      <c r="K1092">
        <v>41</v>
      </c>
      <c r="L1092" t="s">
        <v>14</v>
      </c>
      <c r="M1092" t="s">
        <v>1252</v>
      </c>
      <c r="N1092" s="2" t="s">
        <v>3031</v>
      </c>
      <c r="O1092" t="s">
        <v>3032</v>
      </c>
      <c r="P1092" t="s">
        <v>21</v>
      </c>
      <c r="Q1092">
        <v>623.57936507936506</v>
      </c>
      <c r="R1092">
        <f ca="1">YEAR(TODAY())-Table1[[#This Row],[Year Built]]</f>
        <v>58</v>
      </c>
      <c r="S1092" t="str">
        <f>IF(Table1[[#This Row],[Days on Market]] &lt; 30,"Fast",IF(Table1[[#This Row],[Days on Market]]&lt;= 90,"Average", "Slow"))</f>
        <v>Average</v>
      </c>
      <c r="T1092" t="str">
        <f>IF(Table1[[#This Row],[Price2]]&lt;500000,"Affordable",IF(Table1[[#This Row],[Price2]]&lt;1000000,"Mid range","Luxury"))</f>
        <v>Mid range</v>
      </c>
    </row>
    <row r="1093" spans="1:20" x14ac:dyDescent="0.35">
      <c r="A1093" s="3">
        <v>628592</v>
      </c>
      <c r="B1093" s="2" t="s">
        <v>17</v>
      </c>
      <c r="C1093">
        <v>64477</v>
      </c>
      <c r="D1093" s="2" t="s">
        <v>23</v>
      </c>
      <c r="E1093">
        <v>3</v>
      </c>
      <c r="F1093">
        <v>2</v>
      </c>
      <c r="G1093" s="4">
        <f>VALUE(SUBSTITUTE(SUBSTITUTE(Table1[[#This Row],[Price]],"$",""),",",""))</f>
        <v>628592</v>
      </c>
      <c r="H1093" s="1">
        <f>Table1[[#This Row],[Price2]]/Table1[[#This Row],[Area]]</f>
        <v>175.92835152532885</v>
      </c>
      <c r="I1093">
        <v>3573</v>
      </c>
      <c r="J1093">
        <v>1990</v>
      </c>
      <c r="K1093">
        <v>49</v>
      </c>
      <c r="L1093" t="s">
        <v>19</v>
      </c>
      <c r="M1093" t="s">
        <v>572</v>
      </c>
      <c r="N1093" s="2" t="s">
        <v>3033</v>
      </c>
      <c r="O1093" t="s">
        <v>3034</v>
      </c>
      <c r="P1093" t="s">
        <v>16</v>
      </c>
      <c r="Q1093">
        <v>175.92835152532885</v>
      </c>
      <c r="R1093">
        <f ca="1">YEAR(TODAY())-Table1[[#This Row],[Year Built]]</f>
        <v>36</v>
      </c>
      <c r="S1093" t="str">
        <f>IF(Table1[[#This Row],[Days on Market]] &lt; 30,"Fast",IF(Table1[[#This Row],[Days on Market]]&lt;= 90,"Average", "Slow"))</f>
        <v>Average</v>
      </c>
      <c r="T1093" t="str">
        <f>IF(Table1[[#This Row],[Price2]]&lt;500000,"Affordable",IF(Table1[[#This Row],[Price2]]&lt;1000000,"Mid range","Luxury"))</f>
        <v>Mid range</v>
      </c>
    </row>
    <row r="1094" spans="1:20" x14ac:dyDescent="0.35">
      <c r="A1094" s="3">
        <v>628913</v>
      </c>
      <c r="B1094" s="2" t="s">
        <v>34</v>
      </c>
      <c r="C1094">
        <v>65026</v>
      </c>
      <c r="D1094" s="2" t="s">
        <v>13</v>
      </c>
      <c r="E1094">
        <v>1</v>
      </c>
      <c r="F1094">
        <v>2</v>
      </c>
      <c r="G1094" s="4">
        <f>VALUE(SUBSTITUTE(SUBSTITUTE(Table1[[#This Row],[Price]],"$",""),",",""))</f>
        <v>628913</v>
      </c>
      <c r="H1094" s="1">
        <f>Table1[[#This Row],[Price2]]/Table1[[#This Row],[Area]]</f>
        <v>200.86649632705206</v>
      </c>
      <c r="I1094">
        <v>3131</v>
      </c>
      <c r="J1094">
        <v>1980</v>
      </c>
      <c r="K1094">
        <v>9</v>
      </c>
      <c r="L1094" t="s">
        <v>40</v>
      </c>
      <c r="M1094" t="s">
        <v>241</v>
      </c>
      <c r="N1094" s="2" t="s">
        <v>3031</v>
      </c>
      <c r="O1094" t="s">
        <v>3032</v>
      </c>
      <c r="P1094" t="s">
        <v>21</v>
      </c>
      <c r="Q1094">
        <v>200.86649632705206</v>
      </c>
      <c r="R1094">
        <f ca="1">YEAR(TODAY())-Table1[[#This Row],[Year Built]]</f>
        <v>46</v>
      </c>
      <c r="S1094" t="str">
        <f>IF(Table1[[#This Row],[Days on Market]] &lt; 30,"Fast",IF(Table1[[#This Row],[Days on Market]]&lt;= 90,"Average", "Slow"))</f>
        <v>Fast</v>
      </c>
      <c r="T1094" t="str">
        <f>IF(Table1[[#This Row],[Price2]]&lt;500000,"Affordable",IF(Table1[[#This Row],[Price2]]&lt;1000000,"Mid range","Luxury"))</f>
        <v>Mid range</v>
      </c>
    </row>
    <row r="1095" spans="1:20" x14ac:dyDescent="0.35">
      <c r="A1095" s="3">
        <v>628980</v>
      </c>
      <c r="B1095" s="2" t="s">
        <v>12</v>
      </c>
      <c r="C1095">
        <v>87567</v>
      </c>
      <c r="D1095" s="2" t="s">
        <v>18</v>
      </c>
      <c r="E1095">
        <v>1</v>
      </c>
      <c r="F1095">
        <v>1</v>
      </c>
      <c r="G1095" s="4">
        <f>VALUE(SUBSTITUTE(SUBSTITUTE(Table1[[#This Row],[Price]],"$",""),",",""))</f>
        <v>628980</v>
      </c>
      <c r="H1095" s="1">
        <f>Table1[[#This Row],[Price2]]/Table1[[#This Row],[Area]]</f>
        <v>289.31922723091077</v>
      </c>
      <c r="I1095">
        <v>2174</v>
      </c>
      <c r="J1095">
        <v>1993</v>
      </c>
      <c r="K1095">
        <v>8</v>
      </c>
      <c r="L1095" t="s">
        <v>14</v>
      </c>
      <c r="M1095" t="s">
        <v>2611</v>
      </c>
      <c r="N1095" s="2" t="s">
        <v>3033</v>
      </c>
      <c r="O1095" t="s">
        <v>3034</v>
      </c>
      <c r="P1095" t="s">
        <v>26</v>
      </c>
      <c r="Q1095">
        <v>289.31922723091077</v>
      </c>
      <c r="R1095">
        <f ca="1">YEAR(TODAY())-Table1[[#This Row],[Year Built]]</f>
        <v>33</v>
      </c>
      <c r="S1095" t="str">
        <f>IF(Table1[[#This Row],[Days on Market]] &lt; 30,"Fast",IF(Table1[[#This Row],[Days on Market]]&lt;= 90,"Average", "Slow"))</f>
        <v>Fast</v>
      </c>
      <c r="T1095" t="str">
        <f>IF(Table1[[#This Row],[Price2]]&lt;500000,"Affordable",IF(Table1[[#This Row],[Price2]]&lt;1000000,"Mid range","Luxury"))</f>
        <v>Mid range</v>
      </c>
    </row>
    <row r="1096" spans="1:20" x14ac:dyDescent="0.35">
      <c r="A1096" s="3">
        <v>629929</v>
      </c>
      <c r="B1096" s="2" t="s">
        <v>27</v>
      </c>
      <c r="C1096">
        <v>27691</v>
      </c>
      <c r="D1096" s="2" t="s">
        <v>23</v>
      </c>
      <c r="E1096">
        <v>1</v>
      </c>
      <c r="F1096">
        <v>2</v>
      </c>
      <c r="G1096" s="4">
        <f>VALUE(SUBSTITUTE(SUBSTITUTE(Table1[[#This Row],[Price]],"$",""),",",""))</f>
        <v>629929</v>
      </c>
      <c r="H1096" s="1">
        <f>Table1[[#This Row],[Price2]]/Table1[[#This Row],[Area]]</f>
        <v>203.86051779935275</v>
      </c>
      <c r="I1096">
        <v>3090</v>
      </c>
      <c r="J1096">
        <v>2011</v>
      </c>
      <c r="K1096">
        <v>30</v>
      </c>
      <c r="L1096" t="s">
        <v>30</v>
      </c>
      <c r="M1096" t="s">
        <v>1586</v>
      </c>
      <c r="N1096" s="2" t="s">
        <v>3027</v>
      </c>
      <c r="O1096" t="s">
        <v>3028</v>
      </c>
      <c r="P1096" t="s">
        <v>21</v>
      </c>
      <c r="Q1096">
        <v>203.86051779935275</v>
      </c>
      <c r="R1096">
        <f ca="1">YEAR(TODAY())-Table1[[#This Row],[Year Built]]</f>
        <v>15</v>
      </c>
      <c r="S1096" t="str">
        <f>IF(Table1[[#This Row],[Days on Market]] &lt; 30,"Fast",IF(Table1[[#This Row],[Days on Market]]&lt;= 90,"Average", "Slow"))</f>
        <v>Average</v>
      </c>
      <c r="T1096" t="str">
        <f>IF(Table1[[#This Row],[Price2]]&lt;500000,"Affordable",IF(Table1[[#This Row],[Price2]]&lt;1000000,"Mid range","Luxury"))</f>
        <v>Mid range</v>
      </c>
    </row>
    <row r="1097" spans="1:20" x14ac:dyDescent="0.35">
      <c r="A1097" s="3">
        <v>630234</v>
      </c>
      <c r="B1097" s="2" t="s">
        <v>27</v>
      </c>
      <c r="C1097">
        <v>47765</v>
      </c>
      <c r="D1097" s="2" t="s">
        <v>23</v>
      </c>
      <c r="E1097">
        <v>6</v>
      </c>
      <c r="F1097">
        <v>3</v>
      </c>
      <c r="G1097" s="4">
        <f>VALUE(SUBSTITUTE(SUBSTITUTE(Table1[[#This Row],[Price]],"$",""),",",""))</f>
        <v>630234</v>
      </c>
      <c r="H1097" s="1">
        <f>Table1[[#This Row],[Price2]]/Table1[[#This Row],[Area]]</f>
        <v>502.17848605577689</v>
      </c>
      <c r="I1097">
        <v>1255</v>
      </c>
      <c r="J1097">
        <v>2001</v>
      </c>
      <c r="K1097">
        <v>120</v>
      </c>
      <c r="L1097" t="s">
        <v>52</v>
      </c>
      <c r="M1097" t="s">
        <v>1715</v>
      </c>
      <c r="N1097" s="2" t="s">
        <v>3035</v>
      </c>
      <c r="O1097" t="s">
        <v>3036</v>
      </c>
      <c r="P1097" t="s">
        <v>21</v>
      </c>
      <c r="Q1097">
        <v>502.17848605577689</v>
      </c>
      <c r="R1097">
        <f ca="1">YEAR(TODAY())-Table1[[#This Row],[Year Built]]</f>
        <v>25</v>
      </c>
      <c r="S1097" t="str">
        <f>IF(Table1[[#This Row],[Days on Market]] &lt; 30,"Fast",IF(Table1[[#This Row],[Days on Market]]&lt;= 90,"Average", "Slow"))</f>
        <v>Slow</v>
      </c>
      <c r="T1097" t="str">
        <f>IF(Table1[[#This Row],[Price2]]&lt;500000,"Affordable",IF(Table1[[#This Row],[Price2]]&lt;1000000,"Mid range","Luxury"))</f>
        <v>Mid range</v>
      </c>
    </row>
    <row r="1098" spans="1:20" x14ac:dyDescent="0.35">
      <c r="A1098" s="3">
        <v>630286</v>
      </c>
      <c r="B1098" s="2" t="s">
        <v>22</v>
      </c>
      <c r="C1098">
        <v>75342</v>
      </c>
      <c r="D1098" s="2" t="s">
        <v>29</v>
      </c>
      <c r="E1098">
        <v>2</v>
      </c>
      <c r="F1098">
        <v>1</v>
      </c>
      <c r="G1098" s="4">
        <f>VALUE(SUBSTITUTE(SUBSTITUTE(Table1[[#This Row],[Price]],"$",""),",",""))</f>
        <v>630286</v>
      </c>
      <c r="H1098" s="1">
        <f>Table1[[#This Row],[Price2]]/Table1[[#This Row],[Area]]</f>
        <v>475.32880844645553</v>
      </c>
      <c r="I1098">
        <v>1326</v>
      </c>
      <c r="J1098">
        <v>1975</v>
      </c>
      <c r="K1098">
        <v>18</v>
      </c>
      <c r="L1098" t="s">
        <v>19</v>
      </c>
      <c r="M1098" t="s">
        <v>1467</v>
      </c>
      <c r="N1098" s="2" t="s">
        <v>3029</v>
      </c>
      <c r="O1098" t="s">
        <v>3030</v>
      </c>
      <c r="P1098" t="s">
        <v>21</v>
      </c>
      <c r="Q1098">
        <v>475.32880844645553</v>
      </c>
      <c r="R1098">
        <f ca="1">YEAR(TODAY())-Table1[[#This Row],[Year Built]]</f>
        <v>51</v>
      </c>
      <c r="S1098" t="str">
        <f>IF(Table1[[#This Row],[Days on Market]] &lt; 30,"Fast",IF(Table1[[#This Row],[Days on Market]]&lt;= 90,"Average", "Slow"))</f>
        <v>Fast</v>
      </c>
      <c r="T1098" t="str">
        <f>IF(Table1[[#This Row],[Price2]]&lt;500000,"Affordable",IF(Table1[[#This Row],[Price2]]&lt;1000000,"Mid range","Luxury"))</f>
        <v>Mid range</v>
      </c>
    </row>
    <row r="1099" spans="1:20" x14ac:dyDescent="0.35">
      <c r="A1099" s="3">
        <v>630339</v>
      </c>
      <c r="B1099" s="2" t="s">
        <v>12</v>
      </c>
      <c r="C1099">
        <v>93752</v>
      </c>
      <c r="D1099" s="2" t="s">
        <v>18</v>
      </c>
      <c r="E1099">
        <v>1</v>
      </c>
      <c r="F1099">
        <v>4</v>
      </c>
      <c r="G1099" s="4">
        <f>VALUE(SUBSTITUTE(SUBSTITUTE(Table1[[#This Row],[Price]],"$",""),",",""))</f>
        <v>630339</v>
      </c>
      <c r="H1099" s="1">
        <f>Table1[[#This Row],[Price2]]/Table1[[#This Row],[Area]]</f>
        <v>359.78253424657532</v>
      </c>
      <c r="I1099">
        <v>1752</v>
      </c>
      <c r="J1099">
        <v>1993</v>
      </c>
      <c r="K1099">
        <v>61</v>
      </c>
      <c r="L1099" t="s">
        <v>52</v>
      </c>
      <c r="M1099" t="s">
        <v>62</v>
      </c>
      <c r="N1099" s="2" t="s">
        <v>3031</v>
      </c>
      <c r="O1099" t="s">
        <v>3032</v>
      </c>
      <c r="P1099" t="s">
        <v>16</v>
      </c>
      <c r="Q1099">
        <v>359.78253424657532</v>
      </c>
      <c r="R1099">
        <f ca="1">YEAR(TODAY())-Table1[[#This Row],[Year Built]]</f>
        <v>33</v>
      </c>
      <c r="S1099" t="str">
        <f>IF(Table1[[#This Row],[Days on Market]] &lt; 30,"Fast",IF(Table1[[#This Row],[Days on Market]]&lt;= 90,"Average", "Slow"))</f>
        <v>Average</v>
      </c>
      <c r="T1099" t="str">
        <f>IF(Table1[[#This Row],[Price2]]&lt;500000,"Affordable",IF(Table1[[#This Row],[Price2]]&lt;1000000,"Mid range","Luxury"))</f>
        <v>Mid range</v>
      </c>
    </row>
    <row r="1100" spans="1:20" x14ac:dyDescent="0.35">
      <c r="A1100" s="3">
        <v>630401</v>
      </c>
      <c r="B1100" s="2" t="s">
        <v>22</v>
      </c>
      <c r="C1100">
        <v>27470</v>
      </c>
      <c r="D1100" s="2" t="s">
        <v>35</v>
      </c>
      <c r="E1100">
        <v>2</v>
      </c>
      <c r="F1100">
        <v>1</v>
      </c>
      <c r="G1100" s="4">
        <f>VALUE(SUBSTITUTE(SUBSTITUTE(Table1[[#This Row],[Price]],"$",""),",",""))</f>
        <v>630401</v>
      </c>
      <c r="H1100" s="1">
        <f>Table1[[#This Row],[Price2]]/Table1[[#This Row],[Area]]</f>
        <v>160.36657339099466</v>
      </c>
      <c r="I1100">
        <v>3931</v>
      </c>
      <c r="J1100">
        <v>1951</v>
      </c>
      <c r="K1100">
        <v>41</v>
      </c>
      <c r="L1100" t="s">
        <v>30</v>
      </c>
      <c r="M1100" t="s">
        <v>534</v>
      </c>
      <c r="N1100" s="2" t="s">
        <v>3031</v>
      </c>
      <c r="O1100" t="s">
        <v>3032</v>
      </c>
      <c r="P1100" t="s">
        <v>21</v>
      </c>
      <c r="Q1100">
        <v>160.36657339099466</v>
      </c>
      <c r="R1100">
        <f ca="1">YEAR(TODAY())-Table1[[#This Row],[Year Built]]</f>
        <v>75</v>
      </c>
      <c r="S1100" t="str">
        <f>IF(Table1[[#This Row],[Days on Market]] &lt; 30,"Fast",IF(Table1[[#This Row],[Days on Market]]&lt;= 90,"Average", "Slow"))</f>
        <v>Average</v>
      </c>
      <c r="T1100" t="str">
        <f>IF(Table1[[#This Row],[Price2]]&lt;500000,"Affordable",IF(Table1[[#This Row],[Price2]]&lt;1000000,"Mid range","Luxury"))</f>
        <v>Mid range</v>
      </c>
    </row>
    <row r="1101" spans="1:20" x14ac:dyDescent="0.35">
      <c r="A1101" s="3">
        <v>631172</v>
      </c>
      <c r="B1101" s="2" t="s">
        <v>34</v>
      </c>
      <c r="C1101">
        <v>65583</v>
      </c>
      <c r="D1101" s="2" t="s">
        <v>18</v>
      </c>
      <c r="E1101">
        <v>6</v>
      </c>
      <c r="F1101">
        <v>3</v>
      </c>
      <c r="G1101" s="4">
        <f>VALUE(SUBSTITUTE(SUBSTITUTE(Table1[[#This Row],[Price]],"$",""),",",""))</f>
        <v>631172</v>
      </c>
      <c r="H1101" s="1">
        <f>Table1[[#This Row],[Price2]]/Table1[[#This Row],[Area]]</f>
        <v>172.68727770177838</v>
      </c>
      <c r="I1101">
        <v>3655</v>
      </c>
      <c r="J1101">
        <v>1983</v>
      </c>
      <c r="K1101">
        <v>18</v>
      </c>
      <c r="L1101" t="s">
        <v>19</v>
      </c>
      <c r="M1101" t="s">
        <v>245</v>
      </c>
      <c r="N1101" s="2" t="s">
        <v>3029</v>
      </c>
      <c r="O1101" t="s">
        <v>3030</v>
      </c>
      <c r="P1101" t="s">
        <v>26</v>
      </c>
      <c r="Q1101">
        <v>172.68727770177838</v>
      </c>
      <c r="R1101">
        <f ca="1">YEAR(TODAY())-Table1[[#This Row],[Year Built]]</f>
        <v>43</v>
      </c>
      <c r="S1101" t="str">
        <f>IF(Table1[[#This Row],[Days on Market]] &lt; 30,"Fast",IF(Table1[[#This Row],[Days on Market]]&lt;= 90,"Average", "Slow"))</f>
        <v>Fast</v>
      </c>
      <c r="T1101" t="str">
        <f>IF(Table1[[#This Row],[Price2]]&lt;500000,"Affordable",IF(Table1[[#This Row],[Price2]]&lt;1000000,"Mid range","Luxury"))</f>
        <v>Mid range</v>
      </c>
    </row>
    <row r="1102" spans="1:20" x14ac:dyDescent="0.35">
      <c r="A1102" s="3">
        <v>631278</v>
      </c>
      <c r="B1102" s="2" t="s">
        <v>17</v>
      </c>
      <c r="C1102">
        <v>46082</v>
      </c>
      <c r="D1102" s="2" t="s">
        <v>13</v>
      </c>
      <c r="E1102">
        <v>3</v>
      </c>
      <c r="F1102">
        <v>4</v>
      </c>
      <c r="G1102" s="4">
        <f>VALUE(SUBSTITUTE(SUBSTITUTE(Table1[[#This Row],[Price]],"$",""),",",""))</f>
        <v>631278</v>
      </c>
      <c r="H1102" s="1">
        <f>Table1[[#This Row],[Price2]]/Table1[[#This Row],[Area]]</f>
        <v>163.28970512157269</v>
      </c>
      <c r="I1102">
        <v>3866</v>
      </c>
      <c r="J1102">
        <v>1982</v>
      </c>
      <c r="K1102">
        <v>110</v>
      </c>
      <c r="L1102" t="s">
        <v>14</v>
      </c>
      <c r="M1102" t="s">
        <v>556</v>
      </c>
      <c r="N1102" s="2" t="s">
        <v>3027</v>
      </c>
      <c r="O1102" t="s">
        <v>3028</v>
      </c>
      <c r="P1102" t="s">
        <v>16</v>
      </c>
      <c r="Q1102">
        <v>163.28970512157269</v>
      </c>
      <c r="R1102">
        <f ca="1">YEAR(TODAY())-Table1[[#This Row],[Year Built]]</f>
        <v>44</v>
      </c>
      <c r="S1102" t="str">
        <f>IF(Table1[[#This Row],[Days on Market]] &lt; 30,"Fast",IF(Table1[[#This Row],[Days on Market]]&lt;= 90,"Average", "Slow"))</f>
        <v>Slow</v>
      </c>
      <c r="T1102" t="str">
        <f>IF(Table1[[#This Row],[Price2]]&lt;500000,"Affordable",IF(Table1[[#This Row],[Price2]]&lt;1000000,"Mid range","Luxury"))</f>
        <v>Mid range</v>
      </c>
    </row>
    <row r="1103" spans="1:20" x14ac:dyDescent="0.35">
      <c r="A1103" s="3">
        <v>631293</v>
      </c>
      <c r="B1103" s="2" t="s">
        <v>34</v>
      </c>
      <c r="C1103">
        <v>73137</v>
      </c>
      <c r="D1103" s="2" t="s">
        <v>29</v>
      </c>
      <c r="E1103">
        <v>4</v>
      </c>
      <c r="F1103">
        <v>4</v>
      </c>
      <c r="G1103" s="4">
        <f>VALUE(SUBSTITUTE(SUBSTITUTE(Table1[[#This Row],[Price]],"$",""),",",""))</f>
        <v>631293</v>
      </c>
      <c r="H1103" s="1">
        <f>Table1[[#This Row],[Price2]]/Table1[[#This Row],[Area]]</f>
        <v>262.60108153078204</v>
      </c>
      <c r="I1103">
        <v>2404</v>
      </c>
      <c r="J1103">
        <v>1955</v>
      </c>
      <c r="K1103">
        <v>102</v>
      </c>
      <c r="L1103" t="s">
        <v>40</v>
      </c>
      <c r="M1103" t="s">
        <v>1735</v>
      </c>
      <c r="N1103" s="2" t="s">
        <v>3033</v>
      </c>
      <c r="O1103" t="s">
        <v>3034</v>
      </c>
      <c r="P1103" t="s">
        <v>26</v>
      </c>
      <c r="Q1103">
        <v>262.60108153078204</v>
      </c>
      <c r="R1103">
        <f ca="1">YEAR(TODAY())-Table1[[#This Row],[Year Built]]</f>
        <v>71</v>
      </c>
      <c r="S1103" t="str">
        <f>IF(Table1[[#This Row],[Days on Market]] &lt; 30,"Fast",IF(Table1[[#This Row],[Days on Market]]&lt;= 90,"Average", "Slow"))</f>
        <v>Slow</v>
      </c>
      <c r="T1103" t="str">
        <f>IF(Table1[[#This Row],[Price2]]&lt;500000,"Affordable",IF(Table1[[#This Row],[Price2]]&lt;1000000,"Mid range","Luxury"))</f>
        <v>Mid range</v>
      </c>
    </row>
    <row r="1104" spans="1:20" x14ac:dyDescent="0.35">
      <c r="A1104" s="3">
        <v>631500</v>
      </c>
      <c r="B1104" s="2" t="s">
        <v>27</v>
      </c>
      <c r="C1104">
        <v>53697</v>
      </c>
      <c r="D1104" s="2" t="s">
        <v>18</v>
      </c>
      <c r="E1104">
        <v>2</v>
      </c>
      <c r="F1104">
        <v>3</v>
      </c>
      <c r="G1104" s="4">
        <f>VALUE(SUBSTITUTE(SUBSTITUTE(Table1[[#This Row],[Price]],"$",""),",",""))</f>
        <v>631500</v>
      </c>
      <c r="H1104" s="1">
        <f>Table1[[#This Row],[Price2]]/Table1[[#This Row],[Area]]</f>
        <v>171.97712418300654</v>
      </c>
      <c r="I1104">
        <v>3672</v>
      </c>
      <c r="J1104">
        <v>1951</v>
      </c>
      <c r="K1104">
        <v>86</v>
      </c>
      <c r="L1104" t="s">
        <v>19</v>
      </c>
      <c r="M1104" t="s">
        <v>2390</v>
      </c>
      <c r="N1104" s="2" t="s">
        <v>3027</v>
      </c>
      <c r="O1104" t="s">
        <v>3028</v>
      </c>
      <c r="P1104" t="s">
        <v>26</v>
      </c>
      <c r="Q1104">
        <v>171.97712418300654</v>
      </c>
      <c r="R1104">
        <f ca="1">YEAR(TODAY())-Table1[[#This Row],[Year Built]]</f>
        <v>75</v>
      </c>
      <c r="S1104" t="str">
        <f>IF(Table1[[#This Row],[Days on Market]] &lt; 30,"Fast",IF(Table1[[#This Row],[Days on Market]]&lt;= 90,"Average", "Slow"))</f>
        <v>Average</v>
      </c>
      <c r="T1104" t="str">
        <f>IF(Table1[[#This Row],[Price2]]&lt;500000,"Affordable",IF(Table1[[#This Row],[Price2]]&lt;1000000,"Mid range","Luxury"))</f>
        <v>Mid range</v>
      </c>
    </row>
    <row r="1105" spans="1:20" x14ac:dyDescent="0.35">
      <c r="A1105" s="3">
        <v>631826</v>
      </c>
      <c r="B1105" s="2" t="s">
        <v>12</v>
      </c>
      <c r="C1105">
        <v>15937</v>
      </c>
      <c r="D1105" s="2" t="s">
        <v>35</v>
      </c>
      <c r="E1105">
        <v>5</v>
      </c>
      <c r="F1105">
        <v>2</v>
      </c>
      <c r="G1105" s="4">
        <f>VALUE(SUBSTITUTE(SUBSTITUTE(Table1[[#This Row],[Price]],"$",""),",",""))</f>
        <v>631826</v>
      </c>
      <c r="H1105" s="1">
        <f>Table1[[#This Row],[Price2]]/Table1[[#This Row],[Area]]</f>
        <v>540.94691780821915</v>
      </c>
      <c r="I1105">
        <v>1168</v>
      </c>
      <c r="J1105">
        <v>1952</v>
      </c>
      <c r="K1105">
        <v>36</v>
      </c>
      <c r="L1105" t="s">
        <v>40</v>
      </c>
      <c r="M1105" t="s">
        <v>2517</v>
      </c>
      <c r="N1105" s="2" t="s">
        <v>3027</v>
      </c>
      <c r="O1105" t="s">
        <v>3028</v>
      </c>
      <c r="P1105" t="s">
        <v>26</v>
      </c>
      <c r="Q1105">
        <v>540.94691780821915</v>
      </c>
      <c r="R1105">
        <f ca="1">YEAR(TODAY())-Table1[[#This Row],[Year Built]]</f>
        <v>74</v>
      </c>
      <c r="S1105" t="str">
        <f>IF(Table1[[#This Row],[Days on Market]] &lt; 30,"Fast",IF(Table1[[#This Row],[Days on Market]]&lt;= 90,"Average", "Slow"))</f>
        <v>Average</v>
      </c>
      <c r="T1105" t="str">
        <f>IF(Table1[[#This Row],[Price2]]&lt;500000,"Affordable",IF(Table1[[#This Row],[Price2]]&lt;1000000,"Mid range","Luxury"))</f>
        <v>Mid range</v>
      </c>
    </row>
    <row r="1106" spans="1:20" x14ac:dyDescent="0.35">
      <c r="A1106" s="3">
        <v>632033</v>
      </c>
      <c r="B1106" s="2" t="s">
        <v>27</v>
      </c>
      <c r="C1106">
        <v>19052</v>
      </c>
      <c r="D1106" s="2" t="s">
        <v>18</v>
      </c>
      <c r="E1106">
        <v>4</v>
      </c>
      <c r="F1106">
        <v>2</v>
      </c>
      <c r="G1106" s="4">
        <f>VALUE(SUBSTITUTE(SUBSTITUTE(Table1[[#This Row],[Price]],"$",""),",",""))</f>
        <v>632033</v>
      </c>
      <c r="H1106" s="1">
        <f>Table1[[#This Row],[Price2]]/Table1[[#This Row],[Area]]</f>
        <v>260.73968646864688</v>
      </c>
      <c r="I1106">
        <v>2424</v>
      </c>
      <c r="J1106">
        <v>1964</v>
      </c>
      <c r="K1106">
        <v>97</v>
      </c>
      <c r="L1106" t="s">
        <v>40</v>
      </c>
      <c r="M1106" t="s">
        <v>213</v>
      </c>
      <c r="N1106" s="2" t="s">
        <v>3033</v>
      </c>
      <c r="O1106" t="s">
        <v>3034</v>
      </c>
      <c r="P1106" t="s">
        <v>16</v>
      </c>
      <c r="Q1106">
        <v>260.73968646864688</v>
      </c>
      <c r="R1106">
        <f ca="1">YEAR(TODAY())-Table1[[#This Row],[Year Built]]</f>
        <v>62</v>
      </c>
      <c r="S1106" t="str">
        <f>IF(Table1[[#This Row],[Days on Market]] &lt; 30,"Fast",IF(Table1[[#This Row],[Days on Market]]&lt;= 90,"Average", "Slow"))</f>
        <v>Slow</v>
      </c>
      <c r="T1106" t="str">
        <f>IF(Table1[[#This Row],[Price2]]&lt;500000,"Affordable",IF(Table1[[#This Row],[Price2]]&lt;1000000,"Mid range","Luxury"))</f>
        <v>Mid range</v>
      </c>
    </row>
    <row r="1107" spans="1:20" x14ac:dyDescent="0.35">
      <c r="A1107" s="3">
        <v>632140</v>
      </c>
      <c r="B1107" s="2" t="s">
        <v>17</v>
      </c>
      <c r="C1107">
        <v>16558</v>
      </c>
      <c r="D1107" s="2" t="s">
        <v>29</v>
      </c>
      <c r="E1107">
        <v>1</v>
      </c>
      <c r="F1107">
        <v>4</v>
      </c>
      <c r="G1107" s="4">
        <f>VALUE(SUBSTITUTE(SUBSTITUTE(Table1[[#This Row],[Price]],"$",""),",",""))</f>
        <v>632140</v>
      </c>
      <c r="H1107" s="1">
        <f>Table1[[#This Row],[Price2]]/Table1[[#This Row],[Area]]</f>
        <v>163.59730848861284</v>
      </c>
      <c r="I1107">
        <v>3864</v>
      </c>
      <c r="J1107">
        <v>2007</v>
      </c>
      <c r="K1107">
        <v>96</v>
      </c>
      <c r="L1107" t="s">
        <v>30</v>
      </c>
      <c r="M1107" t="s">
        <v>1819</v>
      </c>
      <c r="N1107" s="2" t="s">
        <v>3035</v>
      </c>
      <c r="O1107" t="s">
        <v>3036</v>
      </c>
      <c r="P1107" t="s">
        <v>26</v>
      </c>
      <c r="Q1107">
        <v>163.59730848861284</v>
      </c>
      <c r="R1107">
        <f ca="1">YEAR(TODAY())-Table1[[#This Row],[Year Built]]</f>
        <v>19</v>
      </c>
      <c r="S1107" t="str">
        <f>IF(Table1[[#This Row],[Days on Market]] &lt; 30,"Fast",IF(Table1[[#This Row],[Days on Market]]&lt;= 90,"Average", "Slow"))</f>
        <v>Slow</v>
      </c>
      <c r="T1107" t="str">
        <f>IF(Table1[[#This Row],[Price2]]&lt;500000,"Affordable",IF(Table1[[#This Row],[Price2]]&lt;1000000,"Mid range","Luxury"))</f>
        <v>Mid range</v>
      </c>
    </row>
    <row r="1108" spans="1:20" x14ac:dyDescent="0.35">
      <c r="A1108" s="3">
        <v>632379</v>
      </c>
      <c r="B1108" s="2" t="s">
        <v>27</v>
      </c>
      <c r="C1108">
        <v>38144</v>
      </c>
      <c r="D1108" s="2" t="s">
        <v>35</v>
      </c>
      <c r="E1108">
        <v>1</v>
      </c>
      <c r="F1108">
        <v>1</v>
      </c>
      <c r="G1108" s="4">
        <f>VALUE(SUBSTITUTE(SUBSTITUTE(Table1[[#This Row],[Price]],"$",""),",",""))</f>
        <v>632379</v>
      </c>
      <c r="H1108" s="1">
        <f>Table1[[#This Row],[Price2]]/Table1[[#This Row],[Area]]</f>
        <v>517.49509001636659</v>
      </c>
      <c r="I1108">
        <v>1222</v>
      </c>
      <c r="J1108">
        <v>2004</v>
      </c>
      <c r="K1108">
        <v>39</v>
      </c>
      <c r="L1108" t="s">
        <v>52</v>
      </c>
      <c r="M1108" t="s">
        <v>2472</v>
      </c>
      <c r="N1108" s="2" t="s">
        <v>3027</v>
      </c>
      <c r="O1108" t="s">
        <v>3028</v>
      </c>
      <c r="P1108" t="s">
        <v>21</v>
      </c>
      <c r="Q1108">
        <v>517.49509001636659</v>
      </c>
      <c r="R1108">
        <f ca="1">YEAR(TODAY())-Table1[[#This Row],[Year Built]]</f>
        <v>22</v>
      </c>
      <c r="S1108" t="str">
        <f>IF(Table1[[#This Row],[Days on Market]] &lt; 30,"Fast",IF(Table1[[#This Row],[Days on Market]]&lt;= 90,"Average", "Slow"))</f>
        <v>Average</v>
      </c>
      <c r="T1108" t="str">
        <f>IF(Table1[[#This Row],[Price2]]&lt;500000,"Affordable",IF(Table1[[#This Row],[Price2]]&lt;1000000,"Mid range","Luxury"))</f>
        <v>Mid range</v>
      </c>
    </row>
    <row r="1109" spans="1:20" x14ac:dyDescent="0.35">
      <c r="A1109" s="3">
        <v>632396</v>
      </c>
      <c r="B1109" s="2" t="s">
        <v>27</v>
      </c>
      <c r="C1109">
        <v>41767</v>
      </c>
      <c r="D1109" s="2" t="s">
        <v>35</v>
      </c>
      <c r="E1109">
        <v>5</v>
      </c>
      <c r="F1109">
        <v>1</v>
      </c>
      <c r="G1109" s="4">
        <f>VALUE(SUBSTITUTE(SUBSTITUTE(Table1[[#This Row],[Price]],"$",""),",",""))</f>
        <v>632396</v>
      </c>
      <c r="H1109" s="1">
        <f>Table1[[#This Row],[Price2]]/Table1[[#This Row],[Area]]</f>
        <v>254.07633587786259</v>
      </c>
      <c r="I1109">
        <v>2489</v>
      </c>
      <c r="J1109">
        <v>1960</v>
      </c>
      <c r="K1109">
        <v>19</v>
      </c>
      <c r="L1109" t="s">
        <v>19</v>
      </c>
      <c r="M1109" t="s">
        <v>2537</v>
      </c>
      <c r="N1109" s="2" t="s">
        <v>3029</v>
      </c>
      <c r="O1109" t="s">
        <v>3030</v>
      </c>
      <c r="P1109" t="s">
        <v>21</v>
      </c>
      <c r="Q1109">
        <v>254.07633587786259</v>
      </c>
      <c r="R1109">
        <f ca="1">YEAR(TODAY())-Table1[[#This Row],[Year Built]]</f>
        <v>66</v>
      </c>
      <c r="S1109" t="str">
        <f>IF(Table1[[#This Row],[Days on Market]] &lt; 30,"Fast",IF(Table1[[#This Row],[Days on Market]]&lt;= 90,"Average", "Slow"))</f>
        <v>Fast</v>
      </c>
      <c r="T1109" t="str">
        <f>IF(Table1[[#This Row],[Price2]]&lt;500000,"Affordable",IF(Table1[[#This Row],[Price2]]&lt;1000000,"Mid range","Luxury"))</f>
        <v>Mid range</v>
      </c>
    </row>
    <row r="1110" spans="1:20" x14ac:dyDescent="0.35">
      <c r="A1110" s="3">
        <v>632651</v>
      </c>
      <c r="B1110" s="2" t="s">
        <v>22</v>
      </c>
      <c r="C1110">
        <v>39844</v>
      </c>
      <c r="D1110" s="2" t="s">
        <v>35</v>
      </c>
      <c r="E1110">
        <v>2</v>
      </c>
      <c r="F1110">
        <v>4</v>
      </c>
      <c r="G1110" s="4">
        <f>VALUE(SUBSTITUTE(SUBSTITUTE(Table1[[#This Row],[Price]],"$",""),",",""))</f>
        <v>632651</v>
      </c>
      <c r="H1110" s="1">
        <f>Table1[[#This Row],[Price2]]/Table1[[#This Row],[Area]]</f>
        <v>591.81571562207671</v>
      </c>
      <c r="I1110">
        <v>1069</v>
      </c>
      <c r="J1110">
        <v>2004</v>
      </c>
      <c r="K1110">
        <v>98</v>
      </c>
      <c r="L1110" t="s">
        <v>19</v>
      </c>
      <c r="M1110" t="s">
        <v>937</v>
      </c>
      <c r="N1110" s="2" t="s">
        <v>3035</v>
      </c>
      <c r="O1110" t="s">
        <v>3036</v>
      </c>
      <c r="P1110" t="s">
        <v>26</v>
      </c>
      <c r="Q1110">
        <v>591.81571562207671</v>
      </c>
      <c r="R1110">
        <f ca="1">YEAR(TODAY())-Table1[[#This Row],[Year Built]]</f>
        <v>22</v>
      </c>
      <c r="S1110" t="str">
        <f>IF(Table1[[#This Row],[Days on Market]] &lt; 30,"Fast",IF(Table1[[#This Row],[Days on Market]]&lt;= 90,"Average", "Slow"))</f>
        <v>Slow</v>
      </c>
      <c r="T1110" t="str">
        <f>IF(Table1[[#This Row],[Price2]]&lt;500000,"Affordable",IF(Table1[[#This Row],[Price2]]&lt;1000000,"Mid range","Luxury"))</f>
        <v>Mid range</v>
      </c>
    </row>
    <row r="1111" spans="1:20" x14ac:dyDescent="0.35">
      <c r="A1111" s="3">
        <v>633814</v>
      </c>
      <c r="B1111" s="2" t="s">
        <v>34</v>
      </c>
      <c r="C1111">
        <v>63394</v>
      </c>
      <c r="D1111" s="2" t="s">
        <v>23</v>
      </c>
      <c r="E1111">
        <v>5</v>
      </c>
      <c r="F1111">
        <v>1</v>
      </c>
      <c r="G1111" s="4">
        <f>VALUE(SUBSTITUTE(SUBSTITUTE(Table1[[#This Row],[Price]],"$",""),",",""))</f>
        <v>633814</v>
      </c>
      <c r="H1111" s="1">
        <f>Table1[[#This Row],[Price2]]/Table1[[#This Row],[Area]]</f>
        <v>317.06553276638317</v>
      </c>
      <c r="I1111">
        <v>1999</v>
      </c>
      <c r="J1111">
        <v>1991</v>
      </c>
      <c r="K1111">
        <v>36</v>
      </c>
      <c r="L1111" t="s">
        <v>52</v>
      </c>
      <c r="M1111" t="s">
        <v>1824</v>
      </c>
      <c r="N1111" s="2" t="s">
        <v>3033</v>
      </c>
      <c r="O1111" t="s">
        <v>3034</v>
      </c>
      <c r="P1111" t="s">
        <v>21</v>
      </c>
      <c r="Q1111">
        <v>317.06553276638317</v>
      </c>
      <c r="R1111">
        <f ca="1">YEAR(TODAY())-Table1[[#This Row],[Year Built]]</f>
        <v>35</v>
      </c>
      <c r="S1111" t="str">
        <f>IF(Table1[[#This Row],[Days on Market]] &lt; 30,"Fast",IF(Table1[[#This Row],[Days on Market]]&lt;= 90,"Average", "Slow"))</f>
        <v>Average</v>
      </c>
      <c r="T1111" t="str">
        <f>IF(Table1[[#This Row],[Price2]]&lt;500000,"Affordable",IF(Table1[[#This Row],[Price2]]&lt;1000000,"Mid range","Luxury"))</f>
        <v>Mid range</v>
      </c>
    </row>
    <row r="1112" spans="1:20" x14ac:dyDescent="0.35">
      <c r="A1112" s="3">
        <v>633891</v>
      </c>
      <c r="B1112" s="2" t="s">
        <v>34</v>
      </c>
      <c r="C1112">
        <v>21343</v>
      </c>
      <c r="D1112" s="2" t="s">
        <v>29</v>
      </c>
      <c r="E1112">
        <v>4</v>
      </c>
      <c r="F1112">
        <v>4</v>
      </c>
      <c r="G1112" s="4">
        <f>VALUE(SUBSTITUTE(SUBSTITUTE(Table1[[#This Row],[Price]],"$",""),",",""))</f>
        <v>633891</v>
      </c>
      <c r="H1112" s="1">
        <f>Table1[[#This Row],[Price2]]/Table1[[#This Row],[Area]]</f>
        <v>182.10025854639471</v>
      </c>
      <c r="I1112">
        <v>3481</v>
      </c>
      <c r="J1112">
        <v>1967</v>
      </c>
      <c r="K1112">
        <v>14</v>
      </c>
      <c r="L1112" t="s">
        <v>14</v>
      </c>
      <c r="M1112" t="s">
        <v>193</v>
      </c>
      <c r="N1112" s="2" t="s">
        <v>3027</v>
      </c>
      <c r="O1112" t="s">
        <v>3028</v>
      </c>
      <c r="P1112" t="s">
        <v>21</v>
      </c>
      <c r="Q1112">
        <v>182.10025854639471</v>
      </c>
      <c r="R1112">
        <f ca="1">YEAR(TODAY())-Table1[[#This Row],[Year Built]]</f>
        <v>59</v>
      </c>
      <c r="S1112" t="str">
        <f>IF(Table1[[#This Row],[Days on Market]] &lt; 30,"Fast",IF(Table1[[#This Row],[Days on Market]]&lt;= 90,"Average", "Slow"))</f>
        <v>Fast</v>
      </c>
      <c r="T1112" t="str">
        <f>IF(Table1[[#This Row],[Price2]]&lt;500000,"Affordable",IF(Table1[[#This Row],[Price2]]&lt;1000000,"Mid range","Luxury"))</f>
        <v>Mid range</v>
      </c>
    </row>
    <row r="1113" spans="1:20" x14ac:dyDescent="0.35">
      <c r="A1113" s="3">
        <v>634220</v>
      </c>
      <c r="B1113" s="2" t="s">
        <v>17</v>
      </c>
      <c r="C1113">
        <v>84456</v>
      </c>
      <c r="D1113" s="2" t="s">
        <v>29</v>
      </c>
      <c r="E1113">
        <v>3</v>
      </c>
      <c r="F1113">
        <v>3</v>
      </c>
      <c r="G1113" s="4">
        <f>VALUE(SUBSTITUTE(SUBSTITUTE(Table1[[#This Row],[Price]],"$",""),",",""))</f>
        <v>634220</v>
      </c>
      <c r="H1113" s="1">
        <f>Table1[[#This Row],[Price2]]/Table1[[#This Row],[Area]]</f>
        <v>209.10649521925487</v>
      </c>
      <c r="I1113">
        <v>3033</v>
      </c>
      <c r="J1113">
        <v>1964</v>
      </c>
      <c r="K1113">
        <v>80</v>
      </c>
      <c r="L1113" t="s">
        <v>52</v>
      </c>
      <c r="M1113" t="s">
        <v>1381</v>
      </c>
      <c r="N1113" s="2" t="s">
        <v>3029</v>
      </c>
      <c r="O1113" t="s">
        <v>3030</v>
      </c>
      <c r="P1113" t="s">
        <v>16</v>
      </c>
      <c r="Q1113">
        <v>209.10649521925487</v>
      </c>
      <c r="R1113">
        <f ca="1">YEAR(TODAY())-Table1[[#This Row],[Year Built]]</f>
        <v>62</v>
      </c>
      <c r="S1113" t="str">
        <f>IF(Table1[[#This Row],[Days on Market]] &lt; 30,"Fast",IF(Table1[[#This Row],[Days on Market]]&lt;= 90,"Average", "Slow"))</f>
        <v>Average</v>
      </c>
      <c r="T1113" t="str">
        <f>IF(Table1[[#This Row],[Price2]]&lt;500000,"Affordable",IF(Table1[[#This Row],[Price2]]&lt;1000000,"Mid range","Luxury"))</f>
        <v>Mid range</v>
      </c>
    </row>
    <row r="1114" spans="1:20" x14ac:dyDescent="0.35">
      <c r="A1114" s="3">
        <v>634518</v>
      </c>
      <c r="B1114" s="2" t="s">
        <v>12</v>
      </c>
      <c r="C1114">
        <v>18795</v>
      </c>
      <c r="D1114" s="2" t="s">
        <v>13</v>
      </c>
      <c r="E1114">
        <v>2</v>
      </c>
      <c r="F1114">
        <v>1</v>
      </c>
      <c r="G1114" s="4">
        <f>VALUE(SUBSTITUTE(SUBSTITUTE(Table1[[#This Row],[Price]],"$",""),",",""))</f>
        <v>634518</v>
      </c>
      <c r="H1114" s="1">
        <f>Table1[[#This Row],[Price2]]/Table1[[#This Row],[Area]]</f>
        <v>1021.768115942029</v>
      </c>
      <c r="I1114">
        <v>621</v>
      </c>
      <c r="J1114">
        <v>2022</v>
      </c>
      <c r="K1114">
        <v>6</v>
      </c>
      <c r="L1114" t="s">
        <v>30</v>
      </c>
      <c r="M1114" t="s">
        <v>1788</v>
      </c>
      <c r="N1114" s="2" t="s">
        <v>3035</v>
      </c>
      <c r="O1114" t="s">
        <v>3036</v>
      </c>
      <c r="P1114" t="s">
        <v>16</v>
      </c>
      <c r="Q1114">
        <v>1021.768115942029</v>
      </c>
      <c r="R1114">
        <f ca="1">YEAR(TODAY())-Table1[[#This Row],[Year Built]]</f>
        <v>4</v>
      </c>
      <c r="S1114" t="str">
        <f>IF(Table1[[#This Row],[Days on Market]] &lt; 30,"Fast",IF(Table1[[#This Row],[Days on Market]]&lt;= 90,"Average", "Slow"))</f>
        <v>Fast</v>
      </c>
      <c r="T1114" t="str">
        <f>IF(Table1[[#This Row],[Price2]]&lt;500000,"Affordable",IF(Table1[[#This Row],[Price2]]&lt;1000000,"Mid range","Luxury"))</f>
        <v>Mid range</v>
      </c>
    </row>
    <row r="1115" spans="1:20" x14ac:dyDescent="0.35">
      <c r="A1115" s="3">
        <v>634856</v>
      </c>
      <c r="B1115" s="2" t="s">
        <v>22</v>
      </c>
      <c r="C1115">
        <v>88286</v>
      </c>
      <c r="D1115" s="2" t="s">
        <v>13</v>
      </c>
      <c r="E1115">
        <v>4</v>
      </c>
      <c r="F1115">
        <v>4</v>
      </c>
      <c r="G1115" s="4">
        <f>VALUE(SUBSTITUTE(SUBSTITUTE(Table1[[#This Row],[Price]],"$",""),",",""))</f>
        <v>634856</v>
      </c>
      <c r="H1115" s="1">
        <f>Table1[[#This Row],[Price2]]/Table1[[#This Row],[Area]]</f>
        <v>604.0494766888678</v>
      </c>
      <c r="I1115">
        <v>1051</v>
      </c>
      <c r="J1115">
        <v>2011</v>
      </c>
      <c r="K1115">
        <v>62</v>
      </c>
      <c r="L1115" t="s">
        <v>14</v>
      </c>
      <c r="M1115" t="s">
        <v>1481</v>
      </c>
      <c r="N1115" s="2" t="s">
        <v>3029</v>
      </c>
      <c r="O1115" t="s">
        <v>3030</v>
      </c>
      <c r="P1115" t="s">
        <v>26</v>
      </c>
      <c r="Q1115">
        <v>604.0494766888678</v>
      </c>
      <c r="R1115">
        <f ca="1">YEAR(TODAY())-Table1[[#This Row],[Year Built]]</f>
        <v>15</v>
      </c>
      <c r="S1115" t="str">
        <f>IF(Table1[[#This Row],[Days on Market]] &lt; 30,"Fast",IF(Table1[[#This Row],[Days on Market]]&lt;= 90,"Average", "Slow"))</f>
        <v>Average</v>
      </c>
      <c r="T1115" t="str">
        <f>IF(Table1[[#This Row],[Price2]]&lt;500000,"Affordable",IF(Table1[[#This Row],[Price2]]&lt;1000000,"Mid range","Luxury"))</f>
        <v>Mid range</v>
      </c>
    </row>
    <row r="1116" spans="1:20" x14ac:dyDescent="0.35">
      <c r="A1116" s="3">
        <v>634979</v>
      </c>
      <c r="B1116" s="2" t="s">
        <v>34</v>
      </c>
      <c r="C1116">
        <v>29514</v>
      </c>
      <c r="D1116" s="2" t="s">
        <v>18</v>
      </c>
      <c r="E1116">
        <v>6</v>
      </c>
      <c r="F1116">
        <v>1</v>
      </c>
      <c r="G1116" s="4">
        <f>VALUE(SUBSTITUTE(SUBSTITUTE(Table1[[#This Row],[Price]],"$",""),",",""))</f>
        <v>634979</v>
      </c>
      <c r="H1116" s="1">
        <f>Table1[[#This Row],[Price2]]/Table1[[#This Row],[Area]]</f>
        <v>264.68486869528971</v>
      </c>
      <c r="I1116">
        <v>2399</v>
      </c>
      <c r="J1116">
        <v>2002</v>
      </c>
      <c r="K1116">
        <v>31</v>
      </c>
      <c r="L1116" t="s">
        <v>30</v>
      </c>
      <c r="M1116" t="s">
        <v>2035</v>
      </c>
      <c r="N1116" s="2" t="s">
        <v>3031</v>
      </c>
      <c r="O1116" t="s">
        <v>3032</v>
      </c>
      <c r="P1116" t="s">
        <v>16</v>
      </c>
      <c r="Q1116">
        <v>264.68486869528971</v>
      </c>
      <c r="R1116">
        <f ca="1">YEAR(TODAY())-Table1[[#This Row],[Year Built]]</f>
        <v>24</v>
      </c>
      <c r="S1116" t="str">
        <f>IF(Table1[[#This Row],[Days on Market]] &lt; 30,"Fast",IF(Table1[[#This Row],[Days on Market]]&lt;= 90,"Average", "Slow"))</f>
        <v>Average</v>
      </c>
      <c r="T1116" t="str">
        <f>IF(Table1[[#This Row],[Price2]]&lt;500000,"Affordable",IF(Table1[[#This Row],[Price2]]&lt;1000000,"Mid range","Luxury"))</f>
        <v>Mid range</v>
      </c>
    </row>
    <row r="1117" spans="1:20" x14ac:dyDescent="0.35">
      <c r="A1117" s="3">
        <v>635048</v>
      </c>
      <c r="B1117" s="2" t="s">
        <v>34</v>
      </c>
      <c r="C1117">
        <v>87325</v>
      </c>
      <c r="D1117" s="2" t="s">
        <v>13</v>
      </c>
      <c r="E1117">
        <v>2</v>
      </c>
      <c r="F1117">
        <v>4</v>
      </c>
      <c r="G1117" s="4">
        <f>VALUE(SUBSTITUTE(SUBSTITUTE(Table1[[#This Row],[Price]],"$",""),",",""))</f>
        <v>635048</v>
      </c>
      <c r="H1117" s="1">
        <f>Table1[[#This Row],[Price2]]/Table1[[#This Row],[Area]]</f>
        <v>175.08905431486076</v>
      </c>
      <c r="I1117">
        <v>3627</v>
      </c>
      <c r="J1117">
        <v>1953</v>
      </c>
      <c r="K1117">
        <v>85</v>
      </c>
      <c r="L1117" t="s">
        <v>40</v>
      </c>
      <c r="M1117" t="s">
        <v>1231</v>
      </c>
      <c r="N1117" s="2" t="s">
        <v>3031</v>
      </c>
      <c r="O1117" t="s">
        <v>3032</v>
      </c>
      <c r="P1117" t="s">
        <v>26</v>
      </c>
      <c r="Q1117">
        <v>175.08905431486076</v>
      </c>
      <c r="R1117">
        <f ca="1">YEAR(TODAY())-Table1[[#This Row],[Year Built]]</f>
        <v>73</v>
      </c>
      <c r="S1117" t="str">
        <f>IF(Table1[[#This Row],[Days on Market]] &lt; 30,"Fast",IF(Table1[[#This Row],[Days on Market]]&lt;= 90,"Average", "Slow"))</f>
        <v>Average</v>
      </c>
      <c r="T1117" t="str">
        <f>IF(Table1[[#This Row],[Price2]]&lt;500000,"Affordable",IF(Table1[[#This Row],[Price2]]&lt;1000000,"Mid range","Luxury"))</f>
        <v>Mid range</v>
      </c>
    </row>
    <row r="1118" spans="1:20" x14ac:dyDescent="0.35">
      <c r="A1118" s="3">
        <v>635574</v>
      </c>
      <c r="B1118" s="2" t="s">
        <v>17</v>
      </c>
      <c r="C1118">
        <v>65770</v>
      </c>
      <c r="D1118" s="2" t="s">
        <v>13</v>
      </c>
      <c r="E1118">
        <v>4</v>
      </c>
      <c r="F1118">
        <v>4</v>
      </c>
      <c r="G1118" s="4">
        <f>VALUE(SUBSTITUTE(SUBSTITUTE(Table1[[#This Row],[Price]],"$",""),",",""))</f>
        <v>635574</v>
      </c>
      <c r="H1118" s="1">
        <f>Table1[[#This Row],[Price2]]/Table1[[#This Row],[Area]]</f>
        <v>185.35258092738408</v>
      </c>
      <c r="I1118">
        <v>3429</v>
      </c>
      <c r="J1118">
        <v>2023</v>
      </c>
      <c r="K1118">
        <v>51</v>
      </c>
      <c r="L1118" t="s">
        <v>30</v>
      </c>
      <c r="M1118" t="s">
        <v>3001</v>
      </c>
      <c r="N1118" s="2" t="s">
        <v>3027</v>
      </c>
      <c r="O1118" t="s">
        <v>3028</v>
      </c>
      <c r="P1118" t="s">
        <v>16</v>
      </c>
      <c r="Q1118">
        <v>185.35258092738408</v>
      </c>
      <c r="R1118">
        <f ca="1">YEAR(TODAY())-Table1[[#This Row],[Year Built]]</f>
        <v>3</v>
      </c>
      <c r="S1118" t="str">
        <f>IF(Table1[[#This Row],[Days on Market]] &lt; 30,"Fast",IF(Table1[[#This Row],[Days on Market]]&lt;= 90,"Average", "Slow"))</f>
        <v>Average</v>
      </c>
      <c r="T1118" t="str">
        <f>IF(Table1[[#This Row],[Price2]]&lt;500000,"Affordable",IF(Table1[[#This Row],[Price2]]&lt;1000000,"Mid range","Luxury"))</f>
        <v>Mid range</v>
      </c>
    </row>
    <row r="1119" spans="1:20" x14ac:dyDescent="0.35">
      <c r="A1119" s="3">
        <v>635830</v>
      </c>
      <c r="B1119" s="2" t="s">
        <v>17</v>
      </c>
      <c r="C1119">
        <v>63899</v>
      </c>
      <c r="D1119" s="2" t="s">
        <v>13</v>
      </c>
      <c r="E1119">
        <v>4</v>
      </c>
      <c r="F1119">
        <v>1</v>
      </c>
      <c r="G1119" s="4">
        <f>VALUE(SUBSTITUTE(SUBSTITUTE(Table1[[#This Row],[Price]],"$",""),",",""))</f>
        <v>635830</v>
      </c>
      <c r="H1119" s="1">
        <f>Table1[[#This Row],[Price2]]/Table1[[#This Row],[Area]]</f>
        <v>428.45687331536391</v>
      </c>
      <c r="I1119">
        <v>1484</v>
      </c>
      <c r="J1119">
        <v>1950</v>
      </c>
      <c r="K1119">
        <v>73</v>
      </c>
      <c r="L1119" t="s">
        <v>52</v>
      </c>
      <c r="M1119" t="s">
        <v>2211</v>
      </c>
      <c r="N1119" s="2" t="s">
        <v>3033</v>
      </c>
      <c r="O1119" t="s">
        <v>3034</v>
      </c>
      <c r="P1119" t="s">
        <v>21</v>
      </c>
      <c r="Q1119">
        <v>428.45687331536391</v>
      </c>
      <c r="R1119">
        <f ca="1">YEAR(TODAY())-Table1[[#This Row],[Year Built]]</f>
        <v>76</v>
      </c>
      <c r="S1119" t="str">
        <f>IF(Table1[[#This Row],[Days on Market]] &lt; 30,"Fast",IF(Table1[[#This Row],[Days on Market]]&lt;= 90,"Average", "Slow"))</f>
        <v>Average</v>
      </c>
      <c r="T1119" t="str">
        <f>IF(Table1[[#This Row],[Price2]]&lt;500000,"Affordable",IF(Table1[[#This Row],[Price2]]&lt;1000000,"Mid range","Luxury"))</f>
        <v>Mid range</v>
      </c>
    </row>
    <row r="1120" spans="1:20" x14ac:dyDescent="0.35">
      <c r="A1120" s="3">
        <v>636359</v>
      </c>
      <c r="B1120" s="2" t="s">
        <v>22</v>
      </c>
      <c r="C1120">
        <v>60698</v>
      </c>
      <c r="D1120" s="2" t="s">
        <v>18</v>
      </c>
      <c r="E1120">
        <v>3</v>
      </c>
      <c r="F1120">
        <v>4</v>
      </c>
      <c r="G1120" s="4">
        <f>VALUE(SUBSTITUTE(SUBSTITUTE(Table1[[#This Row],[Price]],"$",""),",",""))</f>
        <v>636359</v>
      </c>
      <c r="H1120" s="1">
        <f>Table1[[#This Row],[Price2]]/Table1[[#This Row],[Area]]</f>
        <v>382.88748495788207</v>
      </c>
      <c r="I1120">
        <v>1662</v>
      </c>
      <c r="J1120">
        <v>1975</v>
      </c>
      <c r="K1120">
        <v>79</v>
      </c>
      <c r="L1120" t="s">
        <v>40</v>
      </c>
      <c r="M1120" t="s">
        <v>2760</v>
      </c>
      <c r="N1120" s="2" t="s">
        <v>3029</v>
      </c>
      <c r="O1120" t="s">
        <v>3030</v>
      </c>
      <c r="P1120" t="s">
        <v>21</v>
      </c>
      <c r="Q1120">
        <v>382.88748495788207</v>
      </c>
      <c r="R1120">
        <f ca="1">YEAR(TODAY())-Table1[[#This Row],[Year Built]]</f>
        <v>51</v>
      </c>
      <c r="S1120" t="str">
        <f>IF(Table1[[#This Row],[Days on Market]] &lt; 30,"Fast",IF(Table1[[#This Row],[Days on Market]]&lt;= 90,"Average", "Slow"))</f>
        <v>Average</v>
      </c>
      <c r="T1120" t="str">
        <f>IF(Table1[[#This Row],[Price2]]&lt;500000,"Affordable",IF(Table1[[#This Row],[Price2]]&lt;1000000,"Mid range","Luxury"))</f>
        <v>Mid range</v>
      </c>
    </row>
    <row r="1121" spans="1:20" x14ac:dyDescent="0.35">
      <c r="A1121" s="3">
        <v>636492</v>
      </c>
      <c r="B1121" s="2" t="s">
        <v>22</v>
      </c>
      <c r="C1121">
        <v>29497</v>
      </c>
      <c r="D1121" s="2" t="s">
        <v>18</v>
      </c>
      <c r="E1121">
        <v>4</v>
      </c>
      <c r="F1121">
        <v>2</v>
      </c>
      <c r="G1121" s="4">
        <f>VALUE(SUBSTITUTE(SUBSTITUTE(Table1[[#This Row],[Price]],"$",""),",",""))</f>
        <v>636492</v>
      </c>
      <c r="H1121" s="1">
        <f>Table1[[#This Row],[Price2]]/Table1[[#This Row],[Area]]</f>
        <v>286.57901846015307</v>
      </c>
      <c r="I1121">
        <v>2221</v>
      </c>
      <c r="J1121">
        <v>1980</v>
      </c>
      <c r="K1121">
        <v>98</v>
      </c>
      <c r="L1121" t="s">
        <v>30</v>
      </c>
      <c r="M1121" t="s">
        <v>1960</v>
      </c>
      <c r="N1121" s="2" t="s">
        <v>3027</v>
      </c>
      <c r="O1121" t="s">
        <v>3028</v>
      </c>
      <c r="P1121" t="s">
        <v>16</v>
      </c>
      <c r="Q1121">
        <v>286.57901846015307</v>
      </c>
      <c r="R1121">
        <f ca="1">YEAR(TODAY())-Table1[[#This Row],[Year Built]]</f>
        <v>46</v>
      </c>
      <c r="S1121" t="str">
        <f>IF(Table1[[#This Row],[Days on Market]] &lt; 30,"Fast",IF(Table1[[#This Row],[Days on Market]]&lt;= 90,"Average", "Slow"))</f>
        <v>Slow</v>
      </c>
      <c r="T1121" t="str">
        <f>IF(Table1[[#This Row],[Price2]]&lt;500000,"Affordable",IF(Table1[[#This Row],[Price2]]&lt;1000000,"Mid range","Luxury"))</f>
        <v>Mid range</v>
      </c>
    </row>
    <row r="1122" spans="1:20" x14ac:dyDescent="0.35">
      <c r="A1122" s="3">
        <v>637069</v>
      </c>
      <c r="B1122" s="2" t="s">
        <v>34</v>
      </c>
      <c r="C1122">
        <v>69412</v>
      </c>
      <c r="D1122" s="2" t="s">
        <v>13</v>
      </c>
      <c r="E1122">
        <v>2</v>
      </c>
      <c r="F1122">
        <v>2</v>
      </c>
      <c r="G1122" s="4">
        <f>VALUE(SUBSTITUTE(SUBSTITUTE(Table1[[#This Row],[Price]],"$",""),",",""))</f>
        <v>637069</v>
      </c>
      <c r="H1122" s="1">
        <f>Table1[[#This Row],[Price2]]/Table1[[#This Row],[Area]]</f>
        <v>463.66011644832605</v>
      </c>
      <c r="I1122">
        <v>1374</v>
      </c>
      <c r="J1122">
        <v>1995</v>
      </c>
      <c r="K1122">
        <v>120</v>
      </c>
      <c r="L1122" t="s">
        <v>30</v>
      </c>
      <c r="M1122" t="s">
        <v>1568</v>
      </c>
      <c r="N1122" s="2" t="s">
        <v>3035</v>
      </c>
      <c r="O1122" t="s">
        <v>3036</v>
      </c>
      <c r="P1122" t="s">
        <v>16</v>
      </c>
      <c r="Q1122">
        <v>463.66011644832605</v>
      </c>
      <c r="R1122">
        <f ca="1">YEAR(TODAY())-Table1[[#This Row],[Year Built]]</f>
        <v>31</v>
      </c>
      <c r="S1122" t="str">
        <f>IF(Table1[[#This Row],[Days on Market]] &lt; 30,"Fast",IF(Table1[[#This Row],[Days on Market]]&lt;= 90,"Average", "Slow"))</f>
        <v>Slow</v>
      </c>
      <c r="T1122" t="str">
        <f>IF(Table1[[#This Row],[Price2]]&lt;500000,"Affordable",IF(Table1[[#This Row],[Price2]]&lt;1000000,"Mid range","Luxury"))</f>
        <v>Mid range</v>
      </c>
    </row>
    <row r="1123" spans="1:20" x14ac:dyDescent="0.35">
      <c r="A1123" s="3">
        <v>637526</v>
      </c>
      <c r="B1123" s="2" t="s">
        <v>27</v>
      </c>
      <c r="C1123">
        <v>43647</v>
      </c>
      <c r="D1123" s="2" t="s">
        <v>23</v>
      </c>
      <c r="E1123">
        <v>3</v>
      </c>
      <c r="F1123">
        <v>1</v>
      </c>
      <c r="G1123" s="4">
        <f>VALUE(SUBSTITUTE(SUBSTITUTE(Table1[[#This Row],[Price]],"$",""),",",""))</f>
        <v>637526</v>
      </c>
      <c r="H1123" s="1">
        <f>Table1[[#This Row],[Price2]]/Table1[[#This Row],[Area]]</f>
        <v>197.49876084262701</v>
      </c>
      <c r="I1123">
        <v>3228</v>
      </c>
      <c r="J1123">
        <v>1954</v>
      </c>
      <c r="K1123">
        <v>96</v>
      </c>
      <c r="L1123" t="s">
        <v>40</v>
      </c>
      <c r="M1123" t="s">
        <v>2323</v>
      </c>
      <c r="N1123" s="2" t="s">
        <v>3031</v>
      </c>
      <c r="O1123" t="s">
        <v>3032</v>
      </c>
      <c r="P1123" t="s">
        <v>26</v>
      </c>
      <c r="Q1123">
        <v>197.49876084262701</v>
      </c>
      <c r="R1123">
        <f ca="1">YEAR(TODAY())-Table1[[#This Row],[Year Built]]</f>
        <v>72</v>
      </c>
      <c r="S1123" t="str">
        <f>IF(Table1[[#This Row],[Days on Market]] &lt; 30,"Fast",IF(Table1[[#This Row],[Days on Market]]&lt;= 90,"Average", "Slow"))</f>
        <v>Slow</v>
      </c>
      <c r="T1123" t="str">
        <f>IF(Table1[[#This Row],[Price2]]&lt;500000,"Affordable",IF(Table1[[#This Row],[Price2]]&lt;1000000,"Mid range","Luxury"))</f>
        <v>Mid range</v>
      </c>
    </row>
    <row r="1124" spans="1:20" x14ac:dyDescent="0.35">
      <c r="A1124" s="3">
        <v>638010</v>
      </c>
      <c r="B1124" s="2" t="s">
        <v>22</v>
      </c>
      <c r="C1124">
        <v>93308</v>
      </c>
      <c r="D1124" s="2" t="s">
        <v>29</v>
      </c>
      <c r="E1124">
        <v>5</v>
      </c>
      <c r="F1124">
        <v>2</v>
      </c>
      <c r="G1124" s="4">
        <f>VALUE(SUBSTITUTE(SUBSTITUTE(Table1[[#This Row],[Price]],"$",""),",",""))</f>
        <v>638010</v>
      </c>
      <c r="H1124" s="1">
        <f>Table1[[#This Row],[Price2]]/Table1[[#This Row],[Area]]</f>
        <v>389.26784624771204</v>
      </c>
      <c r="I1124">
        <v>1639</v>
      </c>
      <c r="J1124">
        <v>1954</v>
      </c>
      <c r="K1124">
        <v>68</v>
      </c>
      <c r="L1124" t="s">
        <v>19</v>
      </c>
      <c r="M1124" t="s">
        <v>701</v>
      </c>
      <c r="N1124" s="2" t="s">
        <v>3027</v>
      </c>
      <c r="O1124" t="s">
        <v>3028</v>
      </c>
      <c r="P1124" t="s">
        <v>21</v>
      </c>
      <c r="Q1124">
        <v>389.26784624771204</v>
      </c>
      <c r="R1124">
        <f ca="1">YEAR(TODAY())-Table1[[#This Row],[Year Built]]</f>
        <v>72</v>
      </c>
      <c r="S1124" t="str">
        <f>IF(Table1[[#This Row],[Days on Market]] &lt; 30,"Fast",IF(Table1[[#This Row],[Days on Market]]&lt;= 90,"Average", "Slow"))</f>
        <v>Average</v>
      </c>
      <c r="T1124" t="str">
        <f>IF(Table1[[#This Row],[Price2]]&lt;500000,"Affordable",IF(Table1[[#This Row],[Price2]]&lt;1000000,"Mid range","Luxury"))</f>
        <v>Mid range</v>
      </c>
    </row>
    <row r="1125" spans="1:20" x14ac:dyDescent="0.35">
      <c r="A1125" s="3">
        <v>638912</v>
      </c>
      <c r="B1125" s="2" t="s">
        <v>27</v>
      </c>
      <c r="C1125">
        <v>42734</v>
      </c>
      <c r="D1125" s="2" t="s">
        <v>35</v>
      </c>
      <c r="E1125">
        <v>1</v>
      </c>
      <c r="F1125">
        <v>1</v>
      </c>
      <c r="G1125" s="4">
        <f>VALUE(SUBSTITUTE(SUBSTITUTE(Table1[[#This Row],[Price]],"$",""),",",""))</f>
        <v>638912</v>
      </c>
      <c r="H1125" s="1">
        <f>Table1[[#This Row],[Price2]]/Table1[[#This Row],[Area]]</f>
        <v>331.04248704663212</v>
      </c>
      <c r="I1125">
        <v>1930</v>
      </c>
      <c r="J1125">
        <v>1993</v>
      </c>
      <c r="K1125">
        <v>74</v>
      </c>
      <c r="L1125" t="s">
        <v>40</v>
      </c>
      <c r="M1125" t="s">
        <v>2408</v>
      </c>
      <c r="N1125" s="2" t="s">
        <v>3027</v>
      </c>
      <c r="O1125" t="s">
        <v>3028</v>
      </c>
      <c r="P1125" t="s">
        <v>26</v>
      </c>
      <c r="Q1125">
        <v>331.04248704663212</v>
      </c>
      <c r="R1125">
        <f ca="1">YEAR(TODAY())-Table1[[#This Row],[Year Built]]</f>
        <v>33</v>
      </c>
      <c r="S1125" t="str">
        <f>IF(Table1[[#This Row],[Days on Market]] &lt; 30,"Fast",IF(Table1[[#This Row],[Days on Market]]&lt;= 90,"Average", "Slow"))</f>
        <v>Average</v>
      </c>
      <c r="T1125" t="str">
        <f>IF(Table1[[#This Row],[Price2]]&lt;500000,"Affordable",IF(Table1[[#This Row],[Price2]]&lt;1000000,"Mid range","Luxury"))</f>
        <v>Mid range</v>
      </c>
    </row>
    <row r="1126" spans="1:20" x14ac:dyDescent="0.35">
      <c r="A1126" s="3">
        <v>639426</v>
      </c>
      <c r="B1126" s="2" t="s">
        <v>22</v>
      </c>
      <c r="C1126">
        <v>75868</v>
      </c>
      <c r="D1126" s="2" t="s">
        <v>13</v>
      </c>
      <c r="E1126">
        <v>3</v>
      </c>
      <c r="F1126">
        <v>1</v>
      </c>
      <c r="G1126" s="4">
        <f>VALUE(SUBSTITUTE(SUBSTITUTE(Table1[[#This Row],[Price]],"$",""),",",""))</f>
        <v>639426</v>
      </c>
      <c r="H1126" s="1">
        <f>Table1[[#This Row],[Price2]]/Table1[[#This Row],[Area]]</f>
        <v>256.18028846153845</v>
      </c>
      <c r="I1126">
        <v>2496</v>
      </c>
      <c r="J1126">
        <v>2007</v>
      </c>
      <c r="K1126">
        <v>71</v>
      </c>
      <c r="L1126" t="s">
        <v>19</v>
      </c>
      <c r="M1126" t="s">
        <v>2192</v>
      </c>
      <c r="N1126" s="2" t="s">
        <v>3035</v>
      </c>
      <c r="O1126" t="s">
        <v>3036</v>
      </c>
      <c r="P1126" t="s">
        <v>21</v>
      </c>
      <c r="Q1126">
        <v>256.18028846153845</v>
      </c>
      <c r="R1126">
        <f ca="1">YEAR(TODAY())-Table1[[#This Row],[Year Built]]</f>
        <v>19</v>
      </c>
      <c r="S1126" t="str">
        <f>IF(Table1[[#This Row],[Days on Market]] &lt; 30,"Fast",IF(Table1[[#This Row],[Days on Market]]&lt;= 90,"Average", "Slow"))</f>
        <v>Average</v>
      </c>
      <c r="T1126" t="str">
        <f>IF(Table1[[#This Row],[Price2]]&lt;500000,"Affordable",IF(Table1[[#This Row],[Price2]]&lt;1000000,"Mid range","Luxury"))</f>
        <v>Mid range</v>
      </c>
    </row>
    <row r="1127" spans="1:20" x14ac:dyDescent="0.35">
      <c r="A1127" s="3">
        <v>640552</v>
      </c>
      <c r="B1127" s="2" t="s">
        <v>12</v>
      </c>
      <c r="C1127">
        <v>54247</v>
      </c>
      <c r="D1127" s="2" t="s">
        <v>23</v>
      </c>
      <c r="E1127">
        <v>1</v>
      </c>
      <c r="F1127">
        <v>3</v>
      </c>
      <c r="G1127" s="4">
        <f>VALUE(SUBSTITUTE(SUBSTITUTE(Table1[[#This Row],[Price]],"$",""),",",""))</f>
        <v>640552</v>
      </c>
      <c r="H1127" s="1">
        <f>Table1[[#This Row],[Price2]]/Table1[[#This Row],[Area]]</f>
        <v>226.34346289752651</v>
      </c>
      <c r="I1127">
        <v>2830</v>
      </c>
      <c r="J1127">
        <v>1986</v>
      </c>
      <c r="K1127">
        <v>63</v>
      </c>
      <c r="L1127" t="s">
        <v>30</v>
      </c>
      <c r="M1127" t="s">
        <v>1201</v>
      </c>
      <c r="N1127" s="2" t="s">
        <v>3035</v>
      </c>
      <c r="O1127" t="s">
        <v>3036</v>
      </c>
      <c r="P1127" t="s">
        <v>21</v>
      </c>
      <c r="Q1127">
        <v>226.34346289752651</v>
      </c>
      <c r="R1127">
        <f ca="1">YEAR(TODAY())-Table1[[#This Row],[Year Built]]</f>
        <v>40</v>
      </c>
      <c r="S1127" t="str">
        <f>IF(Table1[[#This Row],[Days on Market]] &lt; 30,"Fast",IF(Table1[[#This Row],[Days on Market]]&lt;= 90,"Average", "Slow"))</f>
        <v>Average</v>
      </c>
      <c r="T1127" t="str">
        <f>IF(Table1[[#This Row],[Price2]]&lt;500000,"Affordable",IF(Table1[[#This Row],[Price2]]&lt;1000000,"Mid range","Luxury"))</f>
        <v>Mid range</v>
      </c>
    </row>
    <row r="1128" spans="1:20" x14ac:dyDescent="0.35">
      <c r="A1128" s="3">
        <v>640648</v>
      </c>
      <c r="B1128" s="2" t="s">
        <v>12</v>
      </c>
      <c r="C1128">
        <v>51904</v>
      </c>
      <c r="D1128" s="2" t="s">
        <v>13</v>
      </c>
      <c r="E1128">
        <v>1</v>
      </c>
      <c r="F1128">
        <v>4</v>
      </c>
      <c r="G1128" s="4">
        <f>VALUE(SUBSTITUTE(SUBSTITUTE(Table1[[#This Row],[Price]],"$",""),",",""))</f>
        <v>640648</v>
      </c>
      <c r="H1128" s="1">
        <f>Table1[[#This Row],[Price2]]/Table1[[#This Row],[Area]]</f>
        <v>177.80960310852069</v>
      </c>
      <c r="I1128">
        <v>3603</v>
      </c>
      <c r="J1128">
        <v>2008</v>
      </c>
      <c r="K1128">
        <v>7</v>
      </c>
      <c r="L1128" t="s">
        <v>52</v>
      </c>
      <c r="M1128" t="s">
        <v>2578</v>
      </c>
      <c r="N1128" s="2" t="s">
        <v>3035</v>
      </c>
      <c r="O1128" t="s">
        <v>3036</v>
      </c>
      <c r="P1128" t="s">
        <v>26</v>
      </c>
      <c r="Q1128">
        <v>177.80960310852069</v>
      </c>
      <c r="R1128">
        <f ca="1">YEAR(TODAY())-Table1[[#This Row],[Year Built]]</f>
        <v>18</v>
      </c>
      <c r="S1128" t="str">
        <f>IF(Table1[[#This Row],[Days on Market]] &lt; 30,"Fast",IF(Table1[[#This Row],[Days on Market]]&lt;= 90,"Average", "Slow"))</f>
        <v>Fast</v>
      </c>
      <c r="T1128" t="str">
        <f>IF(Table1[[#This Row],[Price2]]&lt;500000,"Affordable",IF(Table1[[#This Row],[Price2]]&lt;1000000,"Mid range","Luxury"))</f>
        <v>Mid range</v>
      </c>
    </row>
    <row r="1129" spans="1:20" x14ac:dyDescent="0.35">
      <c r="A1129" s="3">
        <v>641930</v>
      </c>
      <c r="B1129" s="2" t="s">
        <v>27</v>
      </c>
      <c r="C1129">
        <v>38615</v>
      </c>
      <c r="D1129" s="2" t="s">
        <v>29</v>
      </c>
      <c r="E1129">
        <v>6</v>
      </c>
      <c r="F1129">
        <v>3</v>
      </c>
      <c r="G1129" s="4">
        <f>VALUE(SUBSTITUTE(SUBSTITUTE(Table1[[#This Row],[Price]],"$",""),",",""))</f>
        <v>641930</v>
      </c>
      <c r="H1129" s="1">
        <f>Table1[[#This Row],[Price2]]/Table1[[#This Row],[Area]]</f>
        <v>231.40951694304255</v>
      </c>
      <c r="I1129">
        <v>2774</v>
      </c>
      <c r="J1129">
        <v>1996</v>
      </c>
      <c r="K1129">
        <v>93</v>
      </c>
      <c r="L1129" t="s">
        <v>14</v>
      </c>
      <c r="M1129" t="s">
        <v>2721</v>
      </c>
      <c r="N1129" s="2" t="s">
        <v>3029</v>
      </c>
      <c r="O1129" t="s">
        <v>3030</v>
      </c>
      <c r="P1129" t="s">
        <v>16</v>
      </c>
      <c r="Q1129">
        <v>231.40951694304255</v>
      </c>
      <c r="R1129">
        <f ca="1">YEAR(TODAY())-Table1[[#This Row],[Year Built]]</f>
        <v>30</v>
      </c>
      <c r="S1129" t="str">
        <f>IF(Table1[[#This Row],[Days on Market]] &lt; 30,"Fast",IF(Table1[[#This Row],[Days on Market]]&lt;= 90,"Average", "Slow"))</f>
        <v>Slow</v>
      </c>
      <c r="T1129" t="str">
        <f>IF(Table1[[#This Row],[Price2]]&lt;500000,"Affordable",IF(Table1[[#This Row],[Price2]]&lt;1000000,"Mid range","Luxury"))</f>
        <v>Mid range</v>
      </c>
    </row>
    <row r="1130" spans="1:20" x14ac:dyDescent="0.35">
      <c r="A1130" s="3">
        <v>642419</v>
      </c>
      <c r="B1130" s="2" t="s">
        <v>34</v>
      </c>
      <c r="C1130">
        <v>69662</v>
      </c>
      <c r="D1130" s="2" t="s">
        <v>29</v>
      </c>
      <c r="E1130">
        <v>4</v>
      </c>
      <c r="F1130">
        <v>2</v>
      </c>
      <c r="G1130" s="4">
        <f>VALUE(SUBSTITUTE(SUBSTITUTE(Table1[[#This Row],[Price]],"$",""),",",""))</f>
        <v>642419</v>
      </c>
      <c r="H1130" s="1">
        <f>Table1[[#This Row],[Price2]]/Table1[[#This Row],[Area]]</f>
        <v>546.73957446808515</v>
      </c>
      <c r="I1130">
        <v>1175</v>
      </c>
      <c r="J1130">
        <v>1985</v>
      </c>
      <c r="K1130">
        <v>48</v>
      </c>
      <c r="L1130" t="s">
        <v>52</v>
      </c>
      <c r="M1130" t="s">
        <v>733</v>
      </c>
      <c r="N1130" s="2" t="s">
        <v>3035</v>
      </c>
      <c r="O1130" t="s">
        <v>3036</v>
      </c>
      <c r="P1130" t="s">
        <v>21</v>
      </c>
      <c r="Q1130">
        <v>546.73957446808515</v>
      </c>
      <c r="R1130">
        <f ca="1">YEAR(TODAY())-Table1[[#This Row],[Year Built]]</f>
        <v>41</v>
      </c>
      <c r="S1130" t="str">
        <f>IF(Table1[[#This Row],[Days on Market]] &lt; 30,"Fast",IF(Table1[[#This Row],[Days on Market]]&lt;= 90,"Average", "Slow"))</f>
        <v>Average</v>
      </c>
      <c r="T1130" t="str">
        <f>IF(Table1[[#This Row],[Price2]]&lt;500000,"Affordable",IF(Table1[[#This Row],[Price2]]&lt;1000000,"Mid range","Luxury"))</f>
        <v>Mid range</v>
      </c>
    </row>
    <row r="1131" spans="1:20" x14ac:dyDescent="0.35">
      <c r="A1131" s="3">
        <v>643087</v>
      </c>
      <c r="B1131" s="2" t="s">
        <v>17</v>
      </c>
      <c r="C1131">
        <v>58387</v>
      </c>
      <c r="D1131" s="2" t="s">
        <v>35</v>
      </c>
      <c r="E1131">
        <v>6</v>
      </c>
      <c r="F1131">
        <v>1</v>
      </c>
      <c r="G1131" s="4">
        <f>VALUE(SUBSTITUTE(SUBSTITUTE(Table1[[#This Row],[Price]],"$",""),",",""))</f>
        <v>643087</v>
      </c>
      <c r="H1131" s="1">
        <f>Table1[[#This Row],[Price2]]/Table1[[#This Row],[Area]]</f>
        <v>326.10902636916836</v>
      </c>
      <c r="I1131">
        <v>1972</v>
      </c>
      <c r="J1131">
        <v>1963</v>
      </c>
      <c r="K1131">
        <v>110</v>
      </c>
      <c r="L1131" t="s">
        <v>52</v>
      </c>
      <c r="M1131" t="s">
        <v>1187</v>
      </c>
      <c r="N1131" s="2" t="s">
        <v>3031</v>
      </c>
      <c r="O1131" t="s">
        <v>3032</v>
      </c>
      <c r="P1131" t="s">
        <v>21</v>
      </c>
      <c r="Q1131">
        <v>326.10902636916836</v>
      </c>
      <c r="R1131">
        <f ca="1">YEAR(TODAY())-Table1[[#This Row],[Year Built]]</f>
        <v>63</v>
      </c>
      <c r="S1131" t="str">
        <f>IF(Table1[[#This Row],[Days on Market]] &lt; 30,"Fast",IF(Table1[[#This Row],[Days on Market]]&lt;= 90,"Average", "Slow"))</f>
        <v>Slow</v>
      </c>
      <c r="T1131" t="str">
        <f>IF(Table1[[#This Row],[Price2]]&lt;500000,"Affordable",IF(Table1[[#This Row],[Price2]]&lt;1000000,"Mid range","Luxury"))</f>
        <v>Mid range</v>
      </c>
    </row>
    <row r="1132" spans="1:20" x14ac:dyDescent="0.35">
      <c r="A1132" s="3">
        <v>643235</v>
      </c>
      <c r="B1132" s="2" t="s">
        <v>34</v>
      </c>
      <c r="C1132">
        <v>66268</v>
      </c>
      <c r="D1132" s="2" t="s">
        <v>29</v>
      </c>
      <c r="E1132">
        <v>3</v>
      </c>
      <c r="F1132">
        <v>4</v>
      </c>
      <c r="G1132" s="4">
        <f>VALUE(SUBSTITUTE(SUBSTITUTE(Table1[[#This Row],[Price]],"$",""),",",""))</f>
        <v>643235</v>
      </c>
      <c r="H1132" s="1">
        <f>Table1[[#This Row],[Price2]]/Table1[[#This Row],[Area]]</f>
        <v>367.56285714285713</v>
      </c>
      <c r="I1132">
        <v>1750</v>
      </c>
      <c r="J1132">
        <v>2012</v>
      </c>
      <c r="K1132">
        <v>41</v>
      </c>
      <c r="L1132" t="s">
        <v>19</v>
      </c>
      <c r="M1132" t="s">
        <v>2253</v>
      </c>
      <c r="N1132" s="2" t="s">
        <v>3029</v>
      </c>
      <c r="O1132" t="s">
        <v>3030</v>
      </c>
      <c r="P1132" t="s">
        <v>26</v>
      </c>
      <c r="Q1132">
        <v>367.56285714285713</v>
      </c>
      <c r="R1132">
        <f ca="1">YEAR(TODAY())-Table1[[#This Row],[Year Built]]</f>
        <v>14</v>
      </c>
      <c r="S1132" t="str">
        <f>IF(Table1[[#This Row],[Days on Market]] &lt; 30,"Fast",IF(Table1[[#This Row],[Days on Market]]&lt;= 90,"Average", "Slow"))</f>
        <v>Average</v>
      </c>
      <c r="T1132" t="str">
        <f>IF(Table1[[#This Row],[Price2]]&lt;500000,"Affordable",IF(Table1[[#This Row],[Price2]]&lt;1000000,"Mid range","Luxury"))</f>
        <v>Mid range</v>
      </c>
    </row>
    <row r="1133" spans="1:20" x14ac:dyDescent="0.35">
      <c r="A1133" s="3">
        <v>643240</v>
      </c>
      <c r="B1133" s="2" t="s">
        <v>12</v>
      </c>
      <c r="C1133">
        <v>31755</v>
      </c>
      <c r="D1133" s="2" t="s">
        <v>23</v>
      </c>
      <c r="E1133">
        <v>3</v>
      </c>
      <c r="F1133">
        <v>1</v>
      </c>
      <c r="G1133" s="4">
        <f>VALUE(SUBSTITUTE(SUBSTITUTE(Table1[[#This Row],[Price]],"$",""),",",""))</f>
        <v>643240</v>
      </c>
      <c r="H1133" s="1">
        <f>Table1[[#This Row],[Price2]]/Table1[[#This Row],[Area]]</f>
        <v>178.28159645232816</v>
      </c>
      <c r="I1133">
        <v>3608</v>
      </c>
      <c r="J1133">
        <v>1959</v>
      </c>
      <c r="K1133">
        <v>56</v>
      </c>
      <c r="L1133" t="s">
        <v>40</v>
      </c>
      <c r="M1133" t="s">
        <v>3012</v>
      </c>
      <c r="N1133" s="2" t="s">
        <v>3035</v>
      </c>
      <c r="O1133" t="s">
        <v>3036</v>
      </c>
      <c r="P1133" t="s">
        <v>21</v>
      </c>
      <c r="Q1133">
        <v>178.28159645232816</v>
      </c>
      <c r="R1133">
        <f ca="1">YEAR(TODAY())-Table1[[#This Row],[Year Built]]</f>
        <v>67</v>
      </c>
      <c r="S1133" t="str">
        <f>IF(Table1[[#This Row],[Days on Market]] &lt; 30,"Fast",IF(Table1[[#This Row],[Days on Market]]&lt;= 90,"Average", "Slow"))</f>
        <v>Average</v>
      </c>
      <c r="T1133" t="str">
        <f>IF(Table1[[#This Row],[Price2]]&lt;500000,"Affordable",IF(Table1[[#This Row],[Price2]]&lt;1000000,"Mid range","Luxury"))</f>
        <v>Mid range</v>
      </c>
    </row>
    <row r="1134" spans="1:20" x14ac:dyDescent="0.35">
      <c r="A1134" s="3">
        <v>643639</v>
      </c>
      <c r="B1134" s="2" t="s">
        <v>34</v>
      </c>
      <c r="C1134">
        <v>80401</v>
      </c>
      <c r="D1134" s="2" t="s">
        <v>29</v>
      </c>
      <c r="E1134">
        <v>4</v>
      </c>
      <c r="F1134">
        <v>1</v>
      </c>
      <c r="G1134" s="4">
        <f>VALUE(SUBSTITUTE(SUBSTITUTE(Table1[[#This Row],[Price]],"$",""),",",""))</f>
        <v>643639</v>
      </c>
      <c r="H1134" s="1">
        <f>Table1[[#This Row],[Price2]]/Table1[[#This Row],[Area]]</f>
        <v>334.35792207792207</v>
      </c>
      <c r="I1134">
        <v>1925</v>
      </c>
      <c r="J1134">
        <v>2010</v>
      </c>
      <c r="K1134">
        <v>111</v>
      </c>
      <c r="L1134" t="s">
        <v>19</v>
      </c>
      <c r="M1134" t="s">
        <v>1407</v>
      </c>
      <c r="N1134" s="2" t="s">
        <v>3031</v>
      </c>
      <c r="O1134" t="s">
        <v>3032</v>
      </c>
      <c r="P1134" t="s">
        <v>26</v>
      </c>
      <c r="Q1134">
        <v>334.35792207792207</v>
      </c>
      <c r="R1134">
        <f ca="1">YEAR(TODAY())-Table1[[#This Row],[Year Built]]</f>
        <v>16</v>
      </c>
      <c r="S1134" t="str">
        <f>IF(Table1[[#This Row],[Days on Market]] &lt; 30,"Fast",IF(Table1[[#This Row],[Days on Market]]&lt;= 90,"Average", "Slow"))</f>
        <v>Slow</v>
      </c>
      <c r="T1134" t="str">
        <f>IF(Table1[[#This Row],[Price2]]&lt;500000,"Affordable",IF(Table1[[#This Row],[Price2]]&lt;1000000,"Mid range","Luxury"))</f>
        <v>Mid range</v>
      </c>
    </row>
    <row r="1135" spans="1:20" x14ac:dyDescent="0.35">
      <c r="A1135" s="3">
        <v>643713</v>
      </c>
      <c r="B1135" s="2" t="s">
        <v>27</v>
      </c>
      <c r="C1135">
        <v>34706</v>
      </c>
      <c r="D1135" s="2" t="s">
        <v>13</v>
      </c>
      <c r="E1135">
        <v>3</v>
      </c>
      <c r="F1135">
        <v>4</v>
      </c>
      <c r="G1135" s="4">
        <f>VALUE(SUBSTITUTE(SUBSTITUTE(Table1[[#This Row],[Price]],"$",""),",",""))</f>
        <v>643713</v>
      </c>
      <c r="H1135" s="1">
        <f>Table1[[#This Row],[Price2]]/Table1[[#This Row],[Area]]</f>
        <v>988.80645161290317</v>
      </c>
      <c r="I1135">
        <v>651</v>
      </c>
      <c r="J1135">
        <v>1999</v>
      </c>
      <c r="K1135">
        <v>18</v>
      </c>
      <c r="L1135" t="s">
        <v>40</v>
      </c>
      <c r="M1135" t="s">
        <v>2204</v>
      </c>
      <c r="N1135" s="2" t="s">
        <v>3031</v>
      </c>
      <c r="O1135" t="s">
        <v>3032</v>
      </c>
      <c r="P1135" t="s">
        <v>21</v>
      </c>
      <c r="Q1135">
        <v>988.80645161290317</v>
      </c>
      <c r="R1135">
        <f ca="1">YEAR(TODAY())-Table1[[#This Row],[Year Built]]</f>
        <v>27</v>
      </c>
      <c r="S1135" t="str">
        <f>IF(Table1[[#This Row],[Days on Market]] &lt; 30,"Fast",IF(Table1[[#This Row],[Days on Market]]&lt;= 90,"Average", "Slow"))</f>
        <v>Fast</v>
      </c>
      <c r="T1135" t="str">
        <f>IF(Table1[[#This Row],[Price2]]&lt;500000,"Affordable",IF(Table1[[#This Row],[Price2]]&lt;1000000,"Mid range","Luxury"))</f>
        <v>Mid range</v>
      </c>
    </row>
    <row r="1136" spans="1:20" x14ac:dyDescent="0.35">
      <c r="A1136" s="3">
        <v>644055</v>
      </c>
      <c r="B1136" s="2" t="s">
        <v>17</v>
      </c>
      <c r="C1136">
        <v>36556</v>
      </c>
      <c r="D1136" s="2" t="s">
        <v>29</v>
      </c>
      <c r="E1136">
        <v>1</v>
      </c>
      <c r="F1136">
        <v>3</v>
      </c>
      <c r="G1136" s="4">
        <f>VALUE(SUBSTITUTE(SUBSTITUTE(Table1[[#This Row],[Price]],"$",""),",",""))</f>
        <v>644055</v>
      </c>
      <c r="H1136" s="1">
        <f>Table1[[#This Row],[Price2]]/Table1[[#This Row],[Area]]</f>
        <v>216.70760430686406</v>
      </c>
      <c r="I1136">
        <v>2972</v>
      </c>
      <c r="J1136">
        <v>1955</v>
      </c>
      <c r="K1136">
        <v>81</v>
      </c>
      <c r="L1136" t="s">
        <v>14</v>
      </c>
      <c r="M1136" t="s">
        <v>175</v>
      </c>
      <c r="N1136" s="2" t="s">
        <v>3033</v>
      </c>
      <c r="O1136" t="s">
        <v>3034</v>
      </c>
      <c r="P1136" t="s">
        <v>21</v>
      </c>
      <c r="Q1136">
        <v>216.70760430686406</v>
      </c>
      <c r="R1136">
        <f ca="1">YEAR(TODAY())-Table1[[#This Row],[Year Built]]</f>
        <v>71</v>
      </c>
      <c r="S1136" t="str">
        <f>IF(Table1[[#This Row],[Days on Market]] &lt; 30,"Fast",IF(Table1[[#This Row],[Days on Market]]&lt;= 90,"Average", "Slow"))</f>
        <v>Average</v>
      </c>
      <c r="T1136" t="str">
        <f>IF(Table1[[#This Row],[Price2]]&lt;500000,"Affordable",IF(Table1[[#This Row],[Price2]]&lt;1000000,"Mid range","Luxury"))</f>
        <v>Mid range</v>
      </c>
    </row>
    <row r="1137" spans="1:20" x14ac:dyDescent="0.35">
      <c r="A1137" s="3">
        <v>644764</v>
      </c>
      <c r="B1137" s="2" t="s">
        <v>17</v>
      </c>
      <c r="C1137">
        <v>91504</v>
      </c>
      <c r="D1137" s="2" t="s">
        <v>23</v>
      </c>
      <c r="E1137">
        <v>3</v>
      </c>
      <c r="F1137">
        <v>3</v>
      </c>
      <c r="G1137" s="4">
        <f>VALUE(SUBSTITUTE(SUBSTITUTE(Table1[[#This Row],[Price]],"$",""),",",""))</f>
        <v>644764</v>
      </c>
      <c r="H1137" s="1">
        <f>Table1[[#This Row],[Price2]]/Table1[[#This Row],[Area]]</f>
        <v>291.35291459557163</v>
      </c>
      <c r="I1137">
        <v>2213</v>
      </c>
      <c r="J1137">
        <v>1964</v>
      </c>
      <c r="K1137">
        <v>32</v>
      </c>
      <c r="L1137" t="s">
        <v>40</v>
      </c>
      <c r="M1137" t="s">
        <v>417</v>
      </c>
      <c r="N1137" s="2" t="s">
        <v>3029</v>
      </c>
      <c r="O1137" t="s">
        <v>3030</v>
      </c>
      <c r="P1137" t="s">
        <v>26</v>
      </c>
      <c r="Q1137">
        <v>291.35291459557163</v>
      </c>
      <c r="R1137">
        <f ca="1">YEAR(TODAY())-Table1[[#This Row],[Year Built]]</f>
        <v>62</v>
      </c>
      <c r="S1137" t="str">
        <f>IF(Table1[[#This Row],[Days on Market]] &lt; 30,"Fast",IF(Table1[[#This Row],[Days on Market]]&lt;= 90,"Average", "Slow"))</f>
        <v>Average</v>
      </c>
      <c r="T1137" t="str">
        <f>IF(Table1[[#This Row],[Price2]]&lt;500000,"Affordable",IF(Table1[[#This Row],[Price2]]&lt;1000000,"Mid range","Luxury"))</f>
        <v>Mid range</v>
      </c>
    </row>
    <row r="1138" spans="1:20" x14ac:dyDescent="0.35">
      <c r="A1138" s="3">
        <v>645454</v>
      </c>
      <c r="B1138" s="2" t="s">
        <v>17</v>
      </c>
      <c r="C1138">
        <v>30310</v>
      </c>
      <c r="D1138" s="2" t="s">
        <v>18</v>
      </c>
      <c r="E1138">
        <v>4</v>
      </c>
      <c r="F1138">
        <v>3</v>
      </c>
      <c r="G1138" s="4">
        <f>VALUE(SUBSTITUTE(SUBSTITUTE(Table1[[#This Row],[Price]],"$",""),",",""))</f>
        <v>645454</v>
      </c>
      <c r="H1138" s="1">
        <f>Table1[[#This Row],[Price2]]/Table1[[#This Row],[Area]]</f>
        <v>307.21275583055689</v>
      </c>
      <c r="I1138">
        <v>2101</v>
      </c>
      <c r="J1138">
        <v>1975</v>
      </c>
      <c r="K1138">
        <v>87</v>
      </c>
      <c r="L1138" t="s">
        <v>52</v>
      </c>
      <c r="M1138" t="s">
        <v>727</v>
      </c>
      <c r="N1138" s="2" t="s">
        <v>3029</v>
      </c>
      <c r="O1138" t="s">
        <v>3030</v>
      </c>
      <c r="P1138" t="s">
        <v>16</v>
      </c>
      <c r="Q1138">
        <v>307.21275583055689</v>
      </c>
      <c r="R1138">
        <f ca="1">YEAR(TODAY())-Table1[[#This Row],[Year Built]]</f>
        <v>51</v>
      </c>
      <c r="S1138" t="str">
        <f>IF(Table1[[#This Row],[Days on Market]] &lt; 30,"Fast",IF(Table1[[#This Row],[Days on Market]]&lt;= 90,"Average", "Slow"))</f>
        <v>Average</v>
      </c>
      <c r="T1138" t="str">
        <f>IF(Table1[[#This Row],[Price2]]&lt;500000,"Affordable",IF(Table1[[#This Row],[Price2]]&lt;1000000,"Mid range","Luxury"))</f>
        <v>Mid range</v>
      </c>
    </row>
    <row r="1139" spans="1:20" x14ac:dyDescent="0.35">
      <c r="A1139" s="3">
        <v>645850</v>
      </c>
      <c r="B1139" s="2" t="s">
        <v>34</v>
      </c>
      <c r="C1139">
        <v>50263</v>
      </c>
      <c r="D1139" s="2" t="s">
        <v>13</v>
      </c>
      <c r="E1139">
        <v>4</v>
      </c>
      <c r="F1139">
        <v>2</v>
      </c>
      <c r="G1139" s="4">
        <f>VALUE(SUBSTITUTE(SUBSTITUTE(Table1[[#This Row],[Price]],"$",""),",",""))</f>
        <v>645850</v>
      </c>
      <c r="H1139" s="1">
        <f>Table1[[#This Row],[Price2]]/Table1[[#This Row],[Area]]</f>
        <v>635.67913385826773</v>
      </c>
      <c r="I1139">
        <v>1016</v>
      </c>
      <c r="J1139">
        <v>1981</v>
      </c>
      <c r="K1139">
        <v>72</v>
      </c>
      <c r="L1139" t="s">
        <v>19</v>
      </c>
      <c r="M1139" t="s">
        <v>2495</v>
      </c>
      <c r="N1139" s="2" t="s">
        <v>3027</v>
      </c>
      <c r="O1139" t="s">
        <v>3028</v>
      </c>
      <c r="P1139" t="s">
        <v>16</v>
      </c>
      <c r="Q1139">
        <v>635.67913385826773</v>
      </c>
      <c r="R1139">
        <f ca="1">YEAR(TODAY())-Table1[[#This Row],[Year Built]]</f>
        <v>45</v>
      </c>
      <c r="S1139" t="str">
        <f>IF(Table1[[#This Row],[Days on Market]] &lt; 30,"Fast",IF(Table1[[#This Row],[Days on Market]]&lt;= 90,"Average", "Slow"))</f>
        <v>Average</v>
      </c>
      <c r="T1139" t="str">
        <f>IF(Table1[[#This Row],[Price2]]&lt;500000,"Affordable",IF(Table1[[#This Row],[Price2]]&lt;1000000,"Mid range","Luxury"))</f>
        <v>Mid range</v>
      </c>
    </row>
    <row r="1140" spans="1:20" x14ac:dyDescent="0.35">
      <c r="A1140" s="3">
        <v>645962</v>
      </c>
      <c r="B1140" s="2" t="s">
        <v>27</v>
      </c>
      <c r="C1140">
        <v>91395</v>
      </c>
      <c r="D1140" s="2" t="s">
        <v>13</v>
      </c>
      <c r="E1140">
        <v>4</v>
      </c>
      <c r="F1140">
        <v>3</v>
      </c>
      <c r="G1140" s="4">
        <f>VALUE(SUBSTITUTE(SUBSTITUTE(Table1[[#This Row],[Price]],"$",""),",",""))</f>
        <v>645962</v>
      </c>
      <c r="H1140" s="1">
        <f>Table1[[#This Row],[Price2]]/Table1[[#This Row],[Area]]</f>
        <v>235.23743627093955</v>
      </c>
      <c r="I1140">
        <v>2746</v>
      </c>
      <c r="J1140">
        <v>2008</v>
      </c>
      <c r="K1140">
        <v>11</v>
      </c>
      <c r="L1140" t="s">
        <v>40</v>
      </c>
      <c r="M1140" t="s">
        <v>41</v>
      </c>
      <c r="N1140" s="2" t="s">
        <v>3029</v>
      </c>
      <c r="O1140" t="s">
        <v>3030</v>
      </c>
      <c r="P1140" t="s">
        <v>26</v>
      </c>
      <c r="Q1140">
        <v>235.23743627093955</v>
      </c>
      <c r="R1140">
        <f ca="1">YEAR(TODAY())-Table1[[#This Row],[Year Built]]</f>
        <v>18</v>
      </c>
      <c r="S1140" t="str">
        <f>IF(Table1[[#This Row],[Days on Market]] &lt; 30,"Fast",IF(Table1[[#This Row],[Days on Market]]&lt;= 90,"Average", "Slow"))</f>
        <v>Fast</v>
      </c>
      <c r="T1140" t="str">
        <f>IF(Table1[[#This Row],[Price2]]&lt;500000,"Affordable",IF(Table1[[#This Row],[Price2]]&lt;1000000,"Mid range","Luxury"))</f>
        <v>Mid range</v>
      </c>
    </row>
    <row r="1141" spans="1:20" x14ac:dyDescent="0.35">
      <c r="A1141" s="3">
        <v>646379</v>
      </c>
      <c r="B1141" s="2" t="s">
        <v>17</v>
      </c>
      <c r="C1141">
        <v>15079</v>
      </c>
      <c r="D1141" s="2" t="s">
        <v>13</v>
      </c>
      <c r="E1141">
        <v>4</v>
      </c>
      <c r="F1141">
        <v>4</v>
      </c>
      <c r="G1141" s="4">
        <f>VALUE(SUBSTITUTE(SUBSTITUTE(Table1[[#This Row],[Price]],"$",""),",",""))</f>
        <v>646379</v>
      </c>
      <c r="H1141" s="1">
        <f>Table1[[#This Row],[Price2]]/Table1[[#This Row],[Area]]</f>
        <v>315.46071254270373</v>
      </c>
      <c r="I1141">
        <v>2049</v>
      </c>
      <c r="J1141">
        <v>1988</v>
      </c>
      <c r="K1141">
        <v>118</v>
      </c>
      <c r="L1141" t="s">
        <v>40</v>
      </c>
      <c r="M1141" t="s">
        <v>2456</v>
      </c>
      <c r="N1141" s="2" t="s">
        <v>3033</v>
      </c>
      <c r="O1141" t="s">
        <v>3034</v>
      </c>
      <c r="P1141" t="s">
        <v>26</v>
      </c>
      <c r="Q1141">
        <v>315.46071254270373</v>
      </c>
      <c r="R1141">
        <f ca="1">YEAR(TODAY())-Table1[[#This Row],[Year Built]]</f>
        <v>38</v>
      </c>
      <c r="S1141" t="str">
        <f>IF(Table1[[#This Row],[Days on Market]] &lt; 30,"Fast",IF(Table1[[#This Row],[Days on Market]]&lt;= 90,"Average", "Slow"))</f>
        <v>Slow</v>
      </c>
      <c r="T1141" t="str">
        <f>IF(Table1[[#This Row],[Price2]]&lt;500000,"Affordable",IF(Table1[[#This Row],[Price2]]&lt;1000000,"Mid range","Luxury"))</f>
        <v>Mid range</v>
      </c>
    </row>
    <row r="1142" spans="1:20" x14ac:dyDescent="0.35">
      <c r="A1142" s="3">
        <v>646444</v>
      </c>
      <c r="B1142" s="2" t="s">
        <v>34</v>
      </c>
      <c r="C1142">
        <v>61212</v>
      </c>
      <c r="D1142" s="2" t="s">
        <v>13</v>
      </c>
      <c r="E1142">
        <v>2</v>
      </c>
      <c r="F1142">
        <v>2</v>
      </c>
      <c r="G1142" s="4">
        <f>VALUE(SUBSTITUTE(SUBSTITUTE(Table1[[#This Row],[Price]],"$",""),",",""))</f>
        <v>646444</v>
      </c>
      <c r="H1142" s="1">
        <f>Table1[[#This Row],[Price2]]/Table1[[#This Row],[Area]]</f>
        <v>392.49787492410445</v>
      </c>
      <c r="I1142">
        <v>1647</v>
      </c>
      <c r="J1142">
        <v>2004</v>
      </c>
      <c r="K1142">
        <v>73</v>
      </c>
      <c r="L1142" t="s">
        <v>30</v>
      </c>
      <c r="M1142" t="s">
        <v>315</v>
      </c>
      <c r="N1142" s="2" t="s">
        <v>3029</v>
      </c>
      <c r="O1142" t="s">
        <v>3030</v>
      </c>
      <c r="P1142" t="s">
        <v>16</v>
      </c>
      <c r="Q1142">
        <v>392.49787492410445</v>
      </c>
      <c r="R1142">
        <f ca="1">YEAR(TODAY())-Table1[[#This Row],[Year Built]]</f>
        <v>22</v>
      </c>
      <c r="S1142" t="str">
        <f>IF(Table1[[#This Row],[Days on Market]] &lt; 30,"Fast",IF(Table1[[#This Row],[Days on Market]]&lt;= 90,"Average", "Slow"))</f>
        <v>Average</v>
      </c>
      <c r="T1142" t="str">
        <f>IF(Table1[[#This Row],[Price2]]&lt;500000,"Affordable",IF(Table1[[#This Row],[Price2]]&lt;1000000,"Mid range","Luxury"))</f>
        <v>Mid range</v>
      </c>
    </row>
    <row r="1143" spans="1:20" x14ac:dyDescent="0.35">
      <c r="A1143" s="3">
        <v>649507</v>
      </c>
      <c r="B1143" s="2" t="s">
        <v>17</v>
      </c>
      <c r="C1143">
        <v>88446</v>
      </c>
      <c r="D1143" s="2" t="s">
        <v>29</v>
      </c>
      <c r="E1143">
        <v>3</v>
      </c>
      <c r="F1143">
        <v>4</v>
      </c>
      <c r="G1143" s="4">
        <f>VALUE(SUBSTITUTE(SUBSTITUTE(Table1[[#This Row],[Price]],"$",""),",",""))</f>
        <v>649507</v>
      </c>
      <c r="H1143" s="1">
        <f>Table1[[#This Row],[Price2]]/Table1[[#This Row],[Area]]</f>
        <v>905.86750348675037</v>
      </c>
      <c r="I1143">
        <v>717</v>
      </c>
      <c r="J1143">
        <v>1964</v>
      </c>
      <c r="K1143">
        <v>58</v>
      </c>
      <c r="L1143" t="s">
        <v>52</v>
      </c>
      <c r="M1143" t="s">
        <v>1575</v>
      </c>
      <c r="N1143" s="2" t="s">
        <v>3027</v>
      </c>
      <c r="O1143" t="s">
        <v>3028</v>
      </c>
      <c r="P1143" t="s">
        <v>21</v>
      </c>
      <c r="Q1143">
        <v>905.86750348675037</v>
      </c>
      <c r="R1143">
        <f ca="1">YEAR(TODAY())-Table1[[#This Row],[Year Built]]</f>
        <v>62</v>
      </c>
      <c r="S1143" t="str">
        <f>IF(Table1[[#This Row],[Days on Market]] &lt; 30,"Fast",IF(Table1[[#This Row],[Days on Market]]&lt;= 90,"Average", "Slow"))</f>
        <v>Average</v>
      </c>
      <c r="T1143" t="str">
        <f>IF(Table1[[#This Row],[Price2]]&lt;500000,"Affordable",IF(Table1[[#This Row],[Price2]]&lt;1000000,"Mid range","Luxury"))</f>
        <v>Mid range</v>
      </c>
    </row>
    <row r="1144" spans="1:20" x14ac:dyDescent="0.35">
      <c r="A1144" s="3">
        <v>649561</v>
      </c>
      <c r="B1144" s="2" t="s">
        <v>22</v>
      </c>
      <c r="C1144">
        <v>57945</v>
      </c>
      <c r="D1144" s="2" t="s">
        <v>29</v>
      </c>
      <c r="E1144">
        <v>2</v>
      </c>
      <c r="F1144">
        <v>2</v>
      </c>
      <c r="G1144" s="4">
        <f>VALUE(SUBSTITUTE(SUBSTITUTE(Table1[[#This Row],[Price]],"$",""),",",""))</f>
        <v>649561</v>
      </c>
      <c r="H1144" s="1">
        <f>Table1[[#This Row],[Price2]]/Table1[[#This Row],[Area]]</f>
        <v>217.82729711602951</v>
      </c>
      <c r="I1144">
        <v>2982</v>
      </c>
      <c r="J1144">
        <v>2000</v>
      </c>
      <c r="K1144">
        <v>99</v>
      </c>
      <c r="L1144" t="s">
        <v>14</v>
      </c>
      <c r="M1144" t="s">
        <v>1662</v>
      </c>
      <c r="N1144" s="2" t="s">
        <v>3031</v>
      </c>
      <c r="O1144" t="s">
        <v>3032</v>
      </c>
      <c r="P1144" t="s">
        <v>26</v>
      </c>
      <c r="Q1144">
        <v>217.82729711602951</v>
      </c>
      <c r="R1144">
        <f ca="1">YEAR(TODAY())-Table1[[#This Row],[Year Built]]</f>
        <v>26</v>
      </c>
      <c r="S1144" t="str">
        <f>IF(Table1[[#This Row],[Days on Market]] &lt; 30,"Fast",IF(Table1[[#This Row],[Days on Market]]&lt;= 90,"Average", "Slow"))</f>
        <v>Slow</v>
      </c>
      <c r="T1144" t="str">
        <f>IF(Table1[[#This Row],[Price2]]&lt;500000,"Affordable",IF(Table1[[#This Row],[Price2]]&lt;1000000,"Mid range","Luxury"))</f>
        <v>Mid range</v>
      </c>
    </row>
    <row r="1145" spans="1:20" x14ac:dyDescent="0.35">
      <c r="A1145" s="3">
        <v>650733</v>
      </c>
      <c r="B1145" s="2" t="s">
        <v>12</v>
      </c>
      <c r="C1145">
        <v>98218</v>
      </c>
      <c r="D1145" s="2" t="s">
        <v>18</v>
      </c>
      <c r="E1145">
        <v>3</v>
      </c>
      <c r="F1145">
        <v>1</v>
      </c>
      <c r="G1145" s="4">
        <f>VALUE(SUBSTITUTE(SUBSTITUTE(Table1[[#This Row],[Price]],"$",""),",",""))</f>
        <v>650733</v>
      </c>
      <c r="H1145" s="1">
        <f>Table1[[#This Row],[Price2]]/Table1[[#This Row],[Area]]</f>
        <v>268.34350515463916</v>
      </c>
      <c r="I1145">
        <v>2425</v>
      </c>
      <c r="J1145">
        <v>1958</v>
      </c>
      <c r="K1145">
        <v>102</v>
      </c>
      <c r="L1145" t="s">
        <v>52</v>
      </c>
      <c r="M1145" t="s">
        <v>2304</v>
      </c>
      <c r="N1145" s="2" t="s">
        <v>3031</v>
      </c>
      <c r="O1145" t="s">
        <v>3032</v>
      </c>
      <c r="P1145" t="s">
        <v>16</v>
      </c>
      <c r="Q1145">
        <v>268.34350515463916</v>
      </c>
      <c r="R1145">
        <f ca="1">YEAR(TODAY())-Table1[[#This Row],[Year Built]]</f>
        <v>68</v>
      </c>
      <c r="S1145" t="str">
        <f>IF(Table1[[#This Row],[Days on Market]] &lt; 30,"Fast",IF(Table1[[#This Row],[Days on Market]]&lt;= 90,"Average", "Slow"))</f>
        <v>Slow</v>
      </c>
      <c r="T1145" t="str">
        <f>IF(Table1[[#This Row],[Price2]]&lt;500000,"Affordable",IF(Table1[[#This Row],[Price2]]&lt;1000000,"Mid range","Luxury"))</f>
        <v>Mid range</v>
      </c>
    </row>
    <row r="1146" spans="1:20" x14ac:dyDescent="0.35">
      <c r="A1146" s="3">
        <v>650763</v>
      </c>
      <c r="B1146" s="2" t="s">
        <v>17</v>
      </c>
      <c r="C1146">
        <v>99103</v>
      </c>
      <c r="D1146" s="2" t="s">
        <v>23</v>
      </c>
      <c r="E1146">
        <v>3</v>
      </c>
      <c r="F1146">
        <v>3</v>
      </c>
      <c r="G1146" s="4">
        <f>VALUE(SUBSTITUTE(SUBSTITUTE(Table1[[#This Row],[Price]],"$",""),",",""))</f>
        <v>650763</v>
      </c>
      <c r="H1146" s="1">
        <f>Table1[[#This Row],[Price2]]/Table1[[#This Row],[Area]]</f>
        <v>176.64576547231272</v>
      </c>
      <c r="I1146">
        <v>3684</v>
      </c>
      <c r="J1146">
        <v>1982</v>
      </c>
      <c r="K1146">
        <v>82</v>
      </c>
      <c r="L1146" t="s">
        <v>14</v>
      </c>
      <c r="M1146" t="s">
        <v>903</v>
      </c>
      <c r="N1146" s="2" t="s">
        <v>3031</v>
      </c>
      <c r="O1146" t="s">
        <v>3032</v>
      </c>
      <c r="P1146" t="s">
        <v>21</v>
      </c>
      <c r="Q1146">
        <v>176.64576547231272</v>
      </c>
      <c r="R1146">
        <f ca="1">YEAR(TODAY())-Table1[[#This Row],[Year Built]]</f>
        <v>44</v>
      </c>
      <c r="S1146" t="str">
        <f>IF(Table1[[#This Row],[Days on Market]] &lt; 30,"Fast",IF(Table1[[#This Row],[Days on Market]]&lt;= 90,"Average", "Slow"))</f>
        <v>Average</v>
      </c>
      <c r="T1146" t="str">
        <f>IF(Table1[[#This Row],[Price2]]&lt;500000,"Affordable",IF(Table1[[#This Row],[Price2]]&lt;1000000,"Mid range","Luxury"))</f>
        <v>Mid range</v>
      </c>
    </row>
    <row r="1147" spans="1:20" x14ac:dyDescent="0.35">
      <c r="A1147" s="3">
        <v>651450</v>
      </c>
      <c r="B1147" s="2" t="s">
        <v>17</v>
      </c>
      <c r="C1147">
        <v>69768</v>
      </c>
      <c r="D1147" s="2" t="s">
        <v>35</v>
      </c>
      <c r="E1147">
        <v>2</v>
      </c>
      <c r="F1147">
        <v>3</v>
      </c>
      <c r="G1147" s="4">
        <f>VALUE(SUBSTITUTE(SUBSTITUTE(Table1[[#This Row],[Price]],"$",""),",",""))</f>
        <v>651450</v>
      </c>
      <c r="H1147" s="1">
        <f>Table1[[#This Row],[Price2]]/Table1[[#This Row],[Area]]</f>
        <v>628.20636451301834</v>
      </c>
      <c r="I1147">
        <v>1037</v>
      </c>
      <c r="J1147">
        <v>1994</v>
      </c>
      <c r="K1147">
        <v>55</v>
      </c>
      <c r="L1147" t="s">
        <v>52</v>
      </c>
      <c r="M1147" t="s">
        <v>2954</v>
      </c>
      <c r="N1147" s="2" t="s">
        <v>3029</v>
      </c>
      <c r="O1147" t="s">
        <v>3030</v>
      </c>
      <c r="P1147" t="s">
        <v>16</v>
      </c>
      <c r="Q1147">
        <v>628.20636451301834</v>
      </c>
      <c r="R1147">
        <f ca="1">YEAR(TODAY())-Table1[[#This Row],[Year Built]]</f>
        <v>32</v>
      </c>
      <c r="S1147" t="str">
        <f>IF(Table1[[#This Row],[Days on Market]] &lt; 30,"Fast",IF(Table1[[#This Row],[Days on Market]]&lt;= 90,"Average", "Slow"))</f>
        <v>Average</v>
      </c>
      <c r="T1147" t="str">
        <f>IF(Table1[[#This Row],[Price2]]&lt;500000,"Affordable",IF(Table1[[#This Row],[Price2]]&lt;1000000,"Mid range","Luxury"))</f>
        <v>Mid range</v>
      </c>
    </row>
    <row r="1148" spans="1:20" x14ac:dyDescent="0.35">
      <c r="A1148" s="3">
        <v>651627</v>
      </c>
      <c r="B1148" s="2" t="s">
        <v>27</v>
      </c>
      <c r="C1148">
        <v>55660</v>
      </c>
      <c r="D1148" s="2" t="s">
        <v>13</v>
      </c>
      <c r="E1148">
        <v>5</v>
      </c>
      <c r="F1148">
        <v>1</v>
      </c>
      <c r="G1148" s="4">
        <f>VALUE(SUBSTITUTE(SUBSTITUTE(Table1[[#This Row],[Price]],"$",""),",",""))</f>
        <v>651627</v>
      </c>
      <c r="H1148" s="1">
        <f>Table1[[#This Row],[Price2]]/Table1[[#This Row],[Area]]</f>
        <v>270.16044776119401</v>
      </c>
      <c r="I1148">
        <v>2412</v>
      </c>
      <c r="J1148">
        <v>1999</v>
      </c>
      <c r="K1148">
        <v>117</v>
      </c>
      <c r="L1148" t="s">
        <v>14</v>
      </c>
      <c r="M1148" t="s">
        <v>1857</v>
      </c>
      <c r="N1148" s="2" t="s">
        <v>3033</v>
      </c>
      <c r="O1148" t="s">
        <v>3034</v>
      </c>
      <c r="P1148" t="s">
        <v>26</v>
      </c>
      <c r="Q1148">
        <v>270.16044776119401</v>
      </c>
      <c r="R1148">
        <f ca="1">YEAR(TODAY())-Table1[[#This Row],[Year Built]]</f>
        <v>27</v>
      </c>
      <c r="S1148" t="str">
        <f>IF(Table1[[#This Row],[Days on Market]] &lt; 30,"Fast",IF(Table1[[#This Row],[Days on Market]]&lt;= 90,"Average", "Slow"))</f>
        <v>Slow</v>
      </c>
      <c r="T1148" t="str">
        <f>IF(Table1[[#This Row],[Price2]]&lt;500000,"Affordable",IF(Table1[[#This Row],[Price2]]&lt;1000000,"Mid range","Luxury"))</f>
        <v>Mid range</v>
      </c>
    </row>
    <row r="1149" spans="1:20" x14ac:dyDescent="0.35">
      <c r="A1149" s="3">
        <v>651790</v>
      </c>
      <c r="B1149" s="2" t="s">
        <v>34</v>
      </c>
      <c r="C1149">
        <v>15264</v>
      </c>
      <c r="D1149" s="2" t="s">
        <v>13</v>
      </c>
      <c r="E1149">
        <v>2</v>
      </c>
      <c r="F1149">
        <v>2</v>
      </c>
      <c r="G1149" s="4">
        <f>VALUE(SUBSTITUTE(SUBSTITUTE(Table1[[#This Row],[Price]],"$",""),",",""))</f>
        <v>651790</v>
      </c>
      <c r="H1149" s="1">
        <f>Table1[[#This Row],[Price2]]/Table1[[#This Row],[Area]]</f>
        <v>739.82973893303063</v>
      </c>
      <c r="I1149">
        <v>881</v>
      </c>
      <c r="J1149">
        <v>2022</v>
      </c>
      <c r="K1149">
        <v>18</v>
      </c>
      <c r="L1149" t="s">
        <v>52</v>
      </c>
      <c r="M1149" t="s">
        <v>766</v>
      </c>
      <c r="N1149" s="2" t="s">
        <v>3027</v>
      </c>
      <c r="O1149" t="s">
        <v>3028</v>
      </c>
      <c r="P1149" t="s">
        <v>26</v>
      </c>
      <c r="Q1149">
        <v>739.82973893303063</v>
      </c>
      <c r="R1149">
        <f ca="1">YEAR(TODAY())-Table1[[#This Row],[Year Built]]</f>
        <v>4</v>
      </c>
      <c r="S1149" t="str">
        <f>IF(Table1[[#This Row],[Days on Market]] &lt; 30,"Fast",IF(Table1[[#This Row],[Days on Market]]&lt;= 90,"Average", "Slow"))</f>
        <v>Fast</v>
      </c>
      <c r="T1149" t="str">
        <f>IF(Table1[[#This Row],[Price2]]&lt;500000,"Affordable",IF(Table1[[#This Row],[Price2]]&lt;1000000,"Mid range","Luxury"))</f>
        <v>Mid range</v>
      </c>
    </row>
    <row r="1150" spans="1:20" x14ac:dyDescent="0.35">
      <c r="A1150" s="3">
        <v>653513</v>
      </c>
      <c r="B1150" s="2" t="s">
        <v>34</v>
      </c>
      <c r="C1150">
        <v>24367</v>
      </c>
      <c r="D1150" s="2" t="s">
        <v>13</v>
      </c>
      <c r="E1150">
        <v>3</v>
      </c>
      <c r="F1150">
        <v>2</v>
      </c>
      <c r="G1150" s="4">
        <f>VALUE(SUBSTITUTE(SUBSTITUTE(Table1[[#This Row],[Price]],"$",""),",",""))</f>
        <v>653513</v>
      </c>
      <c r="H1150" s="1">
        <f>Table1[[#This Row],[Price2]]/Table1[[#This Row],[Area]]</f>
        <v>758.13573085846872</v>
      </c>
      <c r="I1150">
        <v>862</v>
      </c>
      <c r="J1150">
        <v>1972</v>
      </c>
      <c r="K1150">
        <v>64</v>
      </c>
      <c r="L1150" t="s">
        <v>30</v>
      </c>
      <c r="M1150" t="s">
        <v>112</v>
      </c>
      <c r="N1150" s="2" t="s">
        <v>3035</v>
      </c>
      <c r="O1150" t="s">
        <v>3036</v>
      </c>
      <c r="P1150" t="s">
        <v>26</v>
      </c>
      <c r="Q1150">
        <v>758.13573085846872</v>
      </c>
      <c r="R1150">
        <f ca="1">YEAR(TODAY())-Table1[[#This Row],[Year Built]]</f>
        <v>54</v>
      </c>
      <c r="S1150" t="str">
        <f>IF(Table1[[#This Row],[Days on Market]] &lt; 30,"Fast",IF(Table1[[#This Row],[Days on Market]]&lt;= 90,"Average", "Slow"))</f>
        <v>Average</v>
      </c>
      <c r="T1150" t="str">
        <f>IF(Table1[[#This Row],[Price2]]&lt;500000,"Affordable",IF(Table1[[#This Row],[Price2]]&lt;1000000,"Mid range","Luxury"))</f>
        <v>Mid range</v>
      </c>
    </row>
    <row r="1151" spans="1:20" x14ac:dyDescent="0.35">
      <c r="A1151" s="3">
        <v>654277</v>
      </c>
      <c r="B1151" s="2" t="s">
        <v>34</v>
      </c>
      <c r="C1151">
        <v>89195</v>
      </c>
      <c r="D1151" s="2" t="s">
        <v>18</v>
      </c>
      <c r="E1151">
        <v>3</v>
      </c>
      <c r="F1151">
        <v>1</v>
      </c>
      <c r="G1151" s="4">
        <f>VALUE(SUBSTITUTE(SUBSTITUTE(Table1[[#This Row],[Price]],"$",""),",",""))</f>
        <v>654277</v>
      </c>
      <c r="H1151" s="1">
        <f>Table1[[#This Row],[Price2]]/Table1[[#This Row],[Area]]</f>
        <v>882.96491228070181</v>
      </c>
      <c r="I1151">
        <v>741</v>
      </c>
      <c r="J1151">
        <v>2018</v>
      </c>
      <c r="K1151">
        <v>70</v>
      </c>
      <c r="L1151" t="s">
        <v>52</v>
      </c>
      <c r="M1151" t="s">
        <v>508</v>
      </c>
      <c r="N1151" s="2" t="s">
        <v>3033</v>
      </c>
      <c r="O1151" t="s">
        <v>3034</v>
      </c>
      <c r="P1151" t="s">
        <v>21</v>
      </c>
      <c r="Q1151">
        <v>882.96491228070181</v>
      </c>
      <c r="R1151">
        <f ca="1">YEAR(TODAY())-Table1[[#This Row],[Year Built]]</f>
        <v>8</v>
      </c>
      <c r="S1151" t="str">
        <f>IF(Table1[[#This Row],[Days on Market]] &lt; 30,"Fast",IF(Table1[[#This Row],[Days on Market]]&lt;= 90,"Average", "Slow"))</f>
        <v>Average</v>
      </c>
      <c r="T1151" t="str">
        <f>IF(Table1[[#This Row],[Price2]]&lt;500000,"Affordable",IF(Table1[[#This Row],[Price2]]&lt;1000000,"Mid range","Luxury"))</f>
        <v>Mid range</v>
      </c>
    </row>
    <row r="1152" spans="1:20" x14ac:dyDescent="0.35">
      <c r="A1152" s="3">
        <v>654339</v>
      </c>
      <c r="B1152" s="2" t="s">
        <v>17</v>
      </c>
      <c r="C1152">
        <v>40235</v>
      </c>
      <c r="D1152" s="2" t="s">
        <v>13</v>
      </c>
      <c r="E1152">
        <v>3</v>
      </c>
      <c r="F1152">
        <v>1</v>
      </c>
      <c r="G1152" s="4">
        <f>VALUE(SUBSTITUTE(SUBSTITUTE(Table1[[#This Row],[Price]],"$",""),",",""))</f>
        <v>654339</v>
      </c>
      <c r="H1152" s="1">
        <f>Table1[[#This Row],[Price2]]/Table1[[#This Row],[Area]]</f>
        <v>587.90566037735846</v>
      </c>
      <c r="I1152">
        <v>1113</v>
      </c>
      <c r="J1152">
        <v>1985</v>
      </c>
      <c r="K1152">
        <v>1</v>
      </c>
      <c r="L1152" t="s">
        <v>52</v>
      </c>
      <c r="M1152" t="s">
        <v>2826</v>
      </c>
      <c r="N1152" s="2" t="s">
        <v>3027</v>
      </c>
      <c r="O1152" t="s">
        <v>3028</v>
      </c>
      <c r="P1152" t="s">
        <v>26</v>
      </c>
      <c r="Q1152">
        <v>587.90566037735846</v>
      </c>
      <c r="R1152">
        <f ca="1">YEAR(TODAY())-Table1[[#This Row],[Year Built]]</f>
        <v>41</v>
      </c>
      <c r="S1152" t="str">
        <f>IF(Table1[[#This Row],[Days on Market]] &lt; 30,"Fast",IF(Table1[[#This Row],[Days on Market]]&lt;= 90,"Average", "Slow"))</f>
        <v>Fast</v>
      </c>
      <c r="T1152" t="str">
        <f>IF(Table1[[#This Row],[Price2]]&lt;500000,"Affordable",IF(Table1[[#This Row],[Price2]]&lt;1000000,"Mid range","Luxury"))</f>
        <v>Mid range</v>
      </c>
    </row>
    <row r="1153" spans="1:20" x14ac:dyDescent="0.35">
      <c r="A1153" s="3">
        <v>654485</v>
      </c>
      <c r="B1153" s="2" t="s">
        <v>27</v>
      </c>
      <c r="C1153">
        <v>67605</v>
      </c>
      <c r="D1153" s="2" t="s">
        <v>23</v>
      </c>
      <c r="E1153">
        <v>3</v>
      </c>
      <c r="F1153">
        <v>3</v>
      </c>
      <c r="G1153" s="4">
        <f>VALUE(SUBSTITUTE(SUBSTITUTE(Table1[[#This Row],[Price]],"$",""),",",""))</f>
        <v>654485</v>
      </c>
      <c r="H1153" s="1">
        <f>Table1[[#This Row],[Price2]]/Table1[[#This Row],[Area]]</f>
        <v>236.19090581017684</v>
      </c>
      <c r="I1153">
        <v>2771</v>
      </c>
      <c r="J1153">
        <v>2002</v>
      </c>
      <c r="K1153">
        <v>63</v>
      </c>
      <c r="L1153" t="s">
        <v>30</v>
      </c>
      <c r="M1153" t="s">
        <v>1441</v>
      </c>
      <c r="N1153" s="2" t="s">
        <v>3035</v>
      </c>
      <c r="O1153" t="s">
        <v>3036</v>
      </c>
      <c r="P1153" t="s">
        <v>21</v>
      </c>
      <c r="Q1153">
        <v>236.19090581017684</v>
      </c>
      <c r="R1153">
        <f ca="1">YEAR(TODAY())-Table1[[#This Row],[Year Built]]</f>
        <v>24</v>
      </c>
      <c r="S1153" t="str">
        <f>IF(Table1[[#This Row],[Days on Market]] &lt; 30,"Fast",IF(Table1[[#This Row],[Days on Market]]&lt;= 90,"Average", "Slow"))</f>
        <v>Average</v>
      </c>
      <c r="T1153" t="str">
        <f>IF(Table1[[#This Row],[Price2]]&lt;500000,"Affordable",IF(Table1[[#This Row],[Price2]]&lt;1000000,"Mid range","Luxury"))</f>
        <v>Mid range</v>
      </c>
    </row>
    <row r="1154" spans="1:20" x14ac:dyDescent="0.35">
      <c r="A1154" s="3">
        <v>655234</v>
      </c>
      <c r="B1154" s="2" t="s">
        <v>17</v>
      </c>
      <c r="C1154">
        <v>14777</v>
      </c>
      <c r="D1154" s="2" t="s">
        <v>35</v>
      </c>
      <c r="E1154">
        <v>4</v>
      </c>
      <c r="F1154">
        <v>4</v>
      </c>
      <c r="G1154" s="4">
        <f>VALUE(SUBSTITUTE(SUBSTITUTE(Table1[[#This Row],[Price]],"$",""),",",""))</f>
        <v>655234</v>
      </c>
      <c r="H1154" s="1">
        <f>Table1[[#This Row],[Price2]]/Table1[[#This Row],[Area]]</f>
        <v>217.54116865869855</v>
      </c>
      <c r="I1154">
        <v>3012</v>
      </c>
      <c r="J1154">
        <v>1983</v>
      </c>
      <c r="K1154">
        <v>110</v>
      </c>
      <c r="L1154" t="s">
        <v>30</v>
      </c>
      <c r="M1154" t="s">
        <v>2904</v>
      </c>
      <c r="N1154" s="2" t="s">
        <v>3033</v>
      </c>
      <c r="O1154" t="s">
        <v>3034</v>
      </c>
      <c r="P1154" t="s">
        <v>21</v>
      </c>
      <c r="Q1154">
        <v>217.54116865869855</v>
      </c>
      <c r="R1154">
        <f ca="1">YEAR(TODAY())-Table1[[#This Row],[Year Built]]</f>
        <v>43</v>
      </c>
      <c r="S1154" t="str">
        <f>IF(Table1[[#This Row],[Days on Market]] &lt; 30,"Fast",IF(Table1[[#This Row],[Days on Market]]&lt;= 90,"Average", "Slow"))</f>
        <v>Slow</v>
      </c>
      <c r="T1154" t="str">
        <f>IF(Table1[[#This Row],[Price2]]&lt;500000,"Affordable",IF(Table1[[#This Row],[Price2]]&lt;1000000,"Mid range","Luxury"))</f>
        <v>Mid range</v>
      </c>
    </row>
    <row r="1155" spans="1:20" x14ac:dyDescent="0.35">
      <c r="A1155" s="3">
        <v>655953</v>
      </c>
      <c r="B1155" s="2" t="s">
        <v>22</v>
      </c>
      <c r="C1155">
        <v>77412</v>
      </c>
      <c r="D1155" s="2" t="s">
        <v>35</v>
      </c>
      <c r="E1155">
        <v>2</v>
      </c>
      <c r="F1155">
        <v>4</v>
      </c>
      <c r="G1155" s="4">
        <f>VALUE(SUBSTITUTE(SUBSTITUTE(Table1[[#This Row],[Price]],"$",""),",",""))</f>
        <v>655953</v>
      </c>
      <c r="H1155" s="1">
        <f>Table1[[#This Row],[Price2]]/Table1[[#This Row],[Area]]</f>
        <v>234.35262593783494</v>
      </c>
      <c r="I1155">
        <v>2799</v>
      </c>
      <c r="J1155">
        <v>1982</v>
      </c>
      <c r="K1155">
        <v>57</v>
      </c>
      <c r="L1155" t="s">
        <v>14</v>
      </c>
      <c r="M1155" t="s">
        <v>970</v>
      </c>
      <c r="N1155" s="2" t="s">
        <v>3031</v>
      </c>
      <c r="O1155" t="s">
        <v>3032</v>
      </c>
      <c r="P1155" t="s">
        <v>16</v>
      </c>
      <c r="Q1155">
        <v>234.35262593783494</v>
      </c>
      <c r="R1155">
        <f ca="1">YEAR(TODAY())-Table1[[#This Row],[Year Built]]</f>
        <v>44</v>
      </c>
      <c r="S1155" t="str">
        <f>IF(Table1[[#This Row],[Days on Market]] &lt; 30,"Fast",IF(Table1[[#This Row],[Days on Market]]&lt;= 90,"Average", "Slow"))</f>
        <v>Average</v>
      </c>
      <c r="T1155" t="str">
        <f>IF(Table1[[#This Row],[Price2]]&lt;500000,"Affordable",IF(Table1[[#This Row],[Price2]]&lt;1000000,"Mid range","Luxury"))</f>
        <v>Mid range</v>
      </c>
    </row>
    <row r="1156" spans="1:20" x14ac:dyDescent="0.35">
      <c r="A1156" s="3">
        <v>657892</v>
      </c>
      <c r="B1156" s="2" t="s">
        <v>12</v>
      </c>
      <c r="C1156">
        <v>65642</v>
      </c>
      <c r="D1156" s="2" t="s">
        <v>35</v>
      </c>
      <c r="E1156">
        <v>6</v>
      </c>
      <c r="F1156">
        <v>4</v>
      </c>
      <c r="G1156" s="4">
        <f>VALUE(SUBSTITUTE(SUBSTITUTE(Table1[[#This Row],[Price]],"$",""),",",""))</f>
        <v>657892</v>
      </c>
      <c r="H1156" s="1">
        <f>Table1[[#This Row],[Price2]]/Table1[[#This Row],[Area]]</f>
        <v>464.94134275618376</v>
      </c>
      <c r="I1156">
        <v>1415</v>
      </c>
      <c r="J1156">
        <v>1985</v>
      </c>
      <c r="K1156">
        <v>56</v>
      </c>
      <c r="L1156" t="s">
        <v>19</v>
      </c>
      <c r="M1156" t="s">
        <v>2923</v>
      </c>
      <c r="N1156" s="2" t="s">
        <v>3033</v>
      </c>
      <c r="O1156" t="s">
        <v>3034</v>
      </c>
      <c r="P1156" t="s">
        <v>16</v>
      </c>
      <c r="Q1156">
        <v>464.94134275618376</v>
      </c>
      <c r="R1156">
        <f ca="1">YEAR(TODAY())-Table1[[#This Row],[Year Built]]</f>
        <v>41</v>
      </c>
      <c r="S1156" t="str">
        <f>IF(Table1[[#This Row],[Days on Market]] &lt; 30,"Fast",IF(Table1[[#This Row],[Days on Market]]&lt;= 90,"Average", "Slow"))</f>
        <v>Average</v>
      </c>
      <c r="T1156" t="str">
        <f>IF(Table1[[#This Row],[Price2]]&lt;500000,"Affordable",IF(Table1[[#This Row],[Price2]]&lt;1000000,"Mid range","Luxury"))</f>
        <v>Mid range</v>
      </c>
    </row>
    <row r="1157" spans="1:20" x14ac:dyDescent="0.35">
      <c r="A1157" s="3">
        <v>658161</v>
      </c>
      <c r="B1157" s="2" t="s">
        <v>34</v>
      </c>
      <c r="C1157">
        <v>67187</v>
      </c>
      <c r="D1157" s="2" t="s">
        <v>29</v>
      </c>
      <c r="E1157">
        <v>1</v>
      </c>
      <c r="F1157">
        <v>3</v>
      </c>
      <c r="G1157" s="4">
        <f>VALUE(SUBSTITUTE(SUBSTITUTE(Table1[[#This Row],[Price]],"$",""),",",""))</f>
        <v>658161</v>
      </c>
      <c r="H1157" s="1">
        <f>Table1[[#This Row],[Price2]]/Table1[[#This Row],[Area]]</f>
        <v>190.66077636152954</v>
      </c>
      <c r="I1157">
        <v>3452</v>
      </c>
      <c r="J1157">
        <v>1954</v>
      </c>
      <c r="K1157">
        <v>2</v>
      </c>
      <c r="L1157" t="s">
        <v>14</v>
      </c>
      <c r="M1157" t="s">
        <v>3002</v>
      </c>
      <c r="N1157" s="2" t="s">
        <v>3031</v>
      </c>
      <c r="O1157" t="s">
        <v>3032</v>
      </c>
      <c r="P1157" t="s">
        <v>21</v>
      </c>
      <c r="Q1157">
        <v>190.66077636152954</v>
      </c>
      <c r="R1157">
        <f ca="1">YEAR(TODAY())-Table1[[#This Row],[Year Built]]</f>
        <v>72</v>
      </c>
      <c r="S1157" t="str">
        <f>IF(Table1[[#This Row],[Days on Market]] &lt; 30,"Fast",IF(Table1[[#This Row],[Days on Market]]&lt;= 90,"Average", "Slow"))</f>
        <v>Fast</v>
      </c>
      <c r="T1157" t="str">
        <f>IF(Table1[[#This Row],[Price2]]&lt;500000,"Affordable",IF(Table1[[#This Row],[Price2]]&lt;1000000,"Mid range","Luxury"))</f>
        <v>Mid range</v>
      </c>
    </row>
    <row r="1158" spans="1:20" x14ac:dyDescent="0.35">
      <c r="A1158" s="3">
        <v>658283</v>
      </c>
      <c r="B1158" s="2" t="s">
        <v>22</v>
      </c>
      <c r="C1158">
        <v>37559</v>
      </c>
      <c r="D1158" s="2" t="s">
        <v>35</v>
      </c>
      <c r="E1158">
        <v>3</v>
      </c>
      <c r="F1158">
        <v>1</v>
      </c>
      <c r="G1158" s="4">
        <f>VALUE(SUBSTITUTE(SUBSTITUTE(Table1[[#This Row],[Price]],"$",""),",",""))</f>
        <v>658283</v>
      </c>
      <c r="H1158" s="1">
        <f>Table1[[#This Row],[Price2]]/Table1[[#This Row],[Area]]</f>
        <v>264.68958584640131</v>
      </c>
      <c r="I1158">
        <v>2487</v>
      </c>
      <c r="J1158">
        <v>2013</v>
      </c>
      <c r="K1158">
        <v>27</v>
      </c>
      <c r="L1158" t="s">
        <v>30</v>
      </c>
      <c r="M1158" t="s">
        <v>978</v>
      </c>
      <c r="N1158" s="2" t="s">
        <v>3033</v>
      </c>
      <c r="O1158" t="s">
        <v>3034</v>
      </c>
      <c r="P1158" t="s">
        <v>16</v>
      </c>
      <c r="Q1158">
        <v>264.68958584640131</v>
      </c>
      <c r="R1158">
        <f ca="1">YEAR(TODAY())-Table1[[#This Row],[Year Built]]</f>
        <v>13</v>
      </c>
      <c r="S1158" t="str">
        <f>IF(Table1[[#This Row],[Days on Market]] &lt; 30,"Fast",IF(Table1[[#This Row],[Days on Market]]&lt;= 90,"Average", "Slow"))</f>
        <v>Fast</v>
      </c>
      <c r="T1158" t="str">
        <f>IF(Table1[[#This Row],[Price2]]&lt;500000,"Affordable",IF(Table1[[#This Row],[Price2]]&lt;1000000,"Mid range","Luxury"))</f>
        <v>Mid range</v>
      </c>
    </row>
    <row r="1159" spans="1:20" x14ac:dyDescent="0.35">
      <c r="A1159" s="3">
        <v>658392</v>
      </c>
      <c r="B1159" s="2" t="s">
        <v>17</v>
      </c>
      <c r="C1159">
        <v>98045</v>
      </c>
      <c r="D1159" s="2" t="s">
        <v>29</v>
      </c>
      <c r="E1159">
        <v>3</v>
      </c>
      <c r="F1159">
        <v>3</v>
      </c>
      <c r="G1159" s="4">
        <f>VALUE(SUBSTITUTE(SUBSTITUTE(Table1[[#This Row],[Price]],"$",""),",",""))</f>
        <v>658392</v>
      </c>
      <c r="H1159" s="1">
        <f>Table1[[#This Row],[Price2]]/Table1[[#This Row],[Area]]</f>
        <v>180.28258488499452</v>
      </c>
      <c r="I1159">
        <v>3652</v>
      </c>
      <c r="J1159">
        <v>2012</v>
      </c>
      <c r="K1159">
        <v>107</v>
      </c>
      <c r="L1159" t="s">
        <v>19</v>
      </c>
      <c r="M1159" t="s">
        <v>391</v>
      </c>
      <c r="N1159" s="2" t="s">
        <v>3031</v>
      </c>
      <c r="O1159" t="s">
        <v>3032</v>
      </c>
      <c r="P1159" t="s">
        <v>16</v>
      </c>
      <c r="Q1159">
        <v>180.28258488499452</v>
      </c>
      <c r="R1159">
        <f ca="1">YEAR(TODAY())-Table1[[#This Row],[Year Built]]</f>
        <v>14</v>
      </c>
      <c r="S1159" t="str">
        <f>IF(Table1[[#This Row],[Days on Market]] &lt; 30,"Fast",IF(Table1[[#This Row],[Days on Market]]&lt;= 90,"Average", "Slow"))</f>
        <v>Slow</v>
      </c>
      <c r="T1159" t="str">
        <f>IF(Table1[[#This Row],[Price2]]&lt;500000,"Affordable",IF(Table1[[#This Row],[Price2]]&lt;1000000,"Mid range","Luxury"))</f>
        <v>Mid range</v>
      </c>
    </row>
    <row r="1160" spans="1:20" x14ac:dyDescent="0.35">
      <c r="A1160" s="3">
        <v>658686</v>
      </c>
      <c r="B1160" s="2" t="s">
        <v>12</v>
      </c>
      <c r="C1160">
        <v>82664</v>
      </c>
      <c r="D1160" s="2" t="s">
        <v>29</v>
      </c>
      <c r="E1160">
        <v>1</v>
      </c>
      <c r="F1160">
        <v>1</v>
      </c>
      <c r="G1160" s="4">
        <f>VALUE(SUBSTITUTE(SUBSTITUTE(Table1[[#This Row],[Price]],"$",""),",",""))</f>
        <v>658686</v>
      </c>
      <c r="H1160" s="1">
        <f>Table1[[#This Row],[Price2]]/Table1[[#This Row],[Area]]</f>
        <v>630.32153110047852</v>
      </c>
      <c r="I1160">
        <v>1045</v>
      </c>
      <c r="J1160">
        <v>1979</v>
      </c>
      <c r="K1160">
        <v>81</v>
      </c>
      <c r="L1160" t="s">
        <v>14</v>
      </c>
      <c r="M1160" t="s">
        <v>2704</v>
      </c>
      <c r="N1160" s="2" t="s">
        <v>3031</v>
      </c>
      <c r="O1160" t="s">
        <v>3032</v>
      </c>
      <c r="P1160" t="s">
        <v>26</v>
      </c>
      <c r="Q1160">
        <v>630.32153110047852</v>
      </c>
      <c r="R1160">
        <f ca="1">YEAR(TODAY())-Table1[[#This Row],[Year Built]]</f>
        <v>47</v>
      </c>
      <c r="S1160" t="str">
        <f>IF(Table1[[#This Row],[Days on Market]] &lt; 30,"Fast",IF(Table1[[#This Row],[Days on Market]]&lt;= 90,"Average", "Slow"))</f>
        <v>Average</v>
      </c>
      <c r="T1160" t="str">
        <f>IF(Table1[[#This Row],[Price2]]&lt;500000,"Affordable",IF(Table1[[#This Row],[Price2]]&lt;1000000,"Mid range","Luxury"))</f>
        <v>Mid range</v>
      </c>
    </row>
    <row r="1161" spans="1:20" x14ac:dyDescent="0.35">
      <c r="A1161" s="3">
        <v>660843</v>
      </c>
      <c r="B1161" s="2" t="s">
        <v>27</v>
      </c>
      <c r="C1161">
        <v>57579</v>
      </c>
      <c r="D1161" s="2" t="s">
        <v>29</v>
      </c>
      <c r="E1161">
        <v>6</v>
      </c>
      <c r="F1161">
        <v>2</v>
      </c>
      <c r="G1161" s="4">
        <f>VALUE(SUBSTITUTE(SUBSTITUTE(Table1[[#This Row],[Price]],"$",""),",",""))</f>
        <v>660843</v>
      </c>
      <c r="H1161" s="1">
        <f>Table1[[#This Row],[Price2]]/Table1[[#This Row],[Area]]</f>
        <v>169.88251928020566</v>
      </c>
      <c r="I1161">
        <v>3890</v>
      </c>
      <c r="J1161">
        <v>1961</v>
      </c>
      <c r="K1161">
        <v>43</v>
      </c>
      <c r="L1161" t="s">
        <v>40</v>
      </c>
      <c r="M1161" t="s">
        <v>831</v>
      </c>
      <c r="N1161" s="2" t="s">
        <v>3029</v>
      </c>
      <c r="O1161" t="s">
        <v>3030</v>
      </c>
      <c r="P1161" t="s">
        <v>21</v>
      </c>
      <c r="Q1161">
        <v>169.88251928020566</v>
      </c>
      <c r="R1161">
        <f ca="1">YEAR(TODAY())-Table1[[#This Row],[Year Built]]</f>
        <v>65</v>
      </c>
      <c r="S1161" t="str">
        <f>IF(Table1[[#This Row],[Days on Market]] &lt; 30,"Fast",IF(Table1[[#This Row],[Days on Market]]&lt;= 90,"Average", "Slow"))</f>
        <v>Average</v>
      </c>
      <c r="T1161" t="str">
        <f>IF(Table1[[#This Row],[Price2]]&lt;500000,"Affordable",IF(Table1[[#This Row],[Price2]]&lt;1000000,"Mid range","Luxury"))</f>
        <v>Mid range</v>
      </c>
    </row>
    <row r="1162" spans="1:20" x14ac:dyDescent="0.35">
      <c r="A1162" s="3">
        <v>661201</v>
      </c>
      <c r="B1162" s="2" t="s">
        <v>22</v>
      </c>
      <c r="C1162">
        <v>28441</v>
      </c>
      <c r="D1162" s="2" t="s">
        <v>13</v>
      </c>
      <c r="E1162">
        <v>1</v>
      </c>
      <c r="F1162">
        <v>3</v>
      </c>
      <c r="G1162" s="4">
        <f>VALUE(SUBSTITUTE(SUBSTITUTE(Table1[[#This Row],[Price]],"$",""),",",""))</f>
        <v>661201</v>
      </c>
      <c r="H1162" s="1">
        <f>Table1[[#This Row],[Price2]]/Table1[[#This Row],[Area]]</f>
        <v>239.21888567293777</v>
      </c>
      <c r="I1162">
        <v>2764</v>
      </c>
      <c r="J1162">
        <v>1970</v>
      </c>
      <c r="K1162">
        <v>102</v>
      </c>
      <c r="L1162" t="s">
        <v>30</v>
      </c>
      <c r="M1162" t="s">
        <v>1178</v>
      </c>
      <c r="N1162" s="2" t="s">
        <v>3033</v>
      </c>
      <c r="O1162" t="s">
        <v>3034</v>
      </c>
      <c r="P1162" t="s">
        <v>26</v>
      </c>
      <c r="Q1162">
        <v>239.21888567293777</v>
      </c>
      <c r="R1162">
        <f ca="1">YEAR(TODAY())-Table1[[#This Row],[Year Built]]</f>
        <v>56</v>
      </c>
      <c r="S1162" t="str">
        <f>IF(Table1[[#This Row],[Days on Market]] &lt; 30,"Fast",IF(Table1[[#This Row],[Days on Market]]&lt;= 90,"Average", "Slow"))</f>
        <v>Slow</v>
      </c>
      <c r="T1162" t="str">
        <f>IF(Table1[[#This Row],[Price2]]&lt;500000,"Affordable",IF(Table1[[#This Row],[Price2]]&lt;1000000,"Mid range","Luxury"))</f>
        <v>Mid range</v>
      </c>
    </row>
    <row r="1163" spans="1:20" x14ac:dyDescent="0.35">
      <c r="A1163" s="3">
        <v>662328</v>
      </c>
      <c r="B1163" s="2" t="s">
        <v>17</v>
      </c>
      <c r="C1163">
        <v>83220</v>
      </c>
      <c r="D1163" s="2" t="s">
        <v>29</v>
      </c>
      <c r="E1163">
        <v>4</v>
      </c>
      <c r="F1163">
        <v>1</v>
      </c>
      <c r="G1163" s="4">
        <f>VALUE(SUBSTITUTE(SUBSTITUTE(Table1[[#This Row],[Price]],"$",""),",",""))</f>
        <v>662328</v>
      </c>
      <c r="H1163" s="1">
        <f>Table1[[#This Row],[Price2]]/Table1[[#This Row],[Area]]</f>
        <v>200.76629281600486</v>
      </c>
      <c r="I1163">
        <v>3299</v>
      </c>
      <c r="J1163">
        <v>1997</v>
      </c>
      <c r="K1163">
        <v>20</v>
      </c>
      <c r="L1163" t="s">
        <v>52</v>
      </c>
      <c r="M1163" t="s">
        <v>2404</v>
      </c>
      <c r="N1163" s="2" t="s">
        <v>3029</v>
      </c>
      <c r="O1163" t="s">
        <v>3030</v>
      </c>
      <c r="P1163" t="s">
        <v>26</v>
      </c>
      <c r="Q1163">
        <v>200.76629281600486</v>
      </c>
      <c r="R1163">
        <f ca="1">YEAR(TODAY())-Table1[[#This Row],[Year Built]]</f>
        <v>29</v>
      </c>
      <c r="S1163" t="str">
        <f>IF(Table1[[#This Row],[Days on Market]] &lt; 30,"Fast",IF(Table1[[#This Row],[Days on Market]]&lt;= 90,"Average", "Slow"))</f>
        <v>Fast</v>
      </c>
      <c r="T1163" t="str">
        <f>IF(Table1[[#This Row],[Price2]]&lt;500000,"Affordable",IF(Table1[[#This Row],[Price2]]&lt;1000000,"Mid range","Luxury"))</f>
        <v>Mid range</v>
      </c>
    </row>
    <row r="1164" spans="1:20" x14ac:dyDescent="0.35">
      <c r="A1164" s="3">
        <v>662727</v>
      </c>
      <c r="B1164" s="2" t="s">
        <v>12</v>
      </c>
      <c r="C1164">
        <v>96555</v>
      </c>
      <c r="D1164" s="2" t="s">
        <v>35</v>
      </c>
      <c r="E1164">
        <v>1</v>
      </c>
      <c r="F1164">
        <v>1</v>
      </c>
      <c r="G1164" s="4">
        <f>VALUE(SUBSTITUTE(SUBSTITUTE(Table1[[#This Row],[Price]],"$",""),",",""))</f>
        <v>662727</v>
      </c>
      <c r="H1164" s="1">
        <f>Table1[[#This Row],[Price2]]/Table1[[#This Row],[Area]]</f>
        <v>191.92788879235448</v>
      </c>
      <c r="I1164">
        <v>3453</v>
      </c>
      <c r="J1164">
        <v>2005</v>
      </c>
      <c r="K1164">
        <v>95</v>
      </c>
      <c r="L1164" t="s">
        <v>30</v>
      </c>
      <c r="M1164" t="s">
        <v>1404</v>
      </c>
      <c r="N1164" s="2" t="s">
        <v>3027</v>
      </c>
      <c r="O1164" t="s">
        <v>3028</v>
      </c>
      <c r="P1164" t="s">
        <v>21</v>
      </c>
      <c r="Q1164">
        <v>191.92788879235448</v>
      </c>
      <c r="R1164">
        <f ca="1">YEAR(TODAY())-Table1[[#This Row],[Year Built]]</f>
        <v>21</v>
      </c>
      <c r="S1164" t="str">
        <f>IF(Table1[[#This Row],[Days on Market]] &lt; 30,"Fast",IF(Table1[[#This Row],[Days on Market]]&lt;= 90,"Average", "Slow"))</f>
        <v>Slow</v>
      </c>
      <c r="T1164" t="str">
        <f>IF(Table1[[#This Row],[Price2]]&lt;500000,"Affordable",IF(Table1[[#This Row],[Price2]]&lt;1000000,"Mid range","Luxury"))</f>
        <v>Mid range</v>
      </c>
    </row>
    <row r="1165" spans="1:20" x14ac:dyDescent="0.35">
      <c r="A1165" s="3">
        <v>663332</v>
      </c>
      <c r="B1165" s="2" t="s">
        <v>17</v>
      </c>
      <c r="C1165">
        <v>61189</v>
      </c>
      <c r="D1165" s="2" t="s">
        <v>35</v>
      </c>
      <c r="E1165">
        <v>4</v>
      </c>
      <c r="F1165">
        <v>1</v>
      </c>
      <c r="G1165" s="4">
        <f>VALUE(SUBSTITUTE(SUBSTITUTE(Table1[[#This Row],[Price]],"$",""),",",""))</f>
        <v>663332</v>
      </c>
      <c r="H1165" s="1">
        <f>Table1[[#This Row],[Price2]]/Table1[[#This Row],[Area]]</f>
        <v>207.4208880550344</v>
      </c>
      <c r="I1165">
        <v>3198</v>
      </c>
      <c r="J1165">
        <v>2016</v>
      </c>
      <c r="K1165">
        <v>83</v>
      </c>
      <c r="L1165" t="s">
        <v>14</v>
      </c>
      <c r="M1165" t="s">
        <v>2589</v>
      </c>
      <c r="N1165" s="2" t="s">
        <v>3027</v>
      </c>
      <c r="O1165" t="s">
        <v>3028</v>
      </c>
      <c r="P1165" t="s">
        <v>26</v>
      </c>
      <c r="Q1165">
        <v>207.4208880550344</v>
      </c>
      <c r="R1165">
        <f ca="1">YEAR(TODAY())-Table1[[#This Row],[Year Built]]</f>
        <v>10</v>
      </c>
      <c r="S1165" t="str">
        <f>IF(Table1[[#This Row],[Days on Market]] &lt; 30,"Fast",IF(Table1[[#This Row],[Days on Market]]&lt;= 90,"Average", "Slow"))</f>
        <v>Average</v>
      </c>
      <c r="T1165" t="str">
        <f>IF(Table1[[#This Row],[Price2]]&lt;500000,"Affordable",IF(Table1[[#This Row],[Price2]]&lt;1000000,"Mid range","Luxury"))</f>
        <v>Mid range</v>
      </c>
    </row>
    <row r="1166" spans="1:20" x14ac:dyDescent="0.35">
      <c r="A1166" s="3">
        <v>663384</v>
      </c>
      <c r="B1166" s="2" t="s">
        <v>27</v>
      </c>
      <c r="C1166">
        <v>88530</v>
      </c>
      <c r="D1166" s="2" t="s">
        <v>35</v>
      </c>
      <c r="E1166">
        <v>5</v>
      </c>
      <c r="F1166">
        <v>1</v>
      </c>
      <c r="G1166" s="4">
        <f>VALUE(SUBSTITUTE(SUBSTITUTE(Table1[[#This Row],[Price]],"$",""),",",""))</f>
        <v>663384</v>
      </c>
      <c r="H1166" s="1">
        <f>Table1[[#This Row],[Price2]]/Table1[[#This Row],[Area]]</f>
        <v>166.47026348808029</v>
      </c>
      <c r="I1166">
        <v>3985</v>
      </c>
      <c r="J1166">
        <v>2005</v>
      </c>
      <c r="K1166">
        <v>107</v>
      </c>
      <c r="L1166" t="s">
        <v>14</v>
      </c>
      <c r="M1166" t="s">
        <v>1685</v>
      </c>
      <c r="N1166" s="2" t="s">
        <v>3035</v>
      </c>
      <c r="O1166" t="s">
        <v>3036</v>
      </c>
      <c r="P1166" t="s">
        <v>26</v>
      </c>
      <c r="Q1166">
        <v>166.47026348808029</v>
      </c>
      <c r="R1166">
        <f ca="1">YEAR(TODAY())-Table1[[#This Row],[Year Built]]</f>
        <v>21</v>
      </c>
      <c r="S1166" t="str">
        <f>IF(Table1[[#This Row],[Days on Market]] &lt; 30,"Fast",IF(Table1[[#This Row],[Days on Market]]&lt;= 90,"Average", "Slow"))</f>
        <v>Slow</v>
      </c>
      <c r="T1166" t="str">
        <f>IF(Table1[[#This Row],[Price2]]&lt;500000,"Affordable",IF(Table1[[#This Row],[Price2]]&lt;1000000,"Mid range","Luxury"))</f>
        <v>Mid range</v>
      </c>
    </row>
    <row r="1167" spans="1:20" x14ac:dyDescent="0.35">
      <c r="A1167" s="3">
        <v>664032</v>
      </c>
      <c r="B1167" s="2" t="s">
        <v>27</v>
      </c>
      <c r="C1167">
        <v>62583</v>
      </c>
      <c r="D1167" s="2" t="s">
        <v>29</v>
      </c>
      <c r="E1167">
        <v>1</v>
      </c>
      <c r="F1167">
        <v>3</v>
      </c>
      <c r="G1167" s="4">
        <f>VALUE(SUBSTITUTE(SUBSTITUTE(Table1[[#This Row],[Price]],"$",""),",",""))</f>
        <v>664032</v>
      </c>
      <c r="H1167" s="1">
        <f>Table1[[#This Row],[Price2]]/Table1[[#This Row],[Area]]</f>
        <v>991.09253731343279</v>
      </c>
      <c r="I1167">
        <v>670</v>
      </c>
      <c r="J1167">
        <v>1996</v>
      </c>
      <c r="K1167">
        <v>17</v>
      </c>
      <c r="L1167" t="s">
        <v>14</v>
      </c>
      <c r="M1167" t="s">
        <v>2166</v>
      </c>
      <c r="N1167" s="2" t="s">
        <v>3027</v>
      </c>
      <c r="O1167" t="s">
        <v>3028</v>
      </c>
      <c r="P1167" t="s">
        <v>21</v>
      </c>
      <c r="Q1167">
        <v>991.09253731343279</v>
      </c>
      <c r="R1167">
        <f ca="1">YEAR(TODAY())-Table1[[#This Row],[Year Built]]</f>
        <v>30</v>
      </c>
      <c r="S1167" t="str">
        <f>IF(Table1[[#This Row],[Days on Market]] &lt; 30,"Fast",IF(Table1[[#This Row],[Days on Market]]&lt;= 90,"Average", "Slow"))</f>
        <v>Fast</v>
      </c>
      <c r="T1167" t="str">
        <f>IF(Table1[[#This Row],[Price2]]&lt;500000,"Affordable",IF(Table1[[#This Row],[Price2]]&lt;1000000,"Mid range","Luxury"))</f>
        <v>Mid range</v>
      </c>
    </row>
    <row r="1168" spans="1:20" x14ac:dyDescent="0.35">
      <c r="A1168" s="3">
        <v>664054</v>
      </c>
      <c r="B1168" s="2" t="s">
        <v>12</v>
      </c>
      <c r="C1168">
        <v>59100</v>
      </c>
      <c r="D1168" s="2" t="s">
        <v>29</v>
      </c>
      <c r="E1168">
        <v>4</v>
      </c>
      <c r="F1168">
        <v>2</v>
      </c>
      <c r="G1168" s="4">
        <f>VALUE(SUBSTITUTE(SUBSTITUTE(Table1[[#This Row],[Price]],"$",""),",",""))</f>
        <v>664054</v>
      </c>
      <c r="H1168" s="1">
        <f>Table1[[#This Row],[Price2]]/Table1[[#This Row],[Area]]</f>
        <v>222.53820375335121</v>
      </c>
      <c r="I1168">
        <v>2984</v>
      </c>
      <c r="J1168">
        <v>1955</v>
      </c>
      <c r="K1168">
        <v>105</v>
      </c>
      <c r="L1168" t="s">
        <v>40</v>
      </c>
      <c r="M1168" t="s">
        <v>2236</v>
      </c>
      <c r="N1168" s="2" t="s">
        <v>3029</v>
      </c>
      <c r="O1168" t="s">
        <v>3030</v>
      </c>
      <c r="P1168" t="s">
        <v>16</v>
      </c>
      <c r="Q1168">
        <v>222.53820375335121</v>
      </c>
      <c r="R1168">
        <f ca="1">YEAR(TODAY())-Table1[[#This Row],[Year Built]]</f>
        <v>71</v>
      </c>
      <c r="S1168" t="str">
        <f>IF(Table1[[#This Row],[Days on Market]] &lt; 30,"Fast",IF(Table1[[#This Row],[Days on Market]]&lt;= 90,"Average", "Slow"))</f>
        <v>Slow</v>
      </c>
      <c r="T1168" t="str">
        <f>IF(Table1[[#This Row],[Price2]]&lt;500000,"Affordable",IF(Table1[[#This Row],[Price2]]&lt;1000000,"Mid range","Luxury"))</f>
        <v>Mid range</v>
      </c>
    </row>
    <row r="1169" spans="1:20" x14ac:dyDescent="0.35">
      <c r="A1169" s="3">
        <v>664075</v>
      </c>
      <c r="B1169" s="2" t="s">
        <v>12</v>
      </c>
      <c r="C1169">
        <v>86775</v>
      </c>
      <c r="D1169" s="2" t="s">
        <v>18</v>
      </c>
      <c r="E1169">
        <v>5</v>
      </c>
      <c r="F1169">
        <v>4</v>
      </c>
      <c r="G1169" s="4">
        <f>VALUE(SUBSTITUTE(SUBSTITUTE(Table1[[#This Row],[Price]],"$",""),",",""))</f>
        <v>664075</v>
      </c>
      <c r="H1169" s="1">
        <f>Table1[[#This Row],[Price2]]/Table1[[#This Row],[Area]]</f>
        <v>356.45464304884592</v>
      </c>
      <c r="I1169">
        <v>1863</v>
      </c>
      <c r="J1169">
        <v>1965</v>
      </c>
      <c r="K1169">
        <v>15</v>
      </c>
      <c r="L1169" t="s">
        <v>52</v>
      </c>
      <c r="M1169" t="s">
        <v>2699</v>
      </c>
      <c r="N1169" s="2" t="s">
        <v>3027</v>
      </c>
      <c r="O1169" t="s">
        <v>3028</v>
      </c>
      <c r="P1169" t="s">
        <v>16</v>
      </c>
      <c r="Q1169">
        <v>356.45464304884592</v>
      </c>
      <c r="R1169">
        <f ca="1">YEAR(TODAY())-Table1[[#This Row],[Year Built]]</f>
        <v>61</v>
      </c>
      <c r="S1169" t="str">
        <f>IF(Table1[[#This Row],[Days on Market]] &lt; 30,"Fast",IF(Table1[[#This Row],[Days on Market]]&lt;= 90,"Average", "Slow"))</f>
        <v>Fast</v>
      </c>
      <c r="T1169" t="str">
        <f>IF(Table1[[#This Row],[Price2]]&lt;500000,"Affordable",IF(Table1[[#This Row],[Price2]]&lt;1000000,"Mid range","Luxury"))</f>
        <v>Mid range</v>
      </c>
    </row>
    <row r="1170" spans="1:20" x14ac:dyDescent="0.35">
      <c r="A1170" s="3">
        <v>664416</v>
      </c>
      <c r="B1170" s="2" t="s">
        <v>17</v>
      </c>
      <c r="C1170">
        <v>90922</v>
      </c>
      <c r="D1170" s="2" t="s">
        <v>13</v>
      </c>
      <c r="E1170">
        <v>3</v>
      </c>
      <c r="F1170">
        <v>4</v>
      </c>
      <c r="G1170" s="4">
        <f>VALUE(SUBSTITUTE(SUBSTITUTE(Table1[[#This Row],[Price]],"$",""),",",""))</f>
        <v>664416</v>
      </c>
      <c r="H1170" s="1">
        <f>Table1[[#This Row],[Price2]]/Table1[[#This Row],[Area]]</f>
        <v>903.96734693877556</v>
      </c>
      <c r="I1170">
        <v>735</v>
      </c>
      <c r="J1170">
        <v>1999</v>
      </c>
      <c r="K1170">
        <v>36</v>
      </c>
      <c r="L1170" t="s">
        <v>14</v>
      </c>
      <c r="M1170" t="s">
        <v>955</v>
      </c>
      <c r="N1170" s="2" t="s">
        <v>3035</v>
      </c>
      <c r="O1170" t="s">
        <v>3036</v>
      </c>
      <c r="P1170" t="s">
        <v>21</v>
      </c>
      <c r="Q1170">
        <v>903.96734693877556</v>
      </c>
      <c r="R1170">
        <f ca="1">YEAR(TODAY())-Table1[[#This Row],[Year Built]]</f>
        <v>27</v>
      </c>
      <c r="S1170" t="str">
        <f>IF(Table1[[#This Row],[Days on Market]] &lt; 30,"Fast",IF(Table1[[#This Row],[Days on Market]]&lt;= 90,"Average", "Slow"))</f>
        <v>Average</v>
      </c>
      <c r="T1170" t="str">
        <f>IF(Table1[[#This Row],[Price2]]&lt;500000,"Affordable",IF(Table1[[#This Row],[Price2]]&lt;1000000,"Mid range","Luxury"))</f>
        <v>Mid range</v>
      </c>
    </row>
    <row r="1171" spans="1:20" x14ac:dyDescent="0.35">
      <c r="A1171" s="3">
        <v>665695</v>
      </c>
      <c r="B1171" s="2" t="s">
        <v>12</v>
      </c>
      <c r="C1171">
        <v>60251</v>
      </c>
      <c r="D1171" s="2" t="s">
        <v>18</v>
      </c>
      <c r="E1171">
        <v>6</v>
      </c>
      <c r="F1171">
        <v>1</v>
      </c>
      <c r="G1171" s="4">
        <f>VALUE(SUBSTITUTE(SUBSTITUTE(Table1[[#This Row],[Price]],"$",""),",",""))</f>
        <v>665695</v>
      </c>
      <c r="H1171" s="1">
        <f>Table1[[#This Row],[Price2]]/Table1[[#This Row],[Area]]</f>
        <v>272.04536166734778</v>
      </c>
      <c r="I1171">
        <v>2447</v>
      </c>
      <c r="J1171">
        <v>2020</v>
      </c>
      <c r="K1171">
        <v>66</v>
      </c>
      <c r="L1171" t="s">
        <v>52</v>
      </c>
      <c r="M1171" t="s">
        <v>2289</v>
      </c>
      <c r="N1171" s="2" t="s">
        <v>3033</v>
      </c>
      <c r="O1171" t="s">
        <v>3034</v>
      </c>
      <c r="P1171" t="s">
        <v>21</v>
      </c>
      <c r="Q1171">
        <v>272.04536166734778</v>
      </c>
      <c r="R1171">
        <f ca="1">YEAR(TODAY())-Table1[[#This Row],[Year Built]]</f>
        <v>6</v>
      </c>
      <c r="S1171" t="str">
        <f>IF(Table1[[#This Row],[Days on Market]] &lt; 30,"Fast",IF(Table1[[#This Row],[Days on Market]]&lt;= 90,"Average", "Slow"))</f>
        <v>Average</v>
      </c>
      <c r="T1171" t="str">
        <f>IF(Table1[[#This Row],[Price2]]&lt;500000,"Affordable",IF(Table1[[#This Row],[Price2]]&lt;1000000,"Mid range","Luxury"))</f>
        <v>Mid range</v>
      </c>
    </row>
    <row r="1172" spans="1:20" x14ac:dyDescent="0.35">
      <c r="A1172" s="3">
        <v>667232</v>
      </c>
      <c r="B1172" s="2" t="s">
        <v>17</v>
      </c>
      <c r="C1172">
        <v>59040</v>
      </c>
      <c r="D1172" s="2" t="s">
        <v>13</v>
      </c>
      <c r="E1172">
        <v>6</v>
      </c>
      <c r="F1172">
        <v>3</v>
      </c>
      <c r="G1172" s="4">
        <f>VALUE(SUBSTITUTE(SUBSTITUTE(Table1[[#This Row],[Price]],"$",""),",",""))</f>
        <v>667232</v>
      </c>
      <c r="H1172" s="1">
        <f>Table1[[#This Row],[Price2]]/Table1[[#This Row],[Area]]</f>
        <v>170.12544620091791</v>
      </c>
      <c r="I1172">
        <v>3922</v>
      </c>
      <c r="J1172">
        <v>2012</v>
      </c>
      <c r="K1172">
        <v>48</v>
      </c>
      <c r="L1172" t="s">
        <v>14</v>
      </c>
      <c r="M1172" t="s">
        <v>458</v>
      </c>
      <c r="N1172" s="2" t="s">
        <v>3029</v>
      </c>
      <c r="O1172" t="s">
        <v>3030</v>
      </c>
      <c r="P1172" t="s">
        <v>21</v>
      </c>
      <c r="Q1172">
        <v>170.12544620091791</v>
      </c>
      <c r="R1172">
        <f ca="1">YEAR(TODAY())-Table1[[#This Row],[Year Built]]</f>
        <v>14</v>
      </c>
      <c r="S1172" t="str">
        <f>IF(Table1[[#This Row],[Days on Market]] &lt; 30,"Fast",IF(Table1[[#This Row],[Days on Market]]&lt;= 90,"Average", "Slow"))</f>
        <v>Average</v>
      </c>
      <c r="T1172" t="str">
        <f>IF(Table1[[#This Row],[Price2]]&lt;500000,"Affordable",IF(Table1[[#This Row],[Price2]]&lt;1000000,"Mid range","Luxury"))</f>
        <v>Mid range</v>
      </c>
    </row>
    <row r="1173" spans="1:20" x14ac:dyDescent="0.35">
      <c r="A1173" s="3">
        <v>667300</v>
      </c>
      <c r="B1173" s="2" t="s">
        <v>17</v>
      </c>
      <c r="C1173">
        <v>23730</v>
      </c>
      <c r="D1173" s="2" t="s">
        <v>13</v>
      </c>
      <c r="E1173">
        <v>1</v>
      </c>
      <c r="F1173">
        <v>2</v>
      </c>
      <c r="G1173" s="4">
        <f>VALUE(SUBSTITUTE(SUBSTITUTE(Table1[[#This Row],[Price]],"$",""),",",""))</f>
        <v>667300</v>
      </c>
      <c r="H1173" s="1">
        <f>Table1[[#This Row],[Price2]]/Table1[[#This Row],[Area]]</f>
        <v>180.40010813733443</v>
      </c>
      <c r="I1173">
        <v>3699</v>
      </c>
      <c r="J1173">
        <v>2005</v>
      </c>
      <c r="K1173">
        <v>70</v>
      </c>
      <c r="L1173" t="s">
        <v>19</v>
      </c>
      <c r="M1173" t="s">
        <v>650</v>
      </c>
      <c r="N1173" s="2" t="s">
        <v>3029</v>
      </c>
      <c r="O1173" t="s">
        <v>3030</v>
      </c>
      <c r="P1173" t="s">
        <v>16</v>
      </c>
      <c r="Q1173">
        <v>180.40010813733443</v>
      </c>
      <c r="R1173">
        <f ca="1">YEAR(TODAY())-Table1[[#This Row],[Year Built]]</f>
        <v>21</v>
      </c>
      <c r="S1173" t="str">
        <f>IF(Table1[[#This Row],[Days on Market]] &lt; 30,"Fast",IF(Table1[[#This Row],[Days on Market]]&lt;= 90,"Average", "Slow"))</f>
        <v>Average</v>
      </c>
      <c r="T1173" t="str">
        <f>IF(Table1[[#This Row],[Price2]]&lt;500000,"Affordable",IF(Table1[[#This Row],[Price2]]&lt;1000000,"Mid range","Luxury"))</f>
        <v>Mid range</v>
      </c>
    </row>
    <row r="1174" spans="1:20" x14ac:dyDescent="0.35">
      <c r="A1174" s="3">
        <v>667653</v>
      </c>
      <c r="B1174" s="2" t="s">
        <v>34</v>
      </c>
      <c r="C1174">
        <v>59991</v>
      </c>
      <c r="D1174" s="2" t="s">
        <v>29</v>
      </c>
      <c r="E1174">
        <v>6</v>
      </c>
      <c r="F1174">
        <v>4</v>
      </c>
      <c r="G1174" s="4">
        <f>VALUE(SUBSTITUTE(SUBSTITUTE(Table1[[#This Row],[Price]],"$",""),",",""))</f>
        <v>667653</v>
      </c>
      <c r="H1174" s="1">
        <f>Table1[[#This Row],[Price2]]/Table1[[#This Row],[Area]]</f>
        <v>1090.936274509804</v>
      </c>
      <c r="I1174">
        <v>612</v>
      </c>
      <c r="J1174">
        <v>1977</v>
      </c>
      <c r="K1174">
        <v>18</v>
      </c>
      <c r="L1174" t="s">
        <v>19</v>
      </c>
      <c r="M1174" t="s">
        <v>2664</v>
      </c>
      <c r="N1174" s="2" t="s">
        <v>3035</v>
      </c>
      <c r="O1174" t="s">
        <v>3036</v>
      </c>
      <c r="P1174" t="s">
        <v>21</v>
      </c>
      <c r="Q1174">
        <v>1090.936274509804</v>
      </c>
      <c r="R1174">
        <f ca="1">YEAR(TODAY())-Table1[[#This Row],[Year Built]]</f>
        <v>49</v>
      </c>
      <c r="S1174" t="str">
        <f>IF(Table1[[#This Row],[Days on Market]] &lt; 30,"Fast",IF(Table1[[#This Row],[Days on Market]]&lt;= 90,"Average", "Slow"))</f>
        <v>Fast</v>
      </c>
      <c r="T1174" t="str">
        <f>IF(Table1[[#This Row],[Price2]]&lt;500000,"Affordable",IF(Table1[[#This Row],[Price2]]&lt;1000000,"Mid range","Luxury"))</f>
        <v>Mid range</v>
      </c>
    </row>
    <row r="1175" spans="1:20" x14ac:dyDescent="0.35">
      <c r="A1175" s="3">
        <v>668183</v>
      </c>
      <c r="B1175" s="2" t="s">
        <v>22</v>
      </c>
      <c r="C1175">
        <v>36098</v>
      </c>
      <c r="D1175" s="2" t="s">
        <v>18</v>
      </c>
      <c r="E1175">
        <v>2</v>
      </c>
      <c r="F1175">
        <v>2</v>
      </c>
      <c r="G1175" s="4">
        <f>VALUE(SUBSTITUTE(SUBSTITUTE(Table1[[#This Row],[Price]],"$",""),",",""))</f>
        <v>668183</v>
      </c>
      <c r="H1175" s="1">
        <f>Table1[[#This Row],[Price2]]/Table1[[#This Row],[Area]]</f>
        <v>1004.7864661654136</v>
      </c>
      <c r="I1175">
        <v>665</v>
      </c>
      <c r="J1175">
        <v>1984</v>
      </c>
      <c r="K1175">
        <v>42</v>
      </c>
      <c r="L1175" t="s">
        <v>52</v>
      </c>
      <c r="M1175" t="s">
        <v>588</v>
      </c>
      <c r="N1175" s="2" t="s">
        <v>3031</v>
      </c>
      <c r="O1175" t="s">
        <v>3032</v>
      </c>
      <c r="P1175" t="s">
        <v>26</v>
      </c>
      <c r="Q1175">
        <v>1004.7864661654136</v>
      </c>
      <c r="R1175">
        <f ca="1">YEAR(TODAY())-Table1[[#This Row],[Year Built]]</f>
        <v>42</v>
      </c>
      <c r="S1175" t="str">
        <f>IF(Table1[[#This Row],[Days on Market]] &lt; 30,"Fast",IF(Table1[[#This Row],[Days on Market]]&lt;= 90,"Average", "Slow"))</f>
        <v>Average</v>
      </c>
      <c r="T1175" t="str">
        <f>IF(Table1[[#This Row],[Price2]]&lt;500000,"Affordable",IF(Table1[[#This Row],[Price2]]&lt;1000000,"Mid range","Luxury"))</f>
        <v>Mid range</v>
      </c>
    </row>
    <row r="1176" spans="1:20" x14ac:dyDescent="0.35">
      <c r="A1176" s="3">
        <v>668647</v>
      </c>
      <c r="B1176" s="2" t="s">
        <v>34</v>
      </c>
      <c r="C1176">
        <v>20111</v>
      </c>
      <c r="D1176" s="2" t="s">
        <v>13</v>
      </c>
      <c r="E1176">
        <v>6</v>
      </c>
      <c r="F1176">
        <v>3</v>
      </c>
      <c r="G1176" s="4">
        <f>VALUE(SUBSTITUTE(SUBSTITUTE(Table1[[#This Row],[Price]],"$",""),",",""))</f>
        <v>668647</v>
      </c>
      <c r="H1176" s="1">
        <f>Table1[[#This Row],[Price2]]/Table1[[#This Row],[Area]]</f>
        <v>235.19064368624691</v>
      </c>
      <c r="I1176">
        <v>2843</v>
      </c>
      <c r="J1176">
        <v>2008</v>
      </c>
      <c r="K1176">
        <v>100</v>
      </c>
      <c r="L1176" t="s">
        <v>19</v>
      </c>
      <c r="M1176" t="s">
        <v>1694</v>
      </c>
      <c r="N1176" s="2" t="s">
        <v>3027</v>
      </c>
      <c r="O1176" t="s">
        <v>3028</v>
      </c>
      <c r="P1176" t="s">
        <v>21</v>
      </c>
      <c r="Q1176">
        <v>235.19064368624691</v>
      </c>
      <c r="R1176">
        <f ca="1">YEAR(TODAY())-Table1[[#This Row],[Year Built]]</f>
        <v>18</v>
      </c>
      <c r="S1176" t="str">
        <f>IF(Table1[[#This Row],[Days on Market]] &lt; 30,"Fast",IF(Table1[[#This Row],[Days on Market]]&lt;= 90,"Average", "Slow"))</f>
        <v>Slow</v>
      </c>
      <c r="T1176" t="str">
        <f>IF(Table1[[#This Row],[Price2]]&lt;500000,"Affordable",IF(Table1[[#This Row],[Price2]]&lt;1000000,"Mid range","Luxury"))</f>
        <v>Mid range</v>
      </c>
    </row>
    <row r="1177" spans="1:20" x14ac:dyDescent="0.35">
      <c r="A1177" s="3">
        <v>668833</v>
      </c>
      <c r="B1177" s="2" t="s">
        <v>27</v>
      </c>
      <c r="C1177">
        <v>66826</v>
      </c>
      <c r="D1177" s="2" t="s">
        <v>35</v>
      </c>
      <c r="E1177">
        <v>5</v>
      </c>
      <c r="F1177">
        <v>1</v>
      </c>
      <c r="G1177" s="4">
        <f>VALUE(SUBSTITUTE(SUBSTITUTE(Table1[[#This Row],[Price]],"$",""),",",""))</f>
        <v>668833</v>
      </c>
      <c r="H1177" s="1">
        <f>Table1[[#This Row],[Price2]]/Table1[[#This Row],[Area]]</f>
        <v>353.13252375923969</v>
      </c>
      <c r="I1177">
        <v>1894</v>
      </c>
      <c r="J1177">
        <v>1989</v>
      </c>
      <c r="K1177">
        <v>120</v>
      </c>
      <c r="L1177" t="s">
        <v>19</v>
      </c>
      <c r="M1177" t="s">
        <v>642</v>
      </c>
      <c r="N1177" s="2" t="s">
        <v>3035</v>
      </c>
      <c r="O1177" t="s">
        <v>3036</v>
      </c>
      <c r="P1177" t="s">
        <v>21</v>
      </c>
      <c r="Q1177">
        <v>353.13252375923969</v>
      </c>
      <c r="R1177">
        <f ca="1">YEAR(TODAY())-Table1[[#This Row],[Year Built]]</f>
        <v>37</v>
      </c>
      <c r="S1177" t="str">
        <f>IF(Table1[[#This Row],[Days on Market]] &lt; 30,"Fast",IF(Table1[[#This Row],[Days on Market]]&lt;= 90,"Average", "Slow"))</f>
        <v>Slow</v>
      </c>
      <c r="T1177" t="str">
        <f>IF(Table1[[#This Row],[Price2]]&lt;500000,"Affordable",IF(Table1[[#This Row],[Price2]]&lt;1000000,"Mid range","Luxury"))</f>
        <v>Mid range</v>
      </c>
    </row>
    <row r="1178" spans="1:20" x14ac:dyDescent="0.35">
      <c r="A1178" s="3">
        <v>669294</v>
      </c>
      <c r="B1178" s="2" t="s">
        <v>22</v>
      </c>
      <c r="C1178">
        <v>92519</v>
      </c>
      <c r="D1178" s="2" t="s">
        <v>13</v>
      </c>
      <c r="E1178">
        <v>3</v>
      </c>
      <c r="F1178">
        <v>1</v>
      </c>
      <c r="G1178" s="4">
        <f>VALUE(SUBSTITUTE(SUBSTITUTE(Table1[[#This Row],[Price]],"$",""),",",""))</f>
        <v>669294</v>
      </c>
      <c r="H1178" s="1">
        <f>Table1[[#This Row],[Price2]]/Table1[[#This Row],[Area]]</f>
        <v>371.83</v>
      </c>
      <c r="I1178">
        <v>1800</v>
      </c>
      <c r="J1178">
        <v>2005</v>
      </c>
      <c r="K1178">
        <v>18</v>
      </c>
      <c r="L1178" t="s">
        <v>40</v>
      </c>
      <c r="M1178" t="s">
        <v>1951</v>
      </c>
      <c r="N1178" s="2" t="s">
        <v>3033</v>
      </c>
      <c r="O1178" t="s">
        <v>3034</v>
      </c>
      <c r="P1178" t="s">
        <v>21</v>
      </c>
      <c r="Q1178">
        <v>371.83</v>
      </c>
      <c r="R1178">
        <f ca="1">YEAR(TODAY())-Table1[[#This Row],[Year Built]]</f>
        <v>21</v>
      </c>
      <c r="S1178" t="str">
        <f>IF(Table1[[#This Row],[Days on Market]] &lt; 30,"Fast",IF(Table1[[#This Row],[Days on Market]]&lt;= 90,"Average", "Slow"))</f>
        <v>Fast</v>
      </c>
      <c r="T1178" t="str">
        <f>IF(Table1[[#This Row],[Price2]]&lt;500000,"Affordable",IF(Table1[[#This Row],[Price2]]&lt;1000000,"Mid range","Luxury"))</f>
        <v>Mid range</v>
      </c>
    </row>
    <row r="1179" spans="1:20" x14ac:dyDescent="0.35">
      <c r="A1179" s="3">
        <v>669489</v>
      </c>
      <c r="B1179" s="2" t="s">
        <v>34</v>
      </c>
      <c r="C1179">
        <v>44960</v>
      </c>
      <c r="D1179" s="2" t="s">
        <v>13</v>
      </c>
      <c r="E1179">
        <v>6</v>
      </c>
      <c r="F1179">
        <v>4</v>
      </c>
      <c r="G1179" s="4">
        <f>VALUE(SUBSTITUTE(SUBSTITUTE(Table1[[#This Row],[Price]],"$",""),",",""))</f>
        <v>669489</v>
      </c>
      <c r="H1179" s="1">
        <f>Table1[[#This Row],[Price2]]/Table1[[#This Row],[Area]]</f>
        <v>262.03091976516635</v>
      </c>
      <c r="I1179">
        <v>2555</v>
      </c>
      <c r="J1179">
        <v>2003</v>
      </c>
      <c r="K1179">
        <v>36</v>
      </c>
      <c r="L1179" t="s">
        <v>14</v>
      </c>
      <c r="M1179" t="s">
        <v>1956</v>
      </c>
      <c r="N1179" s="2" t="s">
        <v>3035</v>
      </c>
      <c r="O1179" t="s">
        <v>3036</v>
      </c>
      <c r="P1179" t="s">
        <v>26</v>
      </c>
      <c r="Q1179">
        <v>262.03091976516635</v>
      </c>
      <c r="R1179">
        <f ca="1">YEAR(TODAY())-Table1[[#This Row],[Year Built]]</f>
        <v>23</v>
      </c>
      <c r="S1179" t="str">
        <f>IF(Table1[[#This Row],[Days on Market]] &lt; 30,"Fast",IF(Table1[[#This Row],[Days on Market]]&lt;= 90,"Average", "Slow"))</f>
        <v>Average</v>
      </c>
      <c r="T1179" t="str">
        <f>IF(Table1[[#This Row],[Price2]]&lt;500000,"Affordable",IF(Table1[[#This Row],[Price2]]&lt;1000000,"Mid range","Luxury"))</f>
        <v>Mid range</v>
      </c>
    </row>
    <row r="1180" spans="1:20" x14ac:dyDescent="0.35">
      <c r="A1180" s="3">
        <v>671356</v>
      </c>
      <c r="B1180" s="2" t="s">
        <v>34</v>
      </c>
      <c r="C1180">
        <v>80680</v>
      </c>
      <c r="D1180" s="2" t="s">
        <v>18</v>
      </c>
      <c r="E1180">
        <v>5</v>
      </c>
      <c r="F1180">
        <v>4</v>
      </c>
      <c r="G1180" s="4">
        <f>VALUE(SUBSTITUTE(SUBSTITUTE(Table1[[#This Row],[Price]],"$",""),",",""))</f>
        <v>671356</v>
      </c>
      <c r="H1180" s="1">
        <f>Table1[[#This Row],[Price2]]/Table1[[#This Row],[Area]]</f>
        <v>914.65395095367842</v>
      </c>
      <c r="I1180">
        <v>734</v>
      </c>
      <c r="J1180">
        <v>2006</v>
      </c>
      <c r="K1180">
        <v>1</v>
      </c>
      <c r="L1180" t="s">
        <v>30</v>
      </c>
      <c r="M1180" t="s">
        <v>135</v>
      </c>
      <c r="N1180" s="2" t="s">
        <v>3027</v>
      </c>
      <c r="O1180" t="s">
        <v>3028</v>
      </c>
      <c r="P1180" t="s">
        <v>26</v>
      </c>
      <c r="Q1180">
        <v>914.65395095367842</v>
      </c>
      <c r="R1180">
        <f ca="1">YEAR(TODAY())-Table1[[#This Row],[Year Built]]</f>
        <v>20</v>
      </c>
      <c r="S1180" t="str">
        <f>IF(Table1[[#This Row],[Days on Market]] &lt; 30,"Fast",IF(Table1[[#This Row],[Days on Market]]&lt;= 90,"Average", "Slow"))</f>
        <v>Fast</v>
      </c>
      <c r="T1180" t="str">
        <f>IF(Table1[[#This Row],[Price2]]&lt;500000,"Affordable",IF(Table1[[#This Row],[Price2]]&lt;1000000,"Mid range","Luxury"))</f>
        <v>Mid range</v>
      </c>
    </row>
    <row r="1181" spans="1:20" x14ac:dyDescent="0.35">
      <c r="A1181" s="3">
        <v>671605</v>
      </c>
      <c r="B1181" s="2" t="s">
        <v>34</v>
      </c>
      <c r="C1181">
        <v>76081</v>
      </c>
      <c r="D1181" s="2" t="s">
        <v>18</v>
      </c>
      <c r="E1181">
        <v>1</v>
      </c>
      <c r="F1181">
        <v>3</v>
      </c>
      <c r="G1181" s="4">
        <f>VALUE(SUBSTITUTE(SUBSTITUTE(Table1[[#This Row],[Price]],"$",""),",",""))</f>
        <v>671605</v>
      </c>
      <c r="H1181" s="1">
        <f>Table1[[#This Row],[Price2]]/Table1[[#This Row],[Area]]</f>
        <v>216.99676898222941</v>
      </c>
      <c r="I1181">
        <v>3095</v>
      </c>
      <c r="J1181">
        <v>2017</v>
      </c>
      <c r="K1181">
        <v>45</v>
      </c>
      <c r="L1181" t="s">
        <v>19</v>
      </c>
      <c r="M1181" t="s">
        <v>2991</v>
      </c>
      <c r="N1181" s="2" t="s">
        <v>3031</v>
      </c>
      <c r="O1181" t="s">
        <v>3032</v>
      </c>
      <c r="P1181" t="s">
        <v>16</v>
      </c>
      <c r="Q1181">
        <v>216.99676898222941</v>
      </c>
      <c r="R1181">
        <f ca="1">YEAR(TODAY())-Table1[[#This Row],[Year Built]]</f>
        <v>9</v>
      </c>
      <c r="S1181" t="str">
        <f>IF(Table1[[#This Row],[Days on Market]] &lt; 30,"Fast",IF(Table1[[#This Row],[Days on Market]]&lt;= 90,"Average", "Slow"))</f>
        <v>Average</v>
      </c>
      <c r="T1181" t="str">
        <f>IF(Table1[[#This Row],[Price2]]&lt;500000,"Affordable",IF(Table1[[#This Row],[Price2]]&lt;1000000,"Mid range","Luxury"))</f>
        <v>Mid range</v>
      </c>
    </row>
    <row r="1182" spans="1:20" x14ac:dyDescent="0.35">
      <c r="A1182" s="3">
        <v>671864</v>
      </c>
      <c r="B1182" s="2" t="s">
        <v>27</v>
      </c>
      <c r="C1182">
        <v>82504</v>
      </c>
      <c r="D1182" s="2" t="s">
        <v>29</v>
      </c>
      <c r="E1182">
        <v>1</v>
      </c>
      <c r="F1182">
        <v>2</v>
      </c>
      <c r="G1182" s="4">
        <f>VALUE(SUBSTITUTE(SUBSTITUTE(Table1[[#This Row],[Price]],"$",""),",",""))</f>
        <v>671864</v>
      </c>
      <c r="H1182" s="1">
        <f>Table1[[#This Row],[Price2]]/Table1[[#This Row],[Area]]</f>
        <v>182.62136450122316</v>
      </c>
      <c r="I1182">
        <v>3679</v>
      </c>
      <c r="J1182">
        <v>1984</v>
      </c>
      <c r="K1182">
        <v>5</v>
      </c>
      <c r="L1182" t="s">
        <v>19</v>
      </c>
      <c r="M1182" t="s">
        <v>310</v>
      </c>
      <c r="N1182" s="2" t="s">
        <v>3035</v>
      </c>
      <c r="O1182" t="s">
        <v>3036</v>
      </c>
      <c r="P1182" t="s">
        <v>26</v>
      </c>
      <c r="Q1182">
        <v>182.62136450122316</v>
      </c>
      <c r="R1182">
        <f ca="1">YEAR(TODAY())-Table1[[#This Row],[Year Built]]</f>
        <v>42</v>
      </c>
      <c r="S1182" t="str">
        <f>IF(Table1[[#This Row],[Days on Market]] &lt; 30,"Fast",IF(Table1[[#This Row],[Days on Market]]&lt;= 90,"Average", "Slow"))</f>
        <v>Fast</v>
      </c>
      <c r="T1182" t="str">
        <f>IF(Table1[[#This Row],[Price2]]&lt;500000,"Affordable",IF(Table1[[#This Row],[Price2]]&lt;1000000,"Mid range","Luxury"))</f>
        <v>Mid range</v>
      </c>
    </row>
    <row r="1183" spans="1:20" x14ac:dyDescent="0.35">
      <c r="A1183" s="3">
        <v>672743</v>
      </c>
      <c r="B1183" s="2" t="s">
        <v>22</v>
      </c>
      <c r="C1183">
        <v>75044</v>
      </c>
      <c r="D1183" s="2" t="s">
        <v>29</v>
      </c>
      <c r="E1183">
        <v>3</v>
      </c>
      <c r="F1183">
        <v>1</v>
      </c>
      <c r="G1183" s="4">
        <f>VALUE(SUBSTITUTE(SUBSTITUTE(Table1[[#This Row],[Price]],"$",""),",",""))</f>
        <v>672743</v>
      </c>
      <c r="H1183" s="1">
        <f>Table1[[#This Row],[Price2]]/Table1[[#This Row],[Area]]</f>
        <v>169.07338527268158</v>
      </c>
      <c r="I1183">
        <v>3979</v>
      </c>
      <c r="J1183">
        <v>1967</v>
      </c>
      <c r="K1183">
        <v>94</v>
      </c>
      <c r="L1183" t="s">
        <v>40</v>
      </c>
      <c r="M1183" t="s">
        <v>1844</v>
      </c>
      <c r="N1183" s="2" t="s">
        <v>3029</v>
      </c>
      <c r="O1183" t="s">
        <v>3030</v>
      </c>
      <c r="P1183" t="s">
        <v>26</v>
      </c>
      <c r="Q1183">
        <v>169.07338527268158</v>
      </c>
      <c r="R1183">
        <f ca="1">YEAR(TODAY())-Table1[[#This Row],[Year Built]]</f>
        <v>59</v>
      </c>
      <c r="S1183" t="str">
        <f>IF(Table1[[#This Row],[Days on Market]] &lt; 30,"Fast",IF(Table1[[#This Row],[Days on Market]]&lt;= 90,"Average", "Slow"))</f>
        <v>Slow</v>
      </c>
      <c r="T1183" t="str">
        <f>IF(Table1[[#This Row],[Price2]]&lt;500000,"Affordable",IF(Table1[[#This Row],[Price2]]&lt;1000000,"Mid range","Luxury"))</f>
        <v>Mid range</v>
      </c>
    </row>
    <row r="1184" spans="1:20" x14ac:dyDescent="0.35">
      <c r="A1184" s="3">
        <v>672952</v>
      </c>
      <c r="B1184" s="2" t="s">
        <v>12</v>
      </c>
      <c r="C1184">
        <v>48097</v>
      </c>
      <c r="D1184" s="2" t="s">
        <v>29</v>
      </c>
      <c r="E1184">
        <v>3</v>
      </c>
      <c r="F1184">
        <v>4</v>
      </c>
      <c r="G1184" s="4">
        <f>VALUE(SUBSTITUTE(SUBSTITUTE(Table1[[#This Row],[Price]],"$",""),",",""))</f>
        <v>672952</v>
      </c>
      <c r="H1184" s="1">
        <f>Table1[[#This Row],[Price2]]/Table1[[#This Row],[Area]]</f>
        <v>577.14579759862784</v>
      </c>
      <c r="I1184">
        <v>1166</v>
      </c>
      <c r="J1184">
        <v>2002</v>
      </c>
      <c r="K1184">
        <v>34</v>
      </c>
      <c r="L1184" t="s">
        <v>52</v>
      </c>
      <c r="M1184" t="s">
        <v>257</v>
      </c>
      <c r="N1184" s="2" t="s">
        <v>3027</v>
      </c>
      <c r="O1184" t="s">
        <v>3028</v>
      </c>
      <c r="P1184" t="s">
        <v>21</v>
      </c>
      <c r="Q1184">
        <v>577.14579759862784</v>
      </c>
      <c r="R1184">
        <f ca="1">YEAR(TODAY())-Table1[[#This Row],[Year Built]]</f>
        <v>24</v>
      </c>
      <c r="S1184" t="str">
        <f>IF(Table1[[#This Row],[Days on Market]] &lt; 30,"Fast",IF(Table1[[#This Row],[Days on Market]]&lt;= 90,"Average", "Slow"))</f>
        <v>Average</v>
      </c>
      <c r="T1184" t="str">
        <f>IF(Table1[[#This Row],[Price2]]&lt;500000,"Affordable",IF(Table1[[#This Row],[Price2]]&lt;1000000,"Mid range","Luxury"))</f>
        <v>Mid range</v>
      </c>
    </row>
    <row r="1185" spans="1:20" x14ac:dyDescent="0.35">
      <c r="A1185" s="3">
        <v>672952</v>
      </c>
      <c r="B1185" s="2" t="s">
        <v>22</v>
      </c>
      <c r="C1185">
        <v>31075</v>
      </c>
      <c r="D1185" s="2" t="s">
        <v>29</v>
      </c>
      <c r="E1185">
        <v>2</v>
      </c>
      <c r="F1185">
        <v>1</v>
      </c>
      <c r="G1185" s="4">
        <f>VALUE(SUBSTITUTE(SUBSTITUTE(Table1[[#This Row],[Price]],"$",""),",",""))</f>
        <v>672952</v>
      </c>
      <c r="H1185" s="1">
        <f>Table1[[#This Row],[Price2]]/Table1[[#This Row],[Area]]</f>
        <v>249.05699481865284</v>
      </c>
      <c r="I1185">
        <v>2702</v>
      </c>
      <c r="J1185">
        <v>1961</v>
      </c>
      <c r="K1185">
        <v>12</v>
      </c>
      <c r="L1185" t="s">
        <v>30</v>
      </c>
      <c r="M1185" t="s">
        <v>533</v>
      </c>
      <c r="N1185" s="2" t="s">
        <v>3035</v>
      </c>
      <c r="O1185" t="s">
        <v>3036</v>
      </c>
      <c r="P1185" t="s">
        <v>26</v>
      </c>
      <c r="Q1185">
        <v>249.05699481865284</v>
      </c>
      <c r="R1185">
        <f ca="1">YEAR(TODAY())-Table1[[#This Row],[Year Built]]</f>
        <v>65</v>
      </c>
      <c r="S1185" t="str">
        <f>IF(Table1[[#This Row],[Days on Market]] &lt; 30,"Fast",IF(Table1[[#This Row],[Days on Market]]&lt;= 90,"Average", "Slow"))</f>
        <v>Fast</v>
      </c>
      <c r="T1185" t="str">
        <f>IF(Table1[[#This Row],[Price2]]&lt;500000,"Affordable",IF(Table1[[#This Row],[Price2]]&lt;1000000,"Mid range","Luxury"))</f>
        <v>Mid range</v>
      </c>
    </row>
    <row r="1186" spans="1:20" x14ac:dyDescent="0.35">
      <c r="A1186" s="3">
        <v>673167</v>
      </c>
      <c r="B1186" s="2" t="s">
        <v>34</v>
      </c>
      <c r="C1186">
        <v>31215</v>
      </c>
      <c r="D1186" s="2" t="s">
        <v>23</v>
      </c>
      <c r="E1186">
        <v>2</v>
      </c>
      <c r="F1186">
        <v>2</v>
      </c>
      <c r="G1186" s="4">
        <f>VALUE(SUBSTITUTE(SUBSTITUTE(Table1[[#This Row],[Price]],"$",""),",",""))</f>
        <v>673167</v>
      </c>
      <c r="H1186" s="1">
        <f>Table1[[#This Row],[Price2]]/Table1[[#This Row],[Area]]</f>
        <v>546.84565393988623</v>
      </c>
      <c r="I1186">
        <v>1231</v>
      </c>
      <c r="J1186">
        <v>1999</v>
      </c>
      <c r="K1186">
        <v>10</v>
      </c>
      <c r="L1186" t="s">
        <v>30</v>
      </c>
      <c r="M1186" t="s">
        <v>2062</v>
      </c>
      <c r="N1186" s="2" t="s">
        <v>3031</v>
      </c>
      <c r="O1186" t="s">
        <v>3032</v>
      </c>
      <c r="P1186" t="s">
        <v>16</v>
      </c>
      <c r="Q1186">
        <v>546.84565393988623</v>
      </c>
      <c r="R1186">
        <f ca="1">YEAR(TODAY())-Table1[[#This Row],[Year Built]]</f>
        <v>27</v>
      </c>
      <c r="S1186" t="str">
        <f>IF(Table1[[#This Row],[Days on Market]] &lt; 30,"Fast",IF(Table1[[#This Row],[Days on Market]]&lt;= 90,"Average", "Slow"))</f>
        <v>Fast</v>
      </c>
      <c r="T1186" t="str">
        <f>IF(Table1[[#This Row],[Price2]]&lt;500000,"Affordable",IF(Table1[[#This Row],[Price2]]&lt;1000000,"Mid range","Luxury"))</f>
        <v>Mid range</v>
      </c>
    </row>
    <row r="1187" spans="1:20" x14ac:dyDescent="0.35">
      <c r="A1187" s="3">
        <v>674018</v>
      </c>
      <c r="B1187" s="2" t="s">
        <v>34</v>
      </c>
      <c r="C1187">
        <v>91060</v>
      </c>
      <c r="D1187" s="2" t="s">
        <v>35</v>
      </c>
      <c r="E1187">
        <v>6</v>
      </c>
      <c r="F1187">
        <v>2</v>
      </c>
      <c r="G1187" s="4">
        <f>VALUE(SUBSTITUTE(SUBSTITUTE(Table1[[#This Row],[Price]],"$",""),",",""))</f>
        <v>674018</v>
      </c>
      <c r="H1187" s="1">
        <f>Table1[[#This Row],[Price2]]/Table1[[#This Row],[Area]]</f>
        <v>373.41717451523544</v>
      </c>
      <c r="I1187">
        <v>1805</v>
      </c>
      <c r="J1187">
        <v>2023</v>
      </c>
      <c r="K1187">
        <v>63</v>
      </c>
      <c r="L1187" t="s">
        <v>30</v>
      </c>
      <c r="M1187" t="s">
        <v>2808</v>
      </c>
      <c r="N1187" s="2" t="s">
        <v>3033</v>
      </c>
      <c r="O1187" t="s">
        <v>3034</v>
      </c>
      <c r="P1187" t="s">
        <v>16</v>
      </c>
      <c r="Q1187">
        <v>373.41717451523544</v>
      </c>
      <c r="R1187">
        <f ca="1">YEAR(TODAY())-Table1[[#This Row],[Year Built]]</f>
        <v>3</v>
      </c>
      <c r="S1187" t="str">
        <f>IF(Table1[[#This Row],[Days on Market]] &lt; 30,"Fast",IF(Table1[[#This Row],[Days on Market]]&lt;= 90,"Average", "Slow"))</f>
        <v>Average</v>
      </c>
      <c r="T1187" t="str">
        <f>IF(Table1[[#This Row],[Price2]]&lt;500000,"Affordable",IF(Table1[[#This Row],[Price2]]&lt;1000000,"Mid range","Luxury"))</f>
        <v>Mid range</v>
      </c>
    </row>
    <row r="1188" spans="1:20" x14ac:dyDescent="0.35">
      <c r="A1188" s="3">
        <v>676318</v>
      </c>
      <c r="B1188" s="2" t="s">
        <v>22</v>
      </c>
      <c r="C1188">
        <v>92999</v>
      </c>
      <c r="D1188" s="2" t="s">
        <v>29</v>
      </c>
      <c r="E1188">
        <v>1</v>
      </c>
      <c r="F1188">
        <v>1</v>
      </c>
      <c r="G1188" s="4">
        <f>VALUE(SUBSTITUTE(SUBSTITUTE(Table1[[#This Row],[Price]],"$",""),",",""))</f>
        <v>676318</v>
      </c>
      <c r="H1188" s="1">
        <f>Table1[[#This Row],[Price2]]/Table1[[#This Row],[Area]]</f>
        <v>171.48022312373226</v>
      </c>
      <c r="I1188">
        <v>3944</v>
      </c>
      <c r="J1188">
        <v>1957</v>
      </c>
      <c r="K1188">
        <v>79</v>
      </c>
      <c r="L1188" t="s">
        <v>19</v>
      </c>
      <c r="M1188" t="s">
        <v>1024</v>
      </c>
      <c r="N1188" s="2" t="s">
        <v>3027</v>
      </c>
      <c r="O1188" t="s">
        <v>3028</v>
      </c>
      <c r="P1188" t="s">
        <v>26</v>
      </c>
      <c r="Q1188">
        <v>171.48022312373226</v>
      </c>
      <c r="R1188">
        <f ca="1">YEAR(TODAY())-Table1[[#This Row],[Year Built]]</f>
        <v>69</v>
      </c>
      <c r="S1188" t="str">
        <f>IF(Table1[[#This Row],[Days on Market]] &lt; 30,"Fast",IF(Table1[[#This Row],[Days on Market]]&lt;= 90,"Average", "Slow"))</f>
        <v>Average</v>
      </c>
      <c r="T1188" t="str">
        <f>IF(Table1[[#This Row],[Price2]]&lt;500000,"Affordable",IF(Table1[[#This Row],[Price2]]&lt;1000000,"Mid range","Luxury"))</f>
        <v>Mid range</v>
      </c>
    </row>
    <row r="1189" spans="1:20" x14ac:dyDescent="0.35">
      <c r="A1189" s="3">
        <v>677428</v>
      </c>
      <c r="B1189" s="2" t="s">
        <v>12</v>
      </c>
      <c r="C1189">
        <v>89347</v>
      </c>
      <c r="D1189" s="2" t="s">
        <v>29</v>
      </c>
      <c r="E1189">
        <v>4</v>
      </c>
      <c r="F1189">
        <v>3</v>
      </c>
      <c r="G1189" s="4">
        <f>VALUE(SUBSTITUTE(SUBSTITUTE(Table1[[#This Row],[Price]],"$",""),",",""))</f>
        <v>677428</v>
      </c>
      <c r="H1189" s="1">
        <f>Table1[[#This Row],[Price2]]/Table1[[#This Row],[Area]]</f>
        <v>709.34869109947647</v>
      </c>
      <c r="I1189">
        <v>955</v>
      </c>
      <c r="J1189">
        <v>1965</v>
      </c>
      <c r="K1189">
        <v>58</v>
      </c>
      <c r="L1189" t="s">
        <v>19</v>
      </c>
      <c r="M1189" t="s">
        <v>1281</v>
      </c>
      <c r="N1189" s="2" t="s">
        <v>3033</v>
      </c>
      <c r="O1189" t="s">
        <v>3034</v>
      </c>
      <c r="P1189" t="s">
        <v>26</v>
      </c>
      <c r="Q1189">
        <v>709.34869109947647</v>
      </c>
      <c r="R1189">
        <f ca="1">YEAR(TODAY())-Table1[[#This Row],[Year Built]]</f>
        <v>61</v>
      </c>
      <c r="S1189" t="str">
        <f>IF(Table1[[#This Row],[Days on Market]] &lt; 30,"Fast",IF(Table1[[#This Row],[Days on Market]]&lt;= 90,"Average", "Slow"))</f>
        <v>Average</v>
      </c>
      <c r="T1189" t="str">
        <f>IF(Table1[[#This Row],[Price2]]&lt;500000,"Affordable",IF(Table1[[#This Row],[Price2]]&lt;1000000,"Mid range","Luxury"))</f>
        <v>Mid range</v>
      </c>
    </row>
    <row r="1190" spans="1:20" x14ac:dyDescent="0.35">
      <c r="A1190" s="3">
        <v>677587</v>
      </c>
      <c r="B1190" s="2" t="s">
        <v>17</v>
      </c>
      <c r="C1190">
        <v>76238</v>
      </c>
      <c r="D1190" s="2" t="s">
        <v>23</v>
      </c>
      <c r="E1190">
        <v>6</v>
      </c>
      <c r="F1190">
        <v>1</v>
      </c>
      <c r="G1190" s="4">
        <f>VALUE(SUBSTITUTE(SUBSTITUTE(Table1[[#This Row],[Price]],"$",""),",",""))</f>
        <v>677587</v>
      </c>
      <c r="H1190" s="1">
        <f>Table1[[#This Row],[Price2]]/Table1[[#This Row],[Area]]</f>
        <v>295.760366652117</v>
      </c>
      <c r="I1190">
        <v>2291</v>
      </c>
      <c r="J1190">
        <v>1996</v>
      </c>
      <c r="K1190">
        <v>22</v>
      </c>
      <c r="L1190" t="s">
        <v>52</v>
      </c>
      <c r="M1190" t="s">
        <v>2409</v>
      </c>
      <c r="N1190" s="2" t="s">
        <v>3029</v>
      </c>
      <c r="O1190" t="s">
        <v>3030</v>
      </c>
      <c r="P1190" t="s">
        <v>26</v>
      </c>
      <c r="Q1190">
        <v>295.760366652117</v>
      </c>
      <c r="R1190">
        <f ca="1">YEAR(TODAY())-Table1[[#This Row],[Year Built]]</f>
        <v>30</v>
      </c>
      <c r="S1190" t="str">
        <f>IF(Table1[[#This Row],[Days on Market]] &lt; 30,"Fast",IF(Table1[[#This Row],[Days on Market]]&lt;= 90,"Average", "Slow"))</f>
        <v>Fast</v>
      </c>
      <c r="T1190" t="str">
        <f>IF(Table1[[#This Row],[Price2]]&lt;500000,"Affordable",IF(Table1[[#This Row],[Price2]]&lt;1000000,"Mid range","Luxury"))</f>
        <v>Mid range</v>
      </c>
    </row>
    <row r="1191" spans="1:20" x14ac:dyDescent="0.35">
      <c r="A1191" s="3">
        <v>677597</v>
      </c>
      <c r="B1191" s="2" t="s">
        <v>17</v>
      </c>
      <c r="C1191">
        <v>66275</v>
      </c>
      <c r="D1191" s="2" t="s">
        <v>18</v>
      </c>
      <c r="E1191">
        <v>1</v>
      </c>
      <c r="F1191">
        <v>4</v>
      </c>
      <c r="G1191" s="4">
        <f>VALUE(SUBSTITUTE(SUBSTITUTE(Table1[[#This Row],[Price]],"$",""),",",""))</f>
        <v>677597</v>
      </c>
      <c r="H1191" s="1">
        <f>Table1[[#This Row],[Price2]]/Table1[[#This Row],[Area]]</f>
        <v>194.43242467718795</v>
      </c>
      <c r="I1191">
        <v>3485</v>
      </c>
      <c r="J1191">
        <v>1989</v>
      </c>
      <c r="K1191">
        <v>101</v>
      </c>
      <c r="L1191" t="s">
        <v>30</v>
      </c>
      <c r="M1191" t="s">
        <v>809</v>
      </c>
      <c r="N1191" s="2" t="s">
        <v>3033</v>
      </c>
      <c r="O1191" t="s">
        <v>3034</v>
      </c>
      <c r="P1191" t="s">
        <v>26</v>
      </c>
      <c r="Q1191">
        <v>194.43242467718795</v>
      </c>
      <c r="R1191">
        <f ca="1">YEAR(TODAY())-Table1[[#This Row],[Year Built]]</f>
        <v>37</v>
      </c>
      <c r="S1191" t="str">
        <f>IF(Table1[[#This Row],[Days on Market]] &lt; 30,"Fast",IF(Table1[[#This Row],[Days on Market]]&lt;= 90,"Average", "Slow"))</f>
        <v>Slow</v>
      </c>
      <c r="T1191" t="str">
        <f>IF(Table1[[#This Row],[Price2]]&lt;500000,"Affordable",IF(Table1[[#This Row],[Price2]]&lt;1000000,"Mid range","Luxury"))</f>
        <v>Mid range</v>
      </c>
    </row>
    <row r="1192" spans="1:20" x14ac:dyDescent="0.35">
      <c r="A1192" s="3">
        <v>678162</v>
      </c>
      <c r="B1192" s="2" t="s">
        <v>22</v>
      </c>
      <c r="C1192">
        <v>80466</v>
      </c>
      <c r="D1192" s="2" t="s">
        <v>29</v>
      </c>
      <c r="E1192">
        <v>2</v>
      </c>
      <c r="F1192">
        <v>2</v>
      </c>
      <c r="G1192" s="4">
        <f>VALUE(SUBSTITUTE(SUBSTITUTE(Table1[[#This Row],[Price]],"$",""),",",""))</f>
        <v>678162</v>
      </c>
      <c r="H1192" s="1">
        <f>Table1[[#This Row],[Price2]]/Table1[[#This Row],[Area]]</f>
        <v>756.03344481605347</v>
      </c>
      <c r="I1192">
        <v>897</v>
      </c>
      <c r="J1192">
        <v>1992</v>
      </c>
      <c r="K1192">
        <v>102</v>
      </c>
      <c r="L1192" t="s">
        <v>14</v>
      </c>
      <c r="M1192" t="s">
        <v>2275</v>
      </c>
      <c r="N1192" s="2" t="s">
        <v>3033</v>
      </c>
      <c r="O1192" t="s">
        <v>3034</v>
      </c>
      <c r="P1192" t="s">
        <v>26</v>
      </c>
      <c r="Q1192">
        <v>756.03344481605347</v>
      </c>
      <c r="R1192">
        <f ca="1">YEAR(TODAY())-Table1[[#This Row],[Year Built]]</f>
        <v>34</v>
      </c>
      <c r="S1192" t="str">
        <f>IF(Table1[[#This Row],[Days on Market]] &lt; 30,"Fast",IF(Table1[[#This Row],[Days on Market]]&lt;= 90,"Average", "Slow"))</f>
        <v>Slow</v>
      </c>
      <c r="T1192" t="str">
        <f>IF(Table1[[#This Row],[Price2]]&lt;500000,"Affordable",IF(Table1[[#This Row],[Price2]]&lt;1000000,"Mid range","Luxury"))</f>
        <v>Mid range</v>
      </c>
    </row>
    <row r="1193" spans="1:20" x14ac:dyDescent="0.35">
      <c r="A1193" s="3">
        <v>678604</v>
      </c>
      <c r="B1193" s="2" t="s">
        <v>12</v>
      </c>
      <c r="C1193">
        <v>70072</v>
      </c>
      <c r="D1193" s="2" t="s">
        <v>35</v>
      </c>
      <c r="E1193">
        <v>3</v>
      </c>
      <c r="F1193">
        <v>3</v>
      </c>
      <c r="G1193" s="4">
        <f>VALUE(SUBSTITUTE(SUBSTITUTE(Table1[[#This Row],[Price]],"$",""),",",""))</f>
        <v>678604</v>
      </c>
      <c r="H1193" s="1">
        <f>Table1[[#This Row],[Price2]]/Table1[[#This Row],[Area]]</f>
        <v>288.7676595744681</v>
      </c>
      <c r="I1193">
        <v>2350</v>
      </c>
      <c r="J1193">
        <v>2013</v>
      </c>
      <c r="K1193">
        <v>25</v>
      </c>
      <c r="L1193" t="s">
        <v>30</v>
      </c>
      <c r="M1193" t="s">
        <v>38</v>
      </c>
      <c r="N1193" s="2" t="s">
        <v>3033</v>
      </c>
      <c r="O1193" t="s">
        <v>3034</v>
      </c>
      <c r="P1193" t="s">
        <v>26</v>
      </c>
      <c r="Q1193">
        <v>288.7676595744681</v>
      </c>
      <c r="R1193">
        <f ca="1">YEAR(TODAY())-Table1[[#This Row],[Year Built]]</f>
        <v>13</v>
      </c>
      <c r="S1193" t="str">
        <f>IF(Table1[[#This Row],[Days on Market]] &lt; 30,"Fast",IF(Table1[[#This Row],[Days on Market]]&lt;= 90,"Average", "Slow"))</f>
        <v>Fast</v>
      </c>
      <c r="T1193" t="str">
        <f>IF(Table1[[#This Row],[Price2]]&lt;500000,"Affordable",IF(Table1[[#This Row],[Price2]]&lt;1000000,"Mid range","Luxury"))</f>
        <v>Mid range</v>
      </c>
    </row>
    <row r="1194" spans="1:20" x14ac:dyDescent="0.35">
      <c r="A1194" s="3">
        <v>678686</v>
      </c>
      <c r="B1194" s="2" t="s">
        <v>27</v>
      </c>
      <c r="C1194">
        <v>35507</v>
      </c>
      <c r="D1194" s="2" t="s">
        <v>18</v>
      </c>
      <c r="E1194">
        <v>6</v>
      </c>
      <c r="F1194">
        <v>4</v>
      </c>
      <c r="G1194" s="4">
        <f>VALUE(SUBSTITUTE(SUBSTITUTE(Table1[[#This Row],[Price]],"$",""),",",""))</f>
        <v>678686</v>
      </c>
      <c r="H1194" s="1">
        <f>Table1[[#This Row],[Price2]]/Table1[[#This Row],[Area]]</f>
        <v>372.49506037321623</v>
      </c>
      <c r="I1194">
        <v>1822</v>
      </c>
      <c r="J1194">
        <v>2017</v>
      </c>
      <c r="K1194">
        <v>109</v>
      </c>
      <c r="L1194" t="s">
        <v>14</v>
      </c>
      <c r="M1194" t="s">
        <v>1520</v>
      </c>
      <c r="N1194" s="2" t="s">
        <v>3031</v>
      </c>
      <c r="O1194" t="s">
        <v>3032</v>
      </c>
      <c r="P1194" t="s">
        <v>26</v>
      </c>
      <c r="Q1194">
        <v>372.49506037321623</v>
      </c>
      <c r="R1194">
        <f ca="1">YEAR(TODAY())-Table1[[#This Row],[Year Built]]</f>
        <v>9</v>
      </c>
      <c r="S1194" t="str">
        <f>IF(Table1[[#This Row],[Days on Market]] &lt; 30,"Fast",IF(Table1[[#This Row],[Days on Market]]&lt;= 90,"Average", "Slow"))</f>
        <v>Slow</v>
      </c>
      <c r="T1194" t="str">
        <f>IF(Table1[[#This Row],[Price2]]&lt;500000,"Affordable",IF(Table1[[#This Row],[Price2]]&lt;1000000,"Mid range","Luxury"))</f>
        <v>Mid range</v>
      </c>
    </row>
    <row r="1195" spans="1:20" x14ac:dyDescent="0.35">
      <c r="A1195" s="3">
        <v>679034</v>
      </c>
      <c r="B1195" s="2" t="s">
        <v>22</v>
      </c>
      <c r="C1195">
        <v>37566</v>
      </c>
      <c r="D1195" s="2" t="s">
        <v>18</v>
      </c>
      <c r="E1195">
        <v>1</v>
      </c>
      <c r="F1195">
        <v>3</v>
      </c>
      <c r="G1195" s="4">
        <f>VALUE(SUBSTITUTE(SUBSTITUTE(Table1[[#This Row],[Price]],"$",""),",",""))</f>
        <v>679034</v>
      </c>
      <c r="H1195" s="1">
        <f>Table1[[#This Row],[Price2]]/Table1[[#This Row],[Area]]</f>
        <v>237.25856044723969</v>
      </c>
      <c r="I1195">
        <v>2862</v>
      </c>
      <c r="J1195">
        <v>2016</v>
      </c>
      <c r="K1195">
        <v>69</v>
      </c>
      <c r="L1195" t="s">
        <v>19</v>
      </c>
      <c r="M1195" t="s">
        <v>2004</v>
      </c>
      <c r="N1195" s="2" t="s">
        <v>3033</v>
      </c>
      <c r="O1195" t="s">
        <v>3034</v>
      </c>
      <c r="P1195" t="s">
        <v>21</v>
      </c>
      <c r="Q1195">
        <v>237.25856044723969</v>
      </c>
      <c r="R1195">
        <f ca="1">YEAR(TODAY())-Table1[[#This Row],[Year Built]]</f>
        <v>10</v>
      </c>
      <c r="S1195" t="str">
        <f>IF(Table1[[#This Row],[Days on Market]] &lt; 30,"Fast",IF(Table1[[#This Row],[Days on Market]]&lt;= 90,"Average", "Slow"))</f>
        <v>Average</v>
      </c>
      <c r="T1195" t="str">
        <f>IF(Table1[[#This Row],[Price2]]&lt;500000,"Affordable",IF(Table1[[#This Row],[Price2]]&lt;1000000,"Mid range","Luxury"))</f>
        <v>Mid range</v>
      </c>
    </row>
    <row r="1196" spans="1:20" x14ac:dyDescent="0.35">
      <c r="A1196" s="3">
        <v>679086</v>
      </c>
      <c r="B1196" s="2" t="s">
        <v>34</v>
      </c>
      <c r="C1196">
        <v>12052</v>
      </c>
      <c r="D1196" s="2" t="s">
        <v>13</v>
      </c>
      <c r="E1196">
        <v>1</v>
      </c>
      <c r="F1196">
        <v>1</v>
      </c>
      <c r="G1196" s="4">
        <f>VALUE(SUBSTITUTE(SUBSTITUTE(Table1[[#This Row],[Price]],"$",""),",",""))</f>
        <v>679086</v>
      </c>
      <c r="H1196" s="1">
        <f>Table1[[#This Row],[Price2]]/Table1[[#This Row],[Area]]</f>
        <v>214.08764186633039</v>
      </c>
      <c r="I1196">
        <v>3172</v>
      </c>
      <c r="J1196">
        <v>2021</v>
      </c>
      <c r="K1196">
        <v>14</v>
      </c>
      <c r="L1196" t="s">
        <v>30</v>
      </c>
      <c r="M1196" t="s">
        <v>2838</v>
      </c>
      <c r="N1196" s="2" t="s">
        <v>3027</v>
      </c>
      <c r="O1196" t="s">
        <v>3028</v>
      </c>
      <c r="P1196" t="s">
        <v>26</v>
      </c>
      <c r="Q1196">
        <v>214.08764186633039</v>
      </c>
      <c r="R1196">
        <f ca="1">YEAR(TODAY())-Table1[[#This Row],[Year Built]]</f>
        <v>5</v>
      </c>
      <c r="S1196" t="str">
        <f>IF(Table1[[#This Row],[Days on Market]] &lt; 30,"Fast",IF(Table1[[#This Row],[Days on Market]]&lt;= 90,"Average", "Slow"))</f>
        <v>Fast</v>
      </c>
      <c r="T1196" t="str">
        <f>IF(Table1[[#This Row],[Price2]]&lt;500000,"Affordable",IF(Table1[[#This Row],[Price2]]&lt;1000000,"Mid range","Luxury"))</f>
        <v>Mid range</v>
      </c>
    </row>
    <row r="1197" spans="1:20" x14ac:dyDescent="0.35">
      <c r="A1197" s="3">
        <v>679223</v>
      </c>
      <c r="B1197" s="2" t="s">
        <v>27</v>
      </c>
      <c r="C1197">
        <v>49328</v>
      </c>
      <c r="D1197" s="2" t="s">
        <v>29</v>
      </c>
      <c r="E1197">
        <v>5</v>
      </c>
      <c r="F1197">
        <v>3</v>
      </c>
      <c r="G1197" s="4">
        <f>VALUE(SUBSTITUTE(SUBSTITUTE(Table1[[#This Row],[Price]],"$",""),",",""))</f>
        <v>679223</v>
      </c>
      <c r="H1197" s="1">
        <f>Table1[[#This Row],[Price2]]/Table1[[#This Row],[Area]]</f>
        <v>231.57961131946811</v>
      </c>
      <c r="I1197">
        <v>2933</v>
      </c>
      <c r="J1197">
        <v>1958</v>
      </c>
      <c r="K1197">
        <v>14</v>
      </c>
      <c r="L1197" t="s">
        <v>30</v>
      </c>
      <c r="M1197" t="s">
        <v>2263</v>
      </c>
      <c r="N1197" s="2" t="s">
        <v>3031</v>
      </c>
      <c r="O1197" t="s">
        <v>3032</v>
      </c>
      <c r="P1197" t="s">
        <v>21</v>
      </c>
      <c r="Q1197">
        <v>231.57961131946811</v>
      </c>
      <c r="R1197">
        <f ca="1">YEAR(TODAY())-Table1[[#This Row],[Year Built]]</f>
        <v>68</v>
      </c>
      <c r="S1197" t="str">
        <f>IF(Table1[[#This Row],[Days on Market]] &lt; 30,"Fast",IF(Table1[[#This Row],[Days on Market]]&lt;= 90,"Average", "Slow"))</f>
        <v>Fast</v>
      </c>
      <c r="T1197" t="str">
        <f>IF(Table1[[#This Row],[Price2]]&lt;500000,"Affordable",IF(Table1[[#This Row],[Price2]]&lt;1000000,"Mid range","Luxury"))</f>
        <v>Mid range</v>
      </c>
    </row>
    <row r="1198" spans="1:20" x14ac:dyDescent="0.35">
      <c r="A1198" s="3">
        <v>679584</v>
      </c>
      <c r="B1198" s="2" t="s">
        <v>27</v>
      </c>
      <c r="C1198">
        <v>67572</v>
      </c>
      <c r="D1198" s="2" t="s">
        <v>18</v>
      </c>
      <c r="E1198">
        <v>6</v>
      </c>
      <c r="F1198">
        <v>2</v>
      </c>
      <c r="G1198" s="4">
        <f>VALUE(SUBSTITUTE(SUBSTITUTE(Table1[[#This Row],[Price]],"$",""),",",""))</f>
        <v>679584</v>
      </c>
      <c r="H1198" s="1">
        <f>Table1[[#This Row],[Price2]]/Table1[[#This Row],[Area]]</f>
        <v>263.2006196746708</v>
      </c>
      <c r="I1198">
        <v>2582</v>
      </c>
      <c r="J1198">
        <v>1956</v>
      </c>
      <c r="K1198">
        <v>92</v>
      </c>
      <c r="L1198" t="s">
        <v>40</v>
      </c>
      <c r="M1198" t="s">
        <v>1316</v>
      </c>
      <c r="N1198" s="2" t="s">
        <v>3033</v>
      </c>
      <c r="O1198" t="s">
        <v>3034</v>
      </c>
      <c r="P1198" t="s">
        <v>26</v>
      </c>
      <c r="Q1198">
        <v>263.2006196746708</v>
      </c>
      <c r="R1198">
        <f ca="1">YEAR(TODAY())-Table1[[#This Row],[Year Built]]</f>
        <v>70</v>
      </c>
      <c r="S1198" t="str">
        <f>IF(Table1[[#This Row],[Days on Market]] &lt; 30,"Fast",IF(Table1[[#This Row],[Days on Market]]&lt;= 90,"Average", "Slow"))</f>
        <v>Slow</v>
      </c>
      <c r="T1198" t="str">
        <f>IF(Table1[[#This Row],[Price2]]&lt;500000,"Affordable",IF(Table1[[#This Row],[Price2]]&lt;1000000,"Mid range","Luxury"))</f>
        <v>Mid range</v>
      </c>
    </row>
    <row r="1199" spans="1:20" x14ac:dyDescent="0.35">
      <c r="A1199" s="3">
        <v>680198</v>
      </c>
      <c r="B1199" s="2" t="s">
        <v>12</v>
      </c>
      <c r="C1199">
        <v>29109</v>
      </c>
      <c r="D1199" s="2" t="s">
        <v>13</v>
      </c>
      <c r="E1199">
        <v>4</v>
      </c>
      <c r="F1199">
        <v>2</v>
      </c>
      <c r="G1199" s="4">
        <f>VALUE(SUBSTITUTE(SUBSTITUTE(Table1[[#This Row],[Price]],"$",""),",",""))</f>
        <v>680198</v>
      </c>
      <c r="H1199" s="1">
        <f>Table1[[#This Row],[Price2]]/Table1[[#This Row],[Area]]</f>
        <v>257.55319954562668</v>
      </c>
      <c r="I1199">
        <v>2641</v>
      </c>
      <c r="J1199">
        <v>1958</v>
      </c>
      <c r="K1199">
        <v>81</v>
      </c>
      <c r="L1199" t="s">
        <v>52</v>
      </c>
      <c r="M1199" t="s">
        <v>1057</v>
      </c>
      <c r="N1199" s="2" t="s">
        <v>3027</v>
      </c>
      <c r="O1199" t="s">
        <v>3028</v>
      </c>
      <c r="P1199" t="s">
        <v>16</v>
      </c>
      <c r="Q1199">
        <v>257.55319954562668</v>
      </c>
      <c r="R1199">
        <f ca="1">YEAR(TODAY())-Table1[[#This Row],[Year Built]]</f>
        <v>68</v>
      </c>
      <c r="S1199" t="str">
        <f>IF(Table1[[#This Row],[Days on Market]] &lt; 30,"Fast",IF(Table1[[#This Row],[Days on Market]]&lt;= 90,"Average", "Slow"))</f>
        <v>Average</v>
      </c>
      <c r="T1199" t="str">
        <f>IF(Table1[[#This Row],[Price2]]&lt;500000,"Affordable",IF(Table1[[#This Row],[Price2]]&lt;1000000,"Mid range","Luxury"))</f>
        <v>Mid range</v>
      </c>
    </row>
    <row r="1200" spans="1:20" x14ac:dyDescent="0.35">
      <c r="A1200" s="3">
        <v>680402</v>
      </c>
      <c r="B1200" s="2" t="s">
        <v>17</v>
      </c>
      <c r="C1200">
        <v>53172</v>
      </c>
      <c r="D1200" s="2" t="s">
        <v>35</v>
      </c>
      <c r="E1200">
        <v>1</v>
      </c>
      <c r="F1200">
        <v>4</v>
      </c>
      <c r="G1200" s="4">
        <f>VALUE(SUBSTITUTE(SUBSTITUTE(Table1[[#This Row],[Price]],"$",""),",",""))</f>
        <v>680402</v>
      </c>
      <c r="H1200" s="1">
        <f>Table1[[#This Row],[Price2]]/Table1[[#This Row],[Area]]</f>
        <v>265.26393762183238</v>
      </c>
      <c r="I1200">
        <v>2565</v>
      </c>
      <c r="J1200">
        <v>1998</v>
      </c>
      <c r="K1200">
        <v>54</v>
      </c>
      <c r="L1200" t="s">
        <v>14</v>
      </c>
      <c r="M1200" t="s">
        <v>1657</v>
      </c>
      <c r="N1200" s="2" t="s">
        <v>3027</v>
      </c>
      <c r="O1200" t="s">
        <v>3028</v>
      </c>
      <c r="P1200" t="s">
        <v>26</v>
      </c>
      <c r="Q1200">
        <v>265.26393762183238</v>
      </c>
      <c r="R1200">
        <f ca="1">YEAR(TODAY())-Table1[[#This Row],[Year Built]]</f>
        <v>28</v>
      </c>
      <c r="S1200" t="str">
        <f>IF(Table1[[#This Row],[Days on Market]] &lt; 30,"Fast",IF(Table1[[#This Row],[Days on Market]]&lt;= 90,"Average", "Slow"))</f>
        <v>Average</v>
      </c>
      <c r="T1200" t="str">
        <f>IF(Table1[[#This Row],[Price2]]&lt;500000,"Affordable",IF(Table1[[#This Row],[Price2]]&lt;1000000,"Mid range","Luxury"))</f>
        <v>Mid range</v>
      </c>
    </row>
    <row r="1201" spans="1:20" x14ac:dyDescent="0.35">
      <c r="A1201" s="3">
        <v>680603</v>
      </c>
      <c r="B1201" s="2" t="s">
        <v>17</v>
      </c>
      <c r="C1201">
        <v>72484</v>
      </c>
      <c r="D1201" s="2" t="s">
        <v>13</v>
      </c>
      <c r="E1201">
        <v>3</v>
      </c>
      <c r="F1201">
        <v>2</v>
      </c>
      <c r="G1201" s="4">
        <f>VALUE(SUBSTITUTE(SUBSTITUTE(Table1[[#This Row],[Price]],"$",""),",",""))</f>
        <v>680603</v>
      </c>
      <c r="H1201" s="1">
        <f>Table1[[#This Row],[Price2]]/Table1[[#This Row],[Area]]</f>
        <v>933.61179698216733</v>
      </c>
      <c r="I1201">
        <v>729</v>
      </c>
      <c r="J1201">
        <v>1951</v>
      </c>
      <c r="K1201">
        <v>57</v>
      </c>
      <c r="L1201" t="s">
        <v>52</v>
      </c>
      <c r="M1201" t="s">
        <v>1359</v>
      </c>
      <c r="N1201" s="2" t="s">
        <v>3035</v>
      </c>
      <c r="O1201" t="s">
        <v>3036</v>
      </c>
      <c r="P1201" t="s">
        <v>16</v>
      </c>
      <c r="Q1201">
        <v>933.61179698216733</v>
      </c>
      <c r="R1201">
        <f ca="1">YEAR(TODAY())-Table1[[#This Row],[Year Built]]</f>
        <v>75</v>
      </c>
      <c r="S1201" t="str">
        <f>IF(Table1[[#This Row],[Days on Market]] &lt; 30,"Fast",IF(Table1[[#This Row],[Days on Market]]&lt;= 90,"Average", "Slow"))</f>
        <v>Average</v>
      </c>
      <c r="T1201" t="str">
        <f>IF(Table1[[#This Row],[Price2]]&lt;500000,"Affordable",IF(Table1[[#This Row],[Price2]]&lt;1000000,"Mid range","Luxury"))</f>
        <v>Mid range</v>
      </c>
    </row>
    <row r="1202" spans="1:20" x14ac:dyDescent="0.35">
      <c r="A1202" s="3">
        <v>680646</v>
      </c>
      <c r="B1202" s="2" t="s">
        <v>12</v>
      </c>
      <c r="C1202">
        <v>21470</v>
      </c>
      <c r="D1202" s="2" t="s">
        <v>29</v>
      </c>
      <c r="E1202">
        <v>4</v>
      </c>
      <c r="F1202">
        <v>2</v>
      </c>
      <c r="G1202" s="4">
        <f>VALUE(SUBSTITUTE(SUBSTITUTE(Table1[[#This Row],[Price]],"$",""),",",""))</f>
        <v>680646</v>
      </c>
      <c r="H1202" s="1">
        <f>Table1[[#This Row],[Price2]]/Table1[[#This Row],[Area]]</f>
        <v>252.84026745913818</v>
      </c>
      <c r="I1202">
        <v>2692</v>
      </c>
      <c r="J1202">
        <v>1999</v>
      </c>
      <c r="K1202">
        <v>37</v>
      </c>
      <c r="L1202" t="s">
        <v>40</v>
      </c>
      <c r="M1202" t="s">
        <v>2852</v>
      </c>
      <c r="N1202" s="2" t="s">
        <v>3033</v>
      </c>
      <c r="O1202" t="s">
        <v>3034</v>
      </c>
      <c r="P1202" t="s">
        <v>26</v>
      </c>
      <c r="Q1202">
        <v>252.84026745913818</v>
      </c>
      <c r="R1202">
        <f ca="1">YEAR(TODAY())-Table1[[#This Row],[Year Built]]</f>
        <v>27</v>
      </c>
      <c r="S1202" t="str">
        <f>IF(Table1[[#This Row],[Days on Market]] &lt; 30,"Fast",IF(Table1[[#This Row],[Days on Market]]&lt;= 90,"Average", "Slow"))</f>
        <v>Average</v>
      </c>
      <c r="T1202" t="str">
        <f>IF(Table1[[#This Row],[Price2]]&lt;500000,"Affordable",IF(Table1[[#This Row],[Price2]]&lt;1000000,"Mid range","Luxury"))</f>
        <v>Mid range</v>
      </c>
    </row>
    <row r="1203" spans="1:20" x14ac:dyDescent="0.35">
      <c r="A1203" s="3">
        <v>680842</v>
      </c>
      <c r="B1203" s="2" t="s">
        <v>12</v>
      </c>
      <c r="C1203">
        <v>40598</v>
      </c>
      <c r="D1203" s="2" t="s">
        <v>29</v>
      </c>
      <c r="E1203">
        <v>3</v>
      </c>
      <c r="F1203">
        <v>1</v>
      </c>
      <c r="G1203" s="4">
        <f>VALUE(SUBSTITUTE(SUBSTITUTE(Table1[[#This Row],[Price]],"$",""),",",""))</f>
        <v>680842</v>
      </c>
      <c r="H1203" s="1">
        <f>Table1[[#This Row],[Price2]]/Table1[[#This Row],[Area]]</f>
        <v>405.26309523809522</v>
      </c>
      <c r="I1203">
        <v>1680</v>
      </c>
      <c r="J1203">
        <v>2006</v>
      </c>
      <c r="K1203">
        <v>76</v>
      </c>
      <c r="L1203" t="s">
        <v>52</v>
      </c>
      <c r="M1203" t="s">
        <v>1648</v>
      </c>
      <c r="N1203" s="2" t="s">
        <v>3031</v>
      </c>
      <c r="O1203" t="s">
        <v>3032</v>
      </c>
      <c r="P1203" t="s">
        <v>16</v>
      </c>
      <c r="Q1203">
        <v>405.26309523809522</v>
      </c>
      <c r="R1203">
        <f ca="1">YEAR(TODAY())-Table1[[#This Row],[Year Built]]</f>
        <v>20</v>
      </c>
      <c r="S1203" t="str">
        <f>IF(Table1[[#This Row],[Days on Market]] &lt; 30,"Fast",IF(Table1[[#This Row],[Days on Market]]&lt;= 90,"Average", "Slow"))</f>
        <v>Average</v>
      </c>
      <c r="T1203" t="str">
        <f>IF(Table1[[#This Row],[Price2]]&lt;500000,"Affordable",IF(Table1[[#This Row],[Price2]]&lt;1000000,"Mid range","Luxury"))</f>
        <v>Mid range</v>
      </c>
    </row>
    <row r="1204" spans="1:20" x14ac:dyDescent="0.35">
      <c r="A1204" s="3">
        <v>681817</v>
      </c>
      <c r="B1204" s="2" t="s">
        <v>22</v>
      </c>
      <c r="C1204">
        <v>51936</v>
      </c>
      <c r="D1204" s="2" t="s">
        <v>23</v>
      </c>
      <c r="E1204">
        <v>5</v>
      </c>
      <c r="F1204">
        <v>4</v>
      </c>
      <c r="G1204" s="4">
        <f>VALUE(SUBSTITUTE(SUBSTITUTE(Table1[[#This Row],[Price]],"$",""),",",""))</f>
        <v>681817</v>
      </c>
      <c r="H1204" s="1">
        <f>Table1[[#This Row],[Price2]]/Table1[[#This Row],[Area]]</f>
        <v>735.50916936353826</v>
      </c>
      <c r="I1204">
        <v>927</v>
      </c>
      <c r="J1204">
        <v>2019</v>
      </c>
      <c r="K1204">
        <v>109</v>
      </c>
      <c r="L1204" t="s">
        <v>30</v>
      </c>
      <c r="M1204" t="s">
        <v>1350</v>
      </c>
      <c r="N1204" s="2" t="s">
        <v>3029</v>
      </c>
      <c r="O1204" t="s">
        <v>3030</v>
      </c>
      <c r="P1204" t="s">
        <v>21</v>
      </c>
      <c r="Q1204">
        <v>735.50916936353826</v>
      </c>
      <c r="R1204">
        <f ca="1">YEAR(TODAY())-Table1[[#This Row],[Year Built]]</f>
        <v>7</v>
      </c>
      <c r="S1204" t="str">
        <f>IF(Table1[[#This Row],[Days on Market]] &lt; 30,"Fast",IF(Table1[[#This Row],[Days on Market]]&lt;= 90,"Average", "Slow"))</f>
        <v>Slow</v>
      </c>
      <c r="T1204" t="str">
        <f>IF(Table1[[#This Row],[Price2]]&lt;500000,"Affordable",IF(Table1[[#This Row],[Price2]]&lt;1000000,"Mid range","Luxury"))</f>
        <v>Mid range</v>
      </c>
    </row>
    <row r="1205" spans="1:20" x14ac:dyDescent="0.35">
      <c r="A1205" s="3">
        <v>682633</v>
      </c>
      <c r="B1205" s="2" t="s">
        <v>17</v>
      </c>
      <c r="C1205">
        <v>78072</v>
      </c>
      <c r="D1205" s="2" t="s">
        <v>29</v>
      </c>
      <c r="E1205">
        <v>4</v>
      </c>
      <c r="F1205">
        <v>3</v>
      </c>
      <c r="G1205" s="4">
        <f>VALUE(SUBSTITUTE(SUBSTITUTE(Table1[[#This Row],[Price]],"$",""),",",""))</f>
        <v>682633</v>
      </c>
      <c r="H1205" s="1">
        <f>Table1[[#This Row],[Price2]]/Table1[[#This Row],[Area]]</f>
        <v>403.20909627879502</v>
      </c>
      <c r="I1205">
        <v>1693</v>
      </c>
      <c r="J1205">
        <v>2003</v>
      </c>
      <c r="K1205">
        <v>7</v>
      </c>
      <c r="L1205" t="s">
        <v>52</v>
      </c>
      <c r="M1205" t="s">
        <v>1461</v>
      </c>
      <c r="N1205" s="2" t="s">
        <v>3031</v>
      </c>
      <c r="O1205" t="s">
        <v>3032</v>
      </c>
      <c r="P1205" t="s">
        <v>16</v>
      </c>
      <c r="Q1205">
        <v>403.20909627879502</v>
      </c>
      <c r="R1205">
        <f ca="1">YEAR(TODAY())-Table1[[#This Row],[Year Built]]</f>
        <v>23</v>
      </c>
      <c r="S1205" t="str">
        <f>IF(Table1[[#This Row],[Days on Market]] &lt; 30,"Fast",IF(Table1[[#This Row],[Days on Market]]&lt;= 90,"Average", "Slow"))</f>
        <v>Fast</v>
      </c>
      <c r="T1205" t="str">
        <f>IF(Table1[[#This Row],[Price2]]&lt;500000,"Affordable",IF(Table1[[#This Row],[Price2]]&lt;1000000,"Mid range","Luxury"))</f>
        <v>Mid range</v>
      </c>
    </row>
    <row r="1206" spans="1:20" x14ac:dyDescent="0.35">
      <c r="A1206" s="3">
        <v>683327</v>
      </c>
      <c r="B1206" s="2" t="s">
        <v>27</v>
      </c>
      <c r="C1206">
        <v>19656</v>
      </c>
      <c r="D1206" s="2" t="s">
        <v>29</v>
      </c>
      <c r="E1206">
        <v>2</v>
      </c>
      <c r="F1206">
        <v>4</v>
      </c>
      <c r="G1206" s="4">
        <f>VALUE(SUBSTITUTE(SUBSTITUTE(Table1[[#This Row],[Price]],"$",""),",",""))</f>
        <v>683327</v>
      </c>
      <c r="H1206" s="1">
        <f>Table1[[#This Row],[Price2]]/Table1[[#This Row],[Area]]</f>
        <v>489.48925501432666</v>
      </c>
      <c r="I1206">
        <v>1396</v>
      </c>
      <c r="J1206">
        <v>2021</v>
      </c>
      <c r="K1206">
        <v>21</v>
      </c>
      <c r="L1206" t="s">
        <v>14</v>
      </c>
      <c r="M1206" t="s">
        <v>2643</v>
      </c>
      <c r="N1206" s="2" t="s">
        <v>3035</v>
      </c>
      <c r="O1206" t="s">
        <v>3036</v>
      </c>
      <c r="P1206" t="s">
        <v>16</v>
      </c>
      <c r="Q1206">
        <v>489.48925501432666</v>
      </c>
      <c r="R1206">
        <f ca="1">YEAR(TODAY())-Table1[[#This Row],[Year Built]]</f>
        <v>5</v>
      </c>
      <c r="S1206" t="str">
        <f>IF(Table1[[#This Row],[Days on Market]] &lt; 30,"Fast",IF(Table1[[#This Row],[Days on Market]]&lt;= 90,"Average", "Slow"))</f>
        <v>Fast</v>
      </c>
      <c r="T1206" t="str">
        <f>IF(Table1[[#This Row],[Price2]]&lt;500000,"Affordable",IF(Table1[[#This Row],[Price2]]&lt;1000000,"Mid range","Luxury"))</f>
        <v>Mid range</v>
      </c>
    </row>
    <row r="1207" spans="1:20" x14ac:dyDescent="0.35">
      <c r="A1207" s="3">
        <v>683535</v>
      </c>
      <c r="B1207" s="2" t="s">
        <v>17</v>
      </c>
      <c r="C1207">
        <v>54206</v>
      </c>
      <c r="D1207" s="2" t="s">
        <v>18</v>
      </c>
      <c r="E1207">
        <v>2</v>
      </c>
      <c r="F1207">
        <v>4</v>
      </c>
      <c r="G1207" s="4">
        <f>VALUE(SUBSTITUTE(SUBSTITUTE(Table1[[#This Row],[Price]],"$",""),",",""))</f>
        <v>683535</v>
      </c>
      <c r="H1207" s="1">
        <f>Table1[[#This Row],[Price2]]/Table1[[#This Row],[Area]]</f>
        <v>487.54279600570612</v>
      </c>
      <c r="I1207">
        <v>1402</v>
      </c>
      <c r="J1207">
        <v>1959</v>
      </c>
      <c r="K1207">
        <v>97</v>
      </c>
      <c r="L1207" t="s">
        <v>19</v>
      </c>
      <c r="M1207" t="s">
        <v>548</v>
      </c>
      <c r="N1207" s="2" t="s">
        <v>3031</v>
      </c>
      <c r="O1207" t="s">
        <v>3032</v>
      </c>
      <c r="P1207" t="s">
        <v>26</v>
      </c>
      <c r="Q1207">
        <v>487.54279600570612</v>
      </c>
      <c r="R1207">
        <f ca="1">YEAR(TODAY())-Table1[[#This Row],[Year Built]]</f>
        <v>67</v>
      </c>
      <c r="S1207" t="str">
        <f>IF(Table1[[#This Row],[Days on Market]] &lt; 30,"Fast",IF(Table1[[#This Row],[Days on Market]]&lt;= 90,"Average", "Slow"))</f>
        <v>Slow</v>
      </c>
      <c r="T1207" t="str">
        <f>IF(Table1[[#This Row],[Price2]]&lt;500000,"Affordable",IF(Table1[[#This Row],[Price2]]&lt;1000000,"Mid range","Luxury"))</f>
        <v>Mid range</v>
      </c>
    </row>
    <row r="1208" spans="1:20" x14ac:dyDescent="0.35">
      <c r="A1208" s="3">
        <v>683573</v>
      </c>
      <c r="B1208" s="2" t="s">
        <v>17</v>
      </c>
      <c r="C1208">
        <v>95683</v>
      </c>
      <c r="D1208" s="2" t="s">
        <v>23</v>
      </c>
      <c r="E1208">
        <v>5</v>
      </c>
      <c r="F1208">
        <v>1</v>
      </c>
      <c r="G1208" s="4">
        <f>VALUE(SUBSTITUTE(SUBSTITUTE(Table1[[#This Row],[Price]],"$",""),",",""))</f>
        <v>683573</v>
      </c>
      <c r="H1208" s="1">
        <f>Table1[[#This Row],[Price2]]/Table1[[#This Row],[Area]]</f>
        <v>269.76045777426992</v>
      </c>
      <c r="I1208">
        <v>2534</v>
      </c>
      <c r="J1208">
        <v>2014</v>
      </c>
      <c r="K1208">
        <v>20</v>
      </c>
      <c r="L1208" t="s">
        <v>19</v>
      </c>
      <c r="M1208" t="s">
        <v>1047</v>
      </c>
      <c r="N1208" s="2" t="s">
        <v>3031</v>
      </c>
      <c r="O1208" t="s">
        <v>3032</v>
      </c>
      <c r="P1208" t="s">
        <v>21</v>
      </c>
      <c r="Q1208">
        <v>269.76045777426992</v>
      </c>
      <c r="R1208">
        <f ca="1">YEAR(TODAY())-Table1[[#This Row],[Year Built]]</f>
        <v>12</v>
      </c>
      <c r="S1208" t="str">
        <f>IF(Table1[[#This Row],[Days on Market]] &lt; 30,"Fast",IF(Table1[[#This Row],[Days on Market]]&lt;= 90,"Average", "Slow"))</f>
        <v>Fast</v>
      </c>
      <c r="T1208" t="str">
        <f>IF(Table1[[#This Row],[Price2]]&lt;500000,"Affordable",IF(Table1[[#This Row],[Price2]]&lt;1000000,"Mid range","Luxury"))</f>
        <v>Mid range</v>
      </c>
    </row>
    <row r="1209" spans="1:20" x14ac:dyDescent="0.35">
      <c r="A1209" s="3">
        <v>683910</v>
      </c>
      <c r="B1209" s="2" t="s">
        <v>22</v>
      </c>
      <c r="C1209">
        <v>79056</v>
      </c>
      <c r="D1209" s="2" t="s">
        <v>18</v>
      </c>
      <c r="E1209">
        <v>2</v>
      </c>
      <c r="F1209">
        <v>3</v>
      </c>
      <c r="G1209" s="4">
        <f>VALUE(SUBSTITUTE(SUBSTITUTE(Table1[[#This Row],[Price]],"$",""),",",""))</f>
        <v>683910</v>
      </c>
      <c r="H1209" s="1">
        <f>Table1[[#This Row],[Price2]]/Table1[[#This Row],[Area]]</f>
        <v>915.54216867469881</v>
      </c>
      <c r="I1209">
        <v>747</v>
      </c>
      <c r="J1209">
        <v>1995</v>
      </c>
      <c r="K1209">
        <v>107</v>
      </c>
      <c r="L1209" t="s">
        <v>19</v>
      </c>
      <c r="M1209" t="s">
        <v>2153</v>
      </c>
      <c r="N1209" s="2" t="s">
        <v>3027</v>
      </c>
      <c r="O1209" t="s">
        <v>3028</v>
      </c>
      <c r="P1209" t="s">
        <v>21</v>
      </c>
      <c r="Q1209">
        <v>915.54216867469881</v>
      </c>
      <c r="R1209">
        <f ca="1">YEAR(TODAY())-Table1[[#This Row],[Year Built]]</f>
        <v>31</v>
      </c>
      <c r="S1209" t="str">
        <f>IF(Table1[[#This Row],[Days on Market]] &lt; 30,"Fast",IF(Table1[[#This Row],[Days on Market]]&lt;= 90,"Average", "Slow"))</f>
        <v>Slow</v>
      </c>
      <c r="T1209" t="str">
        <f>IF(Table1[[#This Row],[Price2]]&lt;500000,"Affordable",IF(Table1[[#This Row],[Price2]]&lt;1000000,"Mid range","Luxury"))</f>
        <v>Mid range</v>
      </c>
    </row>
    <row r="1210" spans="1:20" x14ac:dyDescent="0.35">
      <c r="A1210" s="3">
        <v>685130</v>
      </c>
      <c r="B1210" s="2" t="s">
        <v>34</v>
      </c>
      <c r="C1210">
        <v>86526</v>
      </c>
      <c r="D1210" s="2" t="s">
        <v>18</v>
      </c>
      <c r="E1210">
        <v>2</v>
      </c>
      <c r="F1210">
        <v>4</v>
      </c>
      <c r="G1210" s="4">
        <f>VALUE(SUBSTITUTE(SUBSTITUTE(Table1[[#This Row],[Price]],"$",""),",",""))</f>
        <v>685130</v>
      </c>
      <c r="H1210" s="1">
        <f>Table1[[#This Row],[Price2]]/Table1[[#This Row],[Area]]</f>
        <v>717.41361256544508</v>
      </c>
      <c r="I1210">
        <v>955</v>
      </c>
      <c r="J1210">
        <v>1977</v>
      </c>
      <c r="K1210">
        <v>29</v>
      </c>
      <c r="L1210" t="s">
        <v>52</v>
      </c>
      <c r="M1210" t="s">
        <v>2836</v>
      </c>
      <c r="N1210" s="2" t="s">
        <v>3031</v>
      </c>
      <c r="O1210" t="s">
        <v>3032</v>
      </c>
      <c r="P1210" t="s">
        <v>21</v>
      </c>
      <c r="Q1210">
        <v>717.41361256544508</v>
      </c>
      <c r="R1210">
        <f ca="1">YEAR(TODAY())-Table1[[#This Row],[Year Built]]</f>
        <v>49</v>
      </c>
      <c r="S1210" t="str">
        <f>IF(Table1[[#This Row],[Days on Market]] &lt; 30,"Fast",IF(Table1[[#This Row],[Days on Market]]&lt;= 90,"Average", "Slow"))</f>
        <v>Fast</v>
      </c>
      <c r="T1210" t="str">
        <f>IF(Table1[[#This Row],[Price2]]&lt;500000,"Affordable",IF(Table1[[#This Row],[Price2]]&lt;1000000,"Mid range","Luxury"))</f>
        <v>Mid range</v>
      </c>
    </row>
    <row r="1211" spans="1:20" x14ac:dyDescent="0.35">
      <c r="A1211" s="3">
        <v>685711</v>
      </c>
      <c r="B1211" s="2" t="s">
        <v>17</v>
      </c>
      <c r="C1211">
        <v>18615</v>
      </c>
      <c r="D1211" s="2" t="s">
        <v>35</v>
      </c>
      <c r="E1211">
        <v>5</v>
      </c>
      <c r="F1211">
        <v>1</v>
      </c>
      <c r="G1211" s="4">
        <f>VALUE(SUBSTITUTE(SUBSTITUTE(Table1[[#This Row],[Price]],"$",""),",",""))</f>
        <v>685711</v>
      </c>
      <c r="H1211" s="1">
        <f>Table1[[#This Row],[Price2]]/Table1[[#This Row],[Area]]</f>
        <v>304.35463826009766</v>
      </c>
      <c r="I1211">
        <v>2253</v>
      </c>
      <c r="J1211">
        <v>1972</v>
      </c>
      <c r="K1211">
        <v>96</v>
      </c>
      <c r="L1211" t="s">
        <v>40</v>
      </c>
      <c r="M1211" t="s">
        <v>500</v>
      </c>
      <c r="N1211" s="2" t="s">
        <v>3031</v>
      </c>
      <c r="O1211" t="s">
        <v>3032</v>
      </c>
      <c r="P1211" t="s">
        <v>21</v>
      </c>
      <c r="Q1211">
        <v>304.35463826009766</v>
      </c>
      <c r="R1211">
        <f ca="1">YEAR(TODAY())-Table1[[#This Row],[Year Built]]</f>
        <v>54</v>
      </c>
      <c r="S1211" t="str">
        <f>IF(Table1[[#This Row],[Days on Market]] &lt; 30,"Fast",IF(Table1[[#This Row],[Days on Market]]&lt;= 90,"Average", "Slow"))</f>
        <v>Slow</v>
      </c>
      <c r="T1211" t="str">
        <f>IF(Table1[[#This Row],[Price2]]&lt;500000,"Affordable",IF(Table1[[#This Row],[Price2]]&lt;1000000,"Mid range","Luxury"))</f>
        <v>Mid range</v>
      </c>
    </row>
    <row r="1212" spans="1:20" x14ac:dyDescent="0.35">
      <c r="A1212" s="3">
        <v>685831</v>
      </c>
      <c r="B1212" s="2" t="s">
        <v>27</v>
      </c>
      <c r="C1212">
        <v>17314</v>
      </c>
      <c r="D1212" s="2" t="s">
        <v>13</v>
      </c>
      <c r="E1212">
        <v>2</v>
      </c>
      <c r="F1212">
        <v>2</v>
      </c>
      <c r="G1212" s="4">
        <f>VALUE(SUBSTITUTE(SUBSTITUTE(Table1[[#This Row],[Price]],"$",""),",",""))</f>
        <v>685831</v>
      </c>
      <c r="H1212" s="1">
        <f>Table1[[#This Row],[Price2]]/Table1[[#This Row],[Area]]</f>
        <v>291.34706881903145</v>
      </c>
      <c r="I1212">
        <v>2354</v>
      </c>
      <c r="J1212">
        <v>2004</v>
      </c>
      <c r="K1212">
        <v>113</v>
      </c>
      <c r="L1212" t="s">
        <v>52</v>
      </c>
      <c r="M1212" t="s">
        <v>2814</v>
      </c>
      <c r="N1212" s="2" t="s">
        <v>3035</v>
      </c>
      <c r="O1212" t="s">
        <v>3036</v>
      </c>
      <c r="P1212" t="s">
        <v>21</v>
      </c>
      <c r="Q1212">
        <v>291.34706881903145</v>
      </c>
      <c r="R1212">
        <f ca="1">YEAR(TODAY())-Table1[[#This Row],[Year Built]]</f>
        <v>22</v>
      </c>
      <c r="S1212" t="str">
        <f>IF(Table1[[#This Row],[Days on Market]] &lt; 30,"Fast",IF(Table1[[#This Row],[Days on Market]]&lt;= 90,"Average", "Slow"))</f>
        <v>Slow</v>
      </c>
      <c r="T1212" t="str">
        <f>IF(Table1[[#This Row],[Price2]]&lt;500000,"Affordable",IF(Table1[[#This Row],[Price2]]&lt;1000000,"Mid range","Luxury"))</f>
        <v>Mid range</v>
      </c>
    </row>
    <row r="1213" spans="1:20" x14ac:dyDescent="0.35">
      <c r="A1213" s="3">
        <v>686236</v>
      </c>
      <c r="B1213" s="2" t="s">
        <v>12</v>
      </c>
      <c r="C1213">
        <v>47469</v>
      </c>
      <c r="D1213" s="2" t="s">
        <v>29</v>
      </c>
      <c r="E1213">
        <v>3</v>
      </c>
      <c r="F1213">
        <v>1</v>
      </c>
      <c r="G1213" s="4">
        <f>VALUE(SUBSTITUTE(SUBSTITUTE(Table1[[#This Row],[Price]],"$",""),",",""))</f>
        <v>686236</v>
      </c>
      <c r="H1213" s="1">
        <f>Table1[[#This Row],[Price2]]/Table1[[#This Row],[Area]]</f>
        <v>224.70072036673216</v>
      </c>
      <c r="I1213">
        <v>3054</v>
      </c>
      <c r="J1213">
        <v>1956</v>
      </c>
      <c r="K1213">
        <v>58</v>
      </c>
      <c r="L1213" t="s">
        <v>14</v>
      </c>
      <c r="M1213" t="s">
        <v>1069</v>
      </c>
      <c r="N1213" s="2" t="s">
        <v>3031</v>
      </c>
      <c r="O1213" t="s">
        <v>3032</v>
      </c>
      <c r="P1213" t="s">
        <v>16</v>
      </c>
      <c r="Q1213">
        <v>224.70072036673216</v>
      </c>
      <c r="R1213">
        <f ca="1">YEAR(TODAY())-Table1[[#This Row],[Year Built]]</f>
        <v>70</v>
      </c>
      <c r="S1213" t="str">
        <f>IF(Table1[[#This Row],[Days on Market]] &lt; 30,"Fast",IF(Table1[[#This Row],[Days on Market]]&lt;= 90,"Average", "Slow"))</f>
        <v>Average</v>
      </c>
      <c r="T1213" t="str">
        <f>IF(Table1[[#This Row],[Price2]]&lt;500000,"Affordable",IF(Table1[[#This Row],[Price2]]&lt;1000000,"Mid range","Luxury"))</f>
        <v>Mid range</v>
      </c>
    </row>
    <row r="1214" spans="1:20" x14ac:dyDescent="0.35">
      <c r="A1214" s="3">
        <v>686609</v>
      </c>
      <c r="B1214" s="2" t="s">
        <v>17</v>
      </c>
      <c r="C1214">
        <v>47743</v>
      </c>
      <c r="D1214" s="2" t="s">
        <v>18</v>
      </c>
      <c r="E1214">
        <v>1</v>
      </c>
      <c r="F1214">
        <v>2</v>
      </c>
      <c r="G1214" s="4">
        <f>VALUE(SUBSTITUTE(SUBSTITUTE(Table1[[#This Row],[Price]],"$",""),",",""))</f>
        <v>686609</v>
      </c>
      <c r="H1214" s="1">
        <f>Table1[[#This Row],[Price2]]/Table1[[#This Row],[Area]]</f>
        <v>414.61896135265698</v>
      </c>
      <c r="I1214">
        <v>1656</v>
      </c>
      <c r="J1214">
        <v>1954</v>
      </c>
      <c r="K1214">
        <v>58</v>
      </c>
      <c r="L1214" t="s">
        <v>14</v>
      </c>
      <c r="M1214" t="s">
        <v>1478</v>
      </c>
      <c r="N1214" s="2" t="s">
        <v>3029</v>
      </c>
      <c r="O1214" t="s">
        <v>3030</v>
      </c>
      <c r="P1214" t="s">
        <v>26</v>
      </c>
      <c r="Q1214">
        <v>414.61896135265698</v>
      </c>
      <c r="R1214">
        <f ca="1">YEAR(TODAY())-Table1[[#This Row],[Year Built]]</f>
        <v>72</v>
      </c>
      <c r="S1214" t="str">
        <f>IF(Table1[[#This Row],[Days on Market]] &lt; 30,"Fast",IF(Table1[[#This Row],[Days on Market]]&lt;= 90,"Average", "Slow"))</f>
        <v>Average</v>
      </c>
      <c r="T1214" t="str">
        <f>IF(Table1[[#This Row],[Price2]]&lt;500000,"Affordable",IF(Table1[[#This Row],[Price2]]&lt;1000000,"Mid range","Luxury"))</f>
        <v>Mid range</v>
      </c>
    </row>
    <row r="1215" spans="1:20" x14ac:dyDescent="0.35">
      <c r="A1215" s="3">
        <v>686842</v>
      </c>
      <c r="B1215" s="2" t="s">
        <v>17</v>
      </c>
      <c r="C1215">
        <v>94337</v>
      </c>
      <c r="D1215" s="2" t="s">
        <v>13</v>
      </c>
      <c r="E1215">
        <v>1</v>
      </c>
      <c r="F1215">
        <v>4</v>
      </c>
      <c r="G1215" s="4">
        <f>VALUE(SUBSTITUTE(SUBSTITUTE(Table1[[#This Row],[Price]],"$",""),",",""))</f>
        <v>686842</v>
      </c>
      <c r="H1215" s="1">
        <f>Table1[[#This Row],[Price2]]/Table1[[#This Row],[Area]]</f>
        <v>347.41628730399594</v>
      </c>
      <c r="I1215">
        <v>1977</v>
      </c>
      <c r="J1215">
        <v>2002</v>
      </c>
      <c r="K1215">
        <v>9</v>
      </c>
      <c r="L1215" t="s">
        <v>19</v>
      </c>
      <c r="M1215" t="s">
        <v>428</v>
      </c>
      <c r="N1215" s="2" t="s">
        <v>3031</v>
      </c>
      <c r="O1215" t="s">
        <v>3032</v>
      </c>
      <c r="P1215" t="s">
        <v>16</v>
      </c>
      <c r="Q1215">
        <v>347.41628730399594</v>
      </c>
      <c r="R1215">
        <f ca="1">YEAR(TODAY())-Table1[[#This Row],[Year Built]]</f>
        <v>24</v>
      </c>
      <c r="S1215" t="str">
        <f>IF(Table1[[#This Row],[Days on Market]] &lt; 30,"Fast",IF(Table1[[#This Row],[Days on Market]]&lt;= 90,"Average", "Slow"))</f>
        <v>Fast</v>
      </c>
      <c r="T1215" t="str">
        <f>IF(Table1[[#This Row],[Price2]]&lt;500000,"Affordable",IF(Table1[[#This Row],[Price2]]&lt;1000000,"Mid range","Luxury"))</f>
        <v>Mid range</v>
      </c>
    </row>
    <row r="1216" spans="1:20" x14ac:dyDescent="0.35">
      <c r="A1216" s="3">
        <v>687101</v>
      </c>
      <c r="B1216" s="2" t="s">
        <v>12</v>
      </c>
      <c r="C1216">
        <v>24359</v>
      </c>
      <c r="D1216" s="2" t="s">
        <v>35</v>
      </c>
      <c r="E1216">
        <v>3</v>
      </c>
      <c r="F1216">
        <v>3</v>
      </c>
      <c r="G1216" s="4">
        <f>VALUE(SUBSTITUTE(SUBSTITUTE(Table1[[#This Row],[Price]],"$",""),",",""))</f>
        <v>687101</v>
      </c>
      <c r="H1216" s="1">
        <f>Table1[[#This Row],[Price2]]/Table1[[#This Row],[Area]]</f>
        <v>212.65892912411019</v>
      </c>
      <c r="I1216">
        <v>3231</v>
      </c>
      <c r="J1216">
        <v>1980</v>
      </c>
      <c r="K1216">
        <v>46</v>
      </c>
      <c r="L1216" t="s">
        <v>14</v>
      </c>
      <c r="M1216" t="s">
        <v>2647</v>
      </c>
      <c r="N1216" s="2" t="s">
        <v>3027</v>
      </c>
      <c r="O1216" t="s">
        <v>3028</v>
      </c>
      <c r="P1216" t="s">
        <v>26</v>
      </c>
      <c r="Q1216">
        <v>212.65892912411019</v>
      </c>
      <c r="R1216">
        <f ca="1">YEAR(TODAY())-Table1[[#This Row],[Year Built]]</f>
        <v>46</v>
      </c>
      <c r="S1216" t="str">
        <f>IF(Table1[[#This Row],[Days on Market]] &lt; 30,"Fast",IF(Table1[[#This Row],[Days on Market]]&lt;= 90,"Average", "Slow"))</f>
        <v>Average</v>
      </c>
      <c r="T1216" t="str">
        <f>IF(Table1[[#This Row],[Price2]]&lt;500000,"Affordable",IF(Table1[[#This Row],[Price2]]&lt;1000000,"Mid range","Luxury"))</f>
        <v>Mid range</v>
      </c>
    </row>
    <row r="1217" spans="1:20" x14ac:dyDescent="0.35">
      <c r="A1217" s="3">
        <v>687426</v>
      </c>
      <c r="B1217" s="2" t="s">
        <v>34</v>
      </c>
      <c r="C1217">
        <v>25480</v>
      </c>
      <c r="D1217" s="2" t="s">
        <v>18</v>
      </c>
      <c r="E1217">
        <v>2</v>
      </c>
      <c r="F1217">
        <v>1</v>
      </c>
      <c r="G1217" s="4">
        <f>VALUE(SUBSTITUTE(SUBSTITUTE(Table1[[#This Row],[Price]],"$",""),",",""))</f>
        <v>687426</v>
      </c>
      <c r="H1217" s="1">
        <f>Table1[[#This Row],[Price2]]/Table1[[#This Row],[Area]]</f>
        <v>181.42676167854316</v>
      </c>
      <c r="I1217">
        <v>3789</v>
      </c>
      <c r="J1217">
        <v>1967</v>
      </c>
      <c r="K1217">
        <v>98</v>
      </c>
      <c r="L1217" t="s">
        <v>40</v>
      </c>
      <c r="M1217" t="s">
        <v>1239</v>
      </c>
      <c r="N1217" s="2" t="s">
        <v>3027</v>
      </c>
      <c r="O1217" t="s">
        <v>3028</v>
      </c>
      <c r="P1217" t="s">
        <v>21</v>
      </c>
      <c r="Q1217">
        <v>181.42676167854316</v>
      </c>
      <c r="R1217">
        <f ca="1">YEAR(TODAY())-Table1[[#This Row],[Year Built]]</f>
        <v>59</v>
      </c>
      <c r="S1217" t="str">
        <f>IF(Table1[[#This Row],[Days on Market]] &lt; 30,"Fast",IF(Table1[[#This Row],[Days on Market]]&lt;= 90,"Average", "Slow"))</f>
        <v>Slow</v>
      </c>
      <c r="T1217" t="str">
        <f>IF(Table1[[#This Row],[Price2]]&lt;500000,"Affordable",IF(Table1[[#This Row],[Price2]]&lt;1000000,"Mid range","Luxury"))</f>
        <v>Mid range</v>
      </c>
    </row>
    <row r="1218" spans="1:20" x14ac:dyDescent="0.35">
      <c r="A1218" s="3">
        <v>687480</v>
      </c>
      <c r="B1218" s="2" t="s">
        <v>22</v>
      </c>
      <c r="C1218">
        <v>57743</v>
      </c>
      <c r="D1218" s="2" t="s">
        <v>18</v>
      </c>
      <c r="E1218">
        <v>1</v>
      </c>
      <c r="F1218">
        <v>2</v>
      </c>
      <c r="G1218" s="4">
        <f>VALUE(SUBSTITUTE(SUBSTITUTE(Table1[[#This Row],[Price]],"$",""),",",""))</f>
        <v>687480</v>
      </c>
      <c r="H1218" s="1">
        <f>Table1[[#This Row],[Price2]]/Table1[[#This Row],[Area]]</f>
        <v>422.02578268876613</v>
      </c>
      <c r="I1218">
        <v>1629</v>
      </c>
      <c r="J1218">
        <v>2010</v>
      </c>
      <c r="K1218">
        <v>77</v>
      </c>
      <c r="L1218" t="s">
        <v>14</v>
      </c>
      <c r="M1218" t="s">
        <v>2287</v>
      </c>
      <c r="N1218" s="2" t="s">
        <v>3031</v>
      </c>
      <c r="O1218" t="s">
        <v>3032</v>
      </c>
      <c r="P1218" t="s">
        <v>21</v>
      </c>
      <c r="Q1218">
        <v>422.02578268876613</v>
      </c>
      <c r="R1218">
        <f ca="1">YEAR(TODAY())-Table1[[#This Row],[Year Built]]</f>
        <v>16</v>
      </c>
      <c r="S1218" t="str">
        <f>IF(Table1[[#This Row],[Days on Market]] &lt; 30,"Fast",IF(Table1[[#This Row],[Days on Market]]&lt;= 90,"Average", "Slow"))</f>
        <v>Average</v>
      </c>
      <c r="T1218" t="str">
        <f>IF(Table1[[#This Row],[Price2]]&lt;500000,"Affordable",IF(Table1[[#This Row],[Price2]]&lt;1000000,"Mid range","Luxury"))</f>
        <v>Mid range</v>
      </c>
    </row>
    <row r="1219" spans="1:20" x14ac:dyDescent="0.35">
      <c r="A1219" s="3">
        <v>688285</v>
      </c>
      <c r="B1219" s="2" t="s">
        <v>17</v>
      </c>
      <c r="C1219">
        <v>39426</v>
      </c>
      <c r="D1219" s="2" t="s">
        <v>13</v>
      </c>
      <c r="E1219">
        <v>4</v>
      </c>
      <c r="F1219">
        <v>1</v>
      </c>
      <c r="G1219" s="4">
        <f>VALUE(SUBSTITUTE(SUBSTITUTE(Table1[[#This Row],[Price]],"$",""),",",""))</f>
        <v>688285</v>
      </c>
      <c r="H1219" s="1">
        <f>Table1[[#This Row],[Price2]]/Table1[[#This Row],[Area]]</f>
        <v>1054.0352220520674</v>
      </c>
      <c r="I1219">
        <v>653</v>
      </c>
      <c r="J1219">
        <v>1976</v>
      </c>
      <c r="K1219">
        <v>29</v>
      </c>
      <c r="L1219" t="s">
        <v>30</v>
      </c>
      <c r="M1219" t="s">
        <v>2654</v>
      </c>
      <c r="N1219" s="2" t="s">
        <v>3033</v>
      </c>
      <c r="O1219" t="s">
        <v>3034</v>
      </c>
      <c r="P1219" t="s">
        <v>21</v>
      </c>
      <c r="Q1219">
        <v>1054.0352220520674</v>
      </c>
      <c r="R1219">
        <f ca="1">YEAR(TODAY())-Table1[[#This Row],[Year Built]]</f>
        <v>50</v>
      </c>
      <c r="S1219" t="str">
        <f>IF(Table1[[#This Row],[Days on Market]] &lt; 30,"Fast",IF(Table1[[#This Row],[Days on Market]]&lt;= 90,"Average", "Slow"))</f>
        <v>Fast</v>
      </c>
      <c r="T1219" t="str">
        <f>IF(Table1[[#This Row],[Price2]]&lt;500000,"Affordable",IF(Table1[[#This Row],[Price2]]&lt;1000000,"Mid range","Luxury"))</f>
        <v>Mid range</v>
      </c>
    </row>
    <row r="1220" spans="1:20" x14ac:dyDescent="0.35">
      <c r="A1220" s="3">
        <v>688429</v>
      </c>
      <c r="B1220" s="2" t="s">
        <v>17</v>
      </c>
      <c r="C1220">
        <v>19174</v>
      </c>
      <c r="D1220" s="2" t="s">
        <v>23</v>
      </c>
      <c r="E1220">
        <v>2</v>
      </c>
      <c r="F1220">
        <v>1</v>
      </c>
      <c r="G1220" s="4">
        <f>VALUE(SUBSTITUTE(SUBSTITUTE(Table1[[#This Row],[Price]],"$",""),",",""))</f>
        <v>688429</v>
      </c>
      <c r="H1220" s="1">
        <f>Table1[[#This Row],[Price2]]/Table1[[#This Row],[Area]]</f>
        <v>175.79902962206333</v>
      </c>
      <c r="I1220">
        <v>3916</v>
      </c>
      <c r="J1220">
        <v>1988</v>
      </c>
      <c r="K1220">
        <v>83</v>
      </c>
      <c r="L1220" t="s">
        <v>30</v>
      </c>
      <c r="M1220" t="s">
        <v>2112</v>
      </c>
      <c r="N1220" s="2" t="s">
        <v>3035</v>
      </c>
      <c r="O1220" t="s">
        <v>3036</v>
      </c>
      <c r="P1220" t="s">
        <v>16</v>
      </c>
      <c r="Q1220">
        <v>175.79902962206333</v>
      </c>
      <c r="R1220">
        <f ca="1">YEAR(TODAY())-Table1[[#This Row],[Year Built]]</f>
        <v>38</v>
      </c>
      <c r="S1220" t="str">
        <f>IF(Table1[[#This Row],[Days on Market]] &lt; 30,"Fast",IF(Table1[[#This Row],[Days on Market]]&lt;= 90,"Average", "Slow"))</f>
        <v>Average</v>
      </c>
      <c r="T1220" t="str">
        <f>IF(Table1[[#This Row],[Price2]]&lt;500000,"Affordable",IF(Table1[[#This Row],[Price2]]&lt;1000000,"Mid range","Luxury"))</f>
        <v>Mid range</v>
      </c>
    </row>
    <row r="1221" spans="1:20" x14ac:dyDescent="0.35">
      <c r="A1221" s="3">
        <v>688763</v>
      </c>
      <c r="B1221" s="2" t="s">
        <v>12</v>
      </c>
      <c r="C1221">
        <v>92096</v>
      </c>
      <c r="D1221" s="2" t="s">
        <v>18</v>
      </c>
      <c r="E1221">
        <v>3</v>
      </c>
      <c r="F1221">
        <v>3</v>
      </c>
      <c r="G1221" s="4">
        <f>VALUE(SUBSTITUTE(SUBSTITUTE(Table1[[#This Row],[Price]],"$",""),",",""))</f>
        <v>688763</v>
      </c>
      <c r="H1221" s="1">
        <f>Table1[[#This Row],[Price2]]/Table1[[#This Row],[Area]]</f>
        <v>507.18924889543445</v>
      </c>
      <c r="I1221">
        <v>1358</v>
      </c>
      <c r="J1221">
        <v>2019</v>
      </c>
      <c r="K1221">
        <v>19</v>
      </c>
      <c r="L1221" t="s">
        <v>40</v>
      </c>
      <c r="M1221" t="s">
        <v>995</v>
      </c>
      <c r="N1221" s="2" t="s">
        <v>3029</v>
      </c>
      <c r="O1221" t="s">
        <v>3030</v>
      </c>
      <c r="P1221" t="s">
        <v>16</v>
      </c>
      <c r="Q1221">
        <v>507.18924889543445</v>
      </c>
      <c r="R1221">
        <f ca="1">YEAR(TODAY())-Table1[[#This Row],[Year Built]]</f>
        <v>7</v>
      </c>
      <c r="S1221" t="str">
        <f>IF(Table1[[#This Row],[Days on Market]] &lt; 30,"Fast",IF(Table1[[#This Row],[Days on Market]]&lt;= 90,"Average", "Slow"))</f>
        <v>Fast</v>
      </c>
      <c r="T1221" t="str">
        <f>IF(Table1[[#This Row],[Price2]]&lt;500000,"Affordable",IF(Table1[[#This Row],[Price2]]&lt;1000000,"Mid range","Luxury"))</f>
        <v>Mid range</v>
      </c>
    </row>
    <row r="1222" spans="1:20" x14ac:dyDescent="0.35">
      <c r="A1222" s="3">
        <v>688959</v>
      </c>
      <c r="B1222" s="2" t="s">
        <v>12</v>
      </c>
      <c r="C1222">
        <v>73609</v>
      </c>
      <c r="D1222" s="2" t="s">
        <v>18</v>
      </c>
      <c r="E1222">
        <v>1</v>
      </c>
      <c r="F1222">
        <v>1</v>
      </c>
      <c r="G1222" s="4">
        <f>VALUE(SUBSTITUTE(SUBSTITUTE(Table1[[#This Row],[Price]],"$",""),",",""))</f>
        <v>688959</v>
      </c>
      <c r="H1222" s="1">
        <f>Table1[[#This Row],[Price2]]/Table1[[#This Row],[Area]]</f>
        <v>292.92474489795916</v>
      </c>
      <c r="I1222">
        <v>2352</v>
      </c>
      <c r="J1222">
        <v>1978</v>
      </c>
      <c r="K1222">
        <v>102</v>
      </c>
      <c r="L1222" t="s">
        <v>52</v>
      </c>
      <c r="M1222" t="s">
        <v>973</v>
      </c>
      <c r="N1222" s="2" t="s">
        <v>3031</v>
      </c>
      <c r="O1222" t="s">
        <v>3032</v>
      </c>
      <c r="P1222" t="s">
        <v>21</v>
      </c>
      <c r="Q1222">
        <v>292.92474489795916</v>
      </c>
      <c r="R1222">
        <f ca="1">YEAR(TODAY())-Table1[[#This Row],[Year Built]]</f>
        <v>48</v>
      </c>
      <c r="S1222" t="str">
        <f>IF(Table1[[#This Row],[Days on Market]] &lt; 30,"Fast",IF(Table1[[#This Row],[Days on Market]]&lt;= 90,"Average", "Slow"))</f>
        <v>Slow</v>
      </c>
      <c r="T1222" t="str">
        <f>IF(Table1[[#This Row],[Price2]]&lt;500000,"Affordable",IF(Table1[[#This Row],[Price2]]&lt;1000000,"Mid range","Luxury"))</f>
        <v>Mid range</v>
      </c>
    </row>
    <row r="1223" spans="1:20" x14ac:dyDescent="0.35">
      <c r="A1223" s="3">
        <v>690617</v>
      </c>
      <c r="B1223" s="2" t="s">
        <v>34</v>
      </c>
      <c r="C1223">
        <v>37461</v>
      </c>
      <c r="D1223" s="2" t="s">
        <v>23</v>
      </c>
      <c r="E1223">
        <v>3</v>
      </c>
      <c r="F1223">
        <v>3</v>
      </c>
      <c r="G1223" s="4">
        <f>VALUE(SUBSTITUTE(SUBSTITUTE(Table1[[#This Row],[Price]],"$",""),",",""))</f>
        <v>690617</v>
      </c>
      <c r="H1223" s="1">
        <f>Table1[[#This Row],[Price2]]/Table1[[#This Row],[Area]]</f>
        <v>250.76870007262164</v>
      </c>
      <c r="I1223">
        <v>2754</v>
      </c>
      <c r="J1223">
        <v>2004</v>
      </c>
      <c r="K1223">
        <v>84</v>
      </c>
      <c r="L1223" t="s">
        <v>52</v>
      </c>
      <c r="M1223" t="s">
        <v>2243</v>
      </c>
      <c r="N1223" s="2" t="s">
        <v>3033</v>
      </c>
      <c r="O1223" t="s">
        <v>3034</v>
      </c>
      <c r="P1223" t="s">
        <v>16</v>
      </c>
      <c r="Q1223">
        <v>250.76870007262164</v>
      </c>
      <c r="R1223">
        <f ca="1">YEAR(TODAY())-Table1[[#This Row],[Year Built]]</f>
        <v>22</v>
      </c>
      <c r="S1223" t="str">
        <f>IF(Table1[[#This Row],[Days on Market]] &lt; 30,"Fast",IF(Table1[[#This Row],[Days on Market]]&lt;= 90,"Average", "Slow"))</f>
        <v>Average</v>
      </c>
      <c r="T1223" t="str">
        <f>IF(Table1[[#This Row],[Price2]]&lt;500000,"Affordable",IF(Table1[[#This Row],[Price2]]&lt;1000000,"Mid range","Luxury"))</f>
        <v>Mid range</v>
      </c>
    </row>
    <row r="1224" spans="1:20" x14ac:dyDescent="0.35">
      <c r="A1224" s="3">
        <v>691218</v>
      </c>
      <c r="B1224" s="2" t="s">
        <v>34</v>
      </c>
      <c r="C1224">
        <v>16383</v>
      </c>
      <c r="D1224" s="2" t="s">
        <v>35</v>
      </c>
      <c r="E1224">
        <v>2</v>
      </c>
      <c r="F1224">
        <v>1</v>
      </c>
      <c r="G1224" s="4">
        <f>VALUE(SUBSTITUTE(SUBSTITUTE(Table1[[#This Row],[Price]],"$",""),",",""))</f>
        <v>691218</v>
      </c>
      <c r="H1224" s="1">
        <f>Table1[[#This Row],[Price2]]/Table1[[#This Row],[Area]]</f>
        <v>298.45336787564764</v>
      </c>
      <c r="I1224">
        <v>2316</v>
      </c>
      <c r="J1224">
        <v>1959</v>
      </c>
      <c r="K1224">
        <v>59</v>
      </c>
      <c r="L1224" t="s">
        <v>14</v>
      </c>
      <c r="M1224" t="s">
        <v>1305</v>
      </c>
      <c r="N1224" s="2" t="s">
        <v>3027</v>
      </c>
      <c r="O1224" t="s">
        <v>3028</v>
      </c>
      <c r="P1224" t="s">
        <v>21</v>
      </c>
      <c r="Q1224">
        <v>298.45336787564764</v>
      </c>
      <c r="R1224">
        <f ca="1">YEAR(TODAY())-Table1[[#This Row],[Year Built]]</f>
        <v>67</v>
      </c>
      <c r="S1224" t="str">
        <f>IF(Table1[[#This Row],[Days on Market]] &lt; 30,"Fast",IF(Table1[[#This Row],[Days on Market]]&lt;= 90,"Average", "Slow"))</f>
        <v>Average</v>
      </c>
      <c r="T1224" t="str">
        <f>IF(Table1[[#This Row],[Price2]]&lt;500000,"Affordable",IF(Table1[[#This Row],[Price2]]&lt;1000000,"Mid range","Luxury"))</f>
        <v>Mid range</v>
      </c>
    </row>
    <row r="1225" spans="1:20" x14ac:dyDescent="0.35">
      <c r="A1225" s="3">
        <v>691610</v>
      </c>
      <c r="B1225" s="2" t="s">
        <v>34</v>
      </c>
      <c r="C1225">
        <v>63545</v>
      </c>
      <c r="D1225" s="2" t="s">
        <v>35</v>
      </c>
      <c r="E1225">
        <v>5</v>
      </c>
      <c r="F1225">
        <v>4</v>
      </c>
      <c r="G1225" s="4">
        <f>VALUE(SUBSTITUTE(SUBSTITUTE(Table1[[#This Row],[Price]],"$",""),",",""))</f>
        <v>691610</v>
      </c>
      <c r="H1225" s="1">
        <f>Table1[[#This Row],[Price2]]/Table1[[#This Row],[Area]]</f>
        <v>232.94375210508588</v>
      </c>
      <c r="I1225">
        <v>2969</v>
      </c>
      <c r="J1225">
        <v>1996</v>
      </c>
      <c r="K1225">
        <v>23</v>
      </c>
      <c r="L1225" t="s">
        <v>14</v>
      </c>
      <c r="M1225" t="s">
        <v>1392</v>
      </c>
      <c r="N1225" s="2" t="s">
        <v>3033</v>
      </c>
      <c r="O1225" t="s">
        <v>3034</v>
      </c>
      <c r="P1225" t="s">
        <v>26</v>
      </c>
      <c r="Q1225">
        <v>232.94375210508588</v>
      </c>
      <c r="R1225">
        <f ca="1">YEAR(TODAY())-Table1[[#This Row],[Year Built]]</f>
        <v>30</v>
      </c>
      <c r="S1225" t="str">
        <f>IF(Table1[[#This Row],[Days on Market]] &lt; 30,"Fast",IF(Table1[[#This Row],[Days on Market]]&lt;= 90,"Average", "Slow"))</f>
        <v>Fast</v>
      </c>
      <c r="T1225" t="str">
        <f>IF(Table1[[#This Row],[Price2]]&lt;500000,"Affordable",IF(Table1[[#This Row],[Price2]]&lt;1000000,"Mid range","Luxury"))</f>
        <v>Mid range</v>
      </c>
    </row>
    <row r="1226" spans="1:20" x14ac:dyDescent="0.35">
      <c r="A1226" s="3">
        <v>692345</v>
      </c>
      <c r="B1226" s="2" t="s">
        <v>17</v>
      </c>
      <c r="C1226">
        <v>20838</v>
      </c>
      <c r="D1226" s="2" t="s">
        <v>13</v>
      </c>
      <c r="E1226">
        <v>2</v>
      </c>
      <c r="F1226">
        <v>3</v>
      </c>
      <c r="G1226" s="4">
        <f>VALUE(SUBSTITUTE(SUBSTITUTE(Table1[[#This Row],[Price]],"$",""),",",""))</f>
        <v>692345</v>
      </c>
      <c r="H1226" s="1">
        <f>Table1[[#This Row],[Price2]]/Table1[[#This Row],[Area]]</f>
        <v>651.92561205273068</v>
      </c>
      <c r="I1226">
        <v>1062</v>
      </c>
      <c r="J1226">
        <v>2022</v>
      </c>
      <c r="K1226">
        <v>84</v>
      </c>
      <c r="L1226" t="s">
        <v>40</v>
      </c>
      <c r="M1226" t="s">
        <v>1833</v>
      </c>
      <c r="N1226" s="2" t="s">
        <v>3027</v>
      </c>
      <c r="O1226" t="s">
        <v>3028</v>
      </c>
      <c r="P1226" t="s">
        <v>21</v>
      </c>
      <c r="Q1226">
        <v>651.92561205273068</v>
      </c>
      <c r="R1226">
        <f ca="1">YEAR(TODAY())-Table1[[#This Row],[Year Built]]</f>
        <v>4</v>
      </c>
      <c r="S1226" t="str">
        <f>IF(Table1[[#This Row],[Days on Market]] &lt; 30,"Fast",IF(Table1[[#This Row],[Days on Market]]&lt;= 90,"Average", "Slow"))</f>
        <v>Average</v>
      </c>
      <c r="T1226" t="str">
        <f>IF(Table1[[#This Row],[Price2]]&lt;500000,"Affordable",IF(Table1[[#This Row],[Price2]]&lt;1000000,"Mid range","Luxury"))</f>
        <v>Mid range</v>
      </c>
    </row>
    <row r="1227" spans="1:20" x14ac:dyDescent="0.35">
      <c r="A1227" s="3">
        <v>692477</v>
      </c>
      <c r="B1227" s="2" t="s">
        <v>12</v>
      </c>
      <c r="C1227">
        <v>42327</v>
      </c>
      <c r="D1227" s="2" t="s">
        <v>29</v>
      </c>
      <c r="E1227">
        <v>3</v>
      </c>
      <c r="F1227">
        <v>1</v>
      </c>
      <c r="G1227" s="4">
        <f>VALUE(SUBSTITUTE(SUBSTITUTE(Table1[[#This Row],[Price]],"$",""),",",""))</f>
        <v>692477</v>
      </c>
      <c r="H1227" s="1">
        <f>Table1[[#This Row],[Price2]]/Table1[[#This Row],[Area]]</f>
        <v>206.52460483149417</v>
      </c>
      <c r="I1227">
        <v>3353</v>
      </c>
      <c r="J1227">
        <v>1991</v>
      </c>
      <c r="K1227">
        <v>116</v>
      </c>
      <c r="L1227" t="s">
        <v>52</v>
      </c>
      <c r="M1227" t="s">
        <v>2645</v>
      </c>
      <c r="N1227" s="2" t="s">
        <v>3031</v>
      </c>
      <c r="O1227" t="s">
        <v>3032</v>
      </c>
      <c r="P1227" t="s">
        <v>26</v>
      </c>
      <c r="Q1227">
        <v>206.52460483149417</v>
      </c>
      <c r="R1227">
        <f ca="1">YEAR(TODAY())-Table1[[#This Row],[Year Built]]</f>
        <v>35</v>
      </c>
      <c r="S1227" t="str">
        <f>IF(Table1[[#This Row],[Days on Market]] &lt; 30,"Fast",IF(Table1[[#This Row],[Days on Market]]&lt;= 90,"Average", "Slow"))</f>
        <v>Slow</v>
      </c>
      <c r="T1227" t="str">
        <f>IF(Table1[[#This Row],[Price2]]&lt;500000,"Affordable",IF(Table1[[#This Row],[Price2]]&lt;1000000,"Mid range","Luxury"))</f>
        <v>Mid range</v>
      </c>
    </row>
    <row r="1228" spans="1:20" x14ac:dyDescent="0.35">
      <c r="A1228" s="3">
        <v>692880</v>
      </c>
      <c r="B1228" s="2" t="s">
        <v>34</v>
      </c>
      <c r="C1228">
        <v>75630</v>
      </c>
      <c r="D1228" s="2" t="s">
        <v>18</v>
      </c>
      <c r="E1228">
        <v>5</v>
      </c>
      <c r="F1228">
        <v>1</v>
      </c>
      <c r="G1228" s="4">
        <f>VALUE(SUBSTITUTE(SUBSTITUTE(Table1[[#This Row],[Price]],"$",""),",",""))</f>
        <v>692880</v>
      </c>
      <c r="H1228" s="1">
        <f>Table1[[#This Row],[Price2]]/Table1[[#This Row],[Area]]</f>
        <v>213.45656192236598</v>
      </c>
      <c r="I1228">
        <v>3246</v>
      </c>
      <c r="J1228">
        <v>1958</v>
      </c>
      <c r="K1228">
        <v>65</v>
      </c>
      <c r="L1228" t="s">
        <v>52</v>
      </c>
      <c r="M1228" t="s">
        <v>2475</v>
      </c>
      <c r="N1228" s="2" t="s">
        <v>3029</v>
      </c>
      <c r="O1228" t="s">
        <v>3030</v>
      </c>
      <c r="P1228" t="s">
        <v>26</v>
      </c>
      <c r="Q1228">
        <v>213.45656192236598</v>
      </c>
      <c r="R1228">
        <f ca="1">YEAR(TODAY())-Table1[[#This Row],[Year Built]]</f>
        <v>68</v>
      </c>
      <c r="S1228" t="str">
        <f>IF(Table1[[#This Row],[Days on Market]] &lt; 30,"Fast",IF(Table1[[#This Row],[Days on Market]]&lt;= 90,"Average", "Slow"))</f>
        <v>Average</v>
      </c>
      <c r="T1228" t="str">
        <f>IF(Table1[[#This Row],[Price2]]&lt;500000,"Affordable",IF(Table1[[#This Row],[Price2]]&lt;1000000,"Mid range","Luxury"))</f>
        <v>Mid range</v>
      </c>
    </row>
    <row r="1229" spans="1:20" x14ac:dyDescent="0.35">
      <c r="A1229" s="3">
        <v>693672</v>
      </c>
      <c r="B1229" s="2" t="s">
        <v>12</v>
      </c>
      <c r="C1229">
        <v>39622</v>
      </c>
      <c r="D1229" s="2" t="s">
        <v>35</v>
      </c>
      <c r="E1229">
        <v>4</v>
      </c>
      <c r="F1229">
        <v>2</v>
      </c>
      <c r="G1229" s="4">
        <f>VALUE(SUBSTITUTE(SUBSTITUTE(Table1[[#This Row],[Price]],"$",""),",",""))</f>
        <v>693672</v>
      </c>
      <c r="H1229" s="1">
        <f>Table1[[#This Row],[Price2]]/Table1[[#This Row],[Area]]</f>
        <v>341.20609936055092</v>
      </c>
      <c r="I1229">
        <v>2033</v>
      </c>
      <c r="J1229">
        <v>1963</v>
      </c>
      <c r="K1229">
        <v>49</v>
      </c>
      <c r="L1229" t="s">
        <v>52</v>
      </c>
      <c r="M1229" t="s">
        <v>2479</v>
      </c>
      <c r="N1229" s="2" t="s">
        <v>3027</v>
      </c>
      <c r="O1229" t="s">
        <v>3028</v>
      </c>
      <c r="P1229" t="s">
        <v>21</v>
      </c>
      <c r="Q1229">
        <v>341.20609936055092</v>
      </c>
      <c r="R1229">
        <f ca="1">YEAR(TODAY())-Table1[[#This Row],[Year Built]]</f>
        <v>63</v>
      </c>
      <c r="S1229" t="str">
        <f>IF(Table1[[#This Row],[Days on Market]] &lt; 30,"Fast",IF(Table1[[#This Row],[Days on Market]]&lt;= 90,"Average", "Slow"))</f>
        <v>Average</v>
      </c>
      <c r="T1229" t="str">
        <f>IF(Table1[[#This Row],[Price2]]&lt;500000,"Affordable",IF(Table1[[#This Row],[Price2]]&lt;1000000,"Mid range","Luxury"))</f>
        <v>Mid range</v>
      </c>
    </row>
    <row r="1230" spans="1:20" x14ac:dyDescent="0.35">
      <c r="A1230" s="3">
        <v>694525</v>
      </c>
      <c r="B1230" s="2" t="s">
        <v>17</v>
      </c>
      <c r="C1230">
        <v>59303</v>
      </c>
      <c r="D1230" s="2" t="s">
        <v>29</v>
      </c>
      <c r="E1230">
        <v>2</v>
      </c>
      <c r="F1230">
        <v>4</v>
      </c>
      <c r="G1230" s="4">
        <f>VALUE(SUBSTITUTE(SUBSTITUTE(Table1[[#This Row],[Price]],"$",""),",",""))</f>
        <v>694525</v>
      </c>
      <c r="H1230" s="1">
        <f>Table1[[#This Row],[Price2]]/Table1[[#This Row],[Area]]</f>
        <v>493.62117981520964</v>
      </c>
      <c r="I1230">
        <v>1407</v>
      </c>
      <c r="J1230">
        <v>2010</v>
      </c>
      <c r="K1230">
        <v>33</v>
      </c>
      <c r="L1230" t="s">
        <v>14</v>
      </c>
      <c r="M1230" t="s">
        <v>1610</v>
      </c>
      <c r="N1230" s="2" t="s">
        <v>3035</v>
      </c>
      <c r="O1230" t="s">
        <v>3036</v>
      </c>
      <c r="P1230" t="s">
        <v>21</v>
      </c>
      <c r="Q1230">
        <v>493.62117981520964</v>
      </c>
      <c r="R1230">
        <f ca="1">YEAR(TODAY())-Table1[[#This Row],[Year Built]]</f>
        <v>16</v>
      </c>
      <c r="S1230" t="str">
        <f>IF(Table1[[#This Row],[Days on Market]] &lt; 30,"Fast",IF(Table1[[#This Row],[Days on Market]]&lt;= 90,"Average", "Slow"))</f>
        <v>Average</v>
      </c>
      <c r="T1230" t="str">
        <f>IF(Table1[[#This Row],[Price2]]&lt;500000,"Affordable",IF(Table1[[#This Row],[Price2]]&lt;1000000,"Mid range","Luxury"))</f>
        <v>Mid range</v>
      </c>
    </row>
    <row r="1231" spans="1:20" x14ac:dyDescent="0.35">
      <c r="A1231" s="3">
        <v>695004</v>
      </c>
      <c r="B1231" s="2" t="s">
        <v>22</v>
      </c>
      <c r="C1231">
        <v>13733</v>
      </c>
      <c r="D1231" s="2" t="s">
        <v>13</v>
      </c>
      <c r="E1231">
        <v>5</v>
      </c>
      <c r="F1231">
        <v>1</v>
      </c>
      <c r="G1231" s="4">
        <f>VALUE(SUBSTITUTE(SUBSTITUTE(Table1[[#This Row],[Price]],"$",""),",",""))</f>
        <v>695004</v>
      </c>
      <c r="H1231" s="1">
        <f>Table1[[#This Row],[Price2]]/Table1[[#This Row],[Area]]</f>
        <v>590.98979591836735</v>
      </c>
      <c r="I1231">
        <v>1176</v>
      </c>
      <c r="J1231">
        <v>1995</v>
      </c>
      <c r="K1231">
        <v>69</v>
      </c>
      <c r="L1231" t="s">
        <v>52</v>
      </c>
      <c r="M1231" t="s">
        <v>1756</v>
      </c>
      <c r="N1231" s="2" t="s">
        <v>3029</v>
      </c>
      <c r="O1231" t="s">
        <v>3030</v>
      </c>
      <c r="P1231" t="s">
        <v>26</v>
      </c>
      <c r="Q1231">
        <v>590.98979591836735</v>
      </c>
      <c r="R1231">
        <f ca="1">YEAR(TODAY())-Table1[[#This Row],[Year Built]]</f>
        <v>31</v>
      </c>
      <c r="S1231" t="str">
        <f>IF(Table1[[#This Row],[Days on Market]] &lt; 30,"Fast",IF(Table1[[#This Row],[Days on Market]]&lt;= 90,"Average", "Slow"))</f>
        <v>Average</v>
      </c>
      <c r="T1231" t="str">
        <f>IF(Table1[[#This Row],[Price2]]&lt;500000,"Affordable",IF(Table1[[#This Row],[Price2]]&lt;1000000,"Mid range","Luxury"))</f>
        <v>Mid range</v>
      </c>
    </row>
    <row r="1232" spans="1:20" x14ac:dyDescent="0.35">
      <c r="A1232" s="3">
        <v>695115</v>
      </c>
      <c r="B1232" s="2" t="s">
        <v>17</v>
      </c>
      <c r="C1232">
        <v>42123</v>
      </c>
      <c r="D1232" s="2" t="s">
        <v>29</v>
      </c>
      <c r="E1232">
        <v>5</v>
      </c>
      <c r="F1232">
        <v>3</v>
      </c>
      <c r="G1232" s="4">
        <f>VALUE(SUBSTITUTE(SUBSTITUTE(Table1[[#This Row],[Price]],"$",""),",",""))</f>
        <v>695115</v>
      </c>
      <c r="H1232" s="1">
        <f>Table1[[#This Row],[Price2]]/Table1[[#This Row],[Area]]</f>
        <v>304.875</v>
      </c>
      <c r="I1232">
        <v>2280</v>
      </c>
      <c r="J1232">
        <v>1966</v>
      </c>
      <c r="K1232">
        <v>10</v>
      </c>
      <c r="L1232" t="s">
        <v>14</v>
      </c>
      <c r="M1232" t="s">
        <v>2115</v>
      </c>
      <c r="N1232" s="2" t="s">
        <v>3031</v>
      </c>
      <c r="O1232" t="s">
        <v>3032</v>
      </c>
      <c r="P1232" t="s">
        <v>26</v>
      </c>
      <c r="Q1232">
        <v>304.875</v>
      </c>
      <c r="R1232">
        <f ca="1">YEAR(TODAY())-Table1[[#This Row],[Year Built]]</f>
        <v>60</v>
      </c>
      <c r="S1232" t="str">
        <f>IF(Table1[[#This Row],[Days on Market]] &lt; 30,"Fast",IF(Table1[[#This Row],[Days on Market]]&lt;= 90,"Average", "Slow"))</f>
        <v>Fast</v>
      </c>
      <c r="T1232" t="str">
        <f>IF(Table1[[#This Row],[Price2]]&lt;500000,"Affordable",IF(Table1[[#This Row],[Price2]]&lt;1000000,"Mid range","Luxury"))</f>
        <v>Mid range</v>
      </c>
    </row>
    <row r="1233" spans="1:20" x14ac:dyDescent="0.35">
      <c r="A1233" s="3">
        <v>696092</v>
      </c>
      <c r="B1233" s="2" t="s">
        <v>34</v>
      </c>
      <c r="C1233">
        <v>34478</v>
      </c>
      <c r="D1233" s="2" t="s">
        <v>18</v>
      </c>
      <c r="E1233">
        <v>1</v>
      </c>
      <c r="F1233">
        <v>4</v>
      </c>
      <c r="G1233" s="4">
        <f>VALUE(SUBSTITUTE(SUBSTITUTE(Table1[[#This Row],[Price]],"$",""),",",""))</f>
        <v>696092</v>
      </c>
      <c r="H1233" s="1">
        <f>Table1[[#This Row],[Price2]]/Table1[[#This Row],[Area]]</f>
        <v>754.98047722342733</v>
      </c>
      <c r="I1233">
        <v>922</v>
      </c>
      <c r="J1233">
        <v>1979</v>
      </c>
      <c r="K1233">
        <v>114</v>
      </c>
      <c r="L1233" t="s">
        <v>52</v>
      </c>
      <c r="M1233" t="s">
        <v>1253</v>
      </c>
      <c r="N1233" s="2" t="s">
        <v>3029</v>
      </c>
      <c r="O1233" t="s">
        <v>3030</v>
      </c>
      <c r="P1233" t="s">
        <v>21</v>
      </c>
      <c r="Q1233">
        <v>754.98047722342733</v>
      </c>
      <c r="R1233">
        <f ca="1">YEAR(TODAY())-Table1[[#This Row],[Year Built]]</f>
        <v>47</v>
      </c>
      <c r="S1233" t="str">
        <f>IF(Table1[[#This Row],[Days on Market]] &lt; 30,"Fast",IF(Table1[[#This Row],[Days on Market]]&lt;= 90,"Average", "Slow"))</f>
        <v>Slow</v>
      </c>
      <c r="T1233" t="str">
        <f>IF(Table1[[#This Row],[Price2]]&lt;500000,"Affordable",IF(Table1[[#This Row],[Price2]]&lt;1000000,"Mid range","Luxury"))</f>
        <v>Mid range</v>
      </c>
    </row>
    <row r="1234" spans="1:20" x14ac:dyDescent="0.35">
      <c r="A1234" s="3">
        <v>697001</v>
      </c>
      <c r="B1234" s="2" t="s">
        <v>27</v>
      </c>
      <c r="C1234">
        <v>83705</v>
      </c>
      <c r="D1234" s="2" t="s">
        <v>18</v>
      </c>
      <c r="E1234">
        <v>6</v>
      </c>
      <c r="F1234">
        <v>2</v>
      </c>
      <c r="G1234" s="4">
        <f>VALUE(SUBSTITUTE(SUBSTITUTE(Table1[[#This Row],[Price]],"$",""),",",""))</f>
        <v>697001</v>
      </c>
      <c r="H1234" s="1">
        <f>Table1[[#This Row],[Price2]]/Table1[[#This Row],[Area]]</f>
        <v>266.94791267713521</v>
      </c>
      <c r="I1234">
        <v>2611</v>
      </c>
      <c r="J1234">
        <v>2001</v>
      </c>
      <c r="K1234">
        <v>16</v>
      </c>
      <c r="L1234" t="s">
        <v>14</v>
      </c>
      <c r="M1234" t="s">
        <v>1422</v>
      </c>
      <c r="N1234" s="2" t="s">
        <v>3033</v>
      </c>
      <c r="O1234" t="s">
        <v>3034</v>
      </c>
      <c r="P1234" t="s">
        <v>21</v>
      </c>
      <c r="Q1234">
        <v>266.94791267713521</v>
      </c>
      <c r="R1234">
        <f ca="1">YEAR(TODAY())-Table1[[#This Row],[Year Built]]</f>
        <v>25</v>
      </c>
      <c r="S1234" t="str">
        <f>IF(Table1[[#This Row],[Days on Market]] &lt; 30,"Fast",IF(Table1[[#This Row],[Days on Market]]&lt;= 90,"Average", "Slow"))</f>
        <v>Fast</v>
      </c>
      <c r="T1234" t="str">
        <f>IF(Table1[[#This Row],[Price2]]&lt;500000,"Affordable",IF(Table1[[#This Row],[Price2]]&lt;1000000,"Mid range","Luxury"))</f>
        <v>Mid range</v>
      </c>
    </row>
    <row r="1235" spans="1:20" x14ac:dyDescent="0.35">
      <c r="A1235" s="3">
        <v>697087</v>
      </c>
      <c r="B1235" s="2" t="s">
        <v>22</v>
      </c>
      <c r="C1235">
        <v>93261</v>
      </c>
      <c r="D1235" s="2" t="s">
        <v>18</v>
      </c>
      <c r="E1235">
        <v>4</v>
      </c>
      <c r="F1235">
        <v>1</v>
      </c>
      <c r="G1235" s="4">
        <f>VALUE(SUBSTITUTE(SUBSTITUTE(Table1[[#This Row],[Price]],"$",""),",",""))</f>
        <v>697087</v>
      </c>
      <c r="H1235" s="1">
        <f>Table1[[#This Row],[Price2]]/Table1[[#This Row],[Area]]</f>
        <v>211.55902883156298</v>
      </c>
      <c r="I1235">
        <v>3295</v>
      </c>
      <c r="J1235">
        <v>2007</v>
      </c>
      <c r="K1235">
        <v>82</v>
      </c>
      <c r="L1235" t="s">
        <v>52</v>
      </c>
      <c r="M1235" t="s">
        <v>649</v>
      </c>
      <c r="N1235" s="2" t="s">
        <v>3031</v>
      </c>
      <c r="O1235" t="s">
        <v>3032</v>
      </c>
      <c r="P1235" t="s">
        <v>21</v>
      </c>
      <c r="Q1235">
        <v>211.55902883156298</v>
      </c>
      <c r="R1235">
        <f ca="1">YEAR(TODAY())-Table1[[#This Row],[Year Built]]</f>
        <v>19</v>
      </c>
      <c r="S1235" t="str">
        <f>IF(Table1[[#This Row],[Days on Market]] &lt; 30,"Fast",IF(Table1[[#This Row],[Days on Market]]&lt;= 90,"Average", "Slow"))</f>
        <v>Average</v>
      </c>
      <c r="T1235" t="str">
        <f>IF(Table1[[#This Row],[Price2]]&lt;500000,"Affordable",IF(Table1[[#This Row],[Price2]]&lt;1000000,"Mid range","Luxury"))</f>
        <v>Mid range</v>
      </c>
    </row>
    <row r="1236" spans="1:20" x14ac:dyDescent="0.35">
      <c r="A1236" s="3">
        <v>697104</v>
      </c>
      <c r="B1236" s="2" t="s">
        <v>22</v>
      </c>
      <c r="C1236">
        <v>89113</v>
      </c>
      <c r="D1236" s="2" t="s">
        <v>29</v>
      </c>
      <c r="E1236">
        <v>1</v>
      </c>
      <c r="F1236">
        <v>1</v>
      </c>
      <c r="G1236" s="4">
        <f>VALUE(SUBSTITUTE(SUBSTITUTE(Table1[[#This Row],[Price]],"$",""),",",""))</f>
        <v>697104</v>
      </c>
      <c r="H1236" s="1">
        <f>Table1[[#This Row],[Price2]]/Table1[[#This Row],[Area]]</f>
        <v>1056.2181818181818</v>
      </c>
      <c r="I1236">
        <v>660</v>
      </c>
      <c r="J1236">
        <v>1964</v>
      </c>
      <c r="K1236">
        <v>101</v>
      </c>
      <c r="L1236" t="s">
        <v>19</v>
      </c>
      <c r="M1236" t="s">
        <v>1160</v>
      </c>
      <c r="N1236" s="2" t="s">
        <v>3029</v>
      </c>
      <c r="O1236" t="s">
        <v>3030</v>
      </c>
      <c r="P1236" t="s">
        <v>16</v>
      </c>
      <c r="Q1236">
        <v>1056.2181818181818</v>
      </c>
      <c r="R1236">
        <f ca="1">YEAR(TODAY())-Table1[[#This Row],[Year Built]]</f>
        <v>62</v>
      </c>
      <c r="S1236" t="str">
        <f>IF(Table1[[#This Row],[Days on Market]] &lt; 30,"Fast",IF(Table1[[#This Row],[Days on Market]]&lt;= 90,"Average", "Slow"))</f>
        <v>Slow</v>
      </c>
      <c r="T1236" t="str">
        <f>IF(Table1[[#This Row],[Price2]]&lt;500000,"Affordable",IF(Table1[[#This Row],[Price2]]&lt;1000000,"Mid range","Luxury"))</f>
        <v>Mid range</v>
      </c>
    </row>
    <row r="1237" spans="1:20" x14ac:dyDescent="0.35">
      <c r="A1237" s="3">
        <v>697793</v>
      </c>
      <c r="B1237" s="2" t="s">
        <v>17</v>
      </c>
      <c r="C1237">
        <v>91478</v>
      </c>
      <c r="D1237" s="2" t="s">
        <v>23</v>
      </c>
      <c r="E1237">
        <v>6</v>
      </c>
      <c r="F1237">
        <v>2</v>
      </c>
      <c r="G1237" s="4">
        <f>VALUE(SUBSTITUTE(SUBSTITUTE(Table1[[#This Row],[Price]],"$",""),",",""))</f>
        <v>697793</v>
      </c>
      <c r="H1237" s="1">
        <f>Table1[[#This Row],[Price2]]/Table1[[#This Row],[Area]]</f>
        <v>522.30014970059881</v>
      </c>
      <c r="I1237">
        <v>1336</v>
      </c>
      <c r="J1237">
        <v>2017</v>
      </c>
      <c r="K1237">
        <v>25</v>
      </c>
      <c r="L1237" t="s">
        <v>19</v>
      </c>
      <c r="M1237" t="s">
        <v>1736</v>
      </c>
      <c r="N1237" s="2" t="s">
        <v>3033</v>
      </c>
      <c r="O1237" t="s">
        <v>3034</v>
      </c>
      <c r="P1237" t="s">
        <v>16</v>
      </c>
      <c r="Q1237">
        <v>522.30014970059881</v>
      </c>
      <c r="R1237">
        <f ca="1">YEAR(TODAY())-Table1[[#This Row],[Year Built]]</f>
        <v>9</v>
      </c>
      <c r="S1237" t="str">
        <f>IF(Table1[[#This Row],[Days on Market]] &lt; 30,"Fast",IF(Table1[[#This Row],[Days on Market]]&lt;= 90,"Average", "Slow"))</f>
        <v>Fast</v>
      </c>
      <c r="T1237" t="str">
        <f>IF(Table1[[#This Row],[Price2]]&lt;500000,"Affordable",IF(Table1[[#This Row],[Price2]]&lt;1000000,"Mid range","Luxury"))</f>
        <v>Mid range</v>
      </c>
    </row>
    <row r="1238" spans="1:20" x14ac:dyDescent="0.35">
      <c r="A1238" s="3">
        <v>697945</v>
      </c>
      <c r="B1238" s="2" t="s">
        <v>12</v>
      </c>
      <c r="C1238">
        <v>55155</v>
      </c>
      <c r="D1238" s="2" t="s">
        <v>35</v>
      </c>
      <c r="E1238">
        <v>6</v>
      </c>
      <c r="F1238">
        <v>3</v>
      </c>
      <c r="G1238" s="4">
        <f>VALUE(SUBSTITUTE(SUBSTITUTE(Table1[[#This Row],[Price]],"$",""),",",""))</f>
        <v>697945</v>
      </c>
      <c r="H1238" s="1">
        <f>Table1[[#This Row],[Price2]]/Table1[[#This Row],[Area]]</f>
        <v>290.81041666666664</v>
      </c>
      <c r="I1238">
        <v>2400</v>
      </c>
      <c r="J1238">
        <v>1996</v>
      </c>
      <c r="K1238">
        <v>110</v>
      </c>
      <c r="L1238" t="s">
        <v>52</v>
      </c>
      <c r="M1238" t="s">
        <v>655</v>
      </c>
      <c r="N1238" s="2" t="s">
        <v>3031</v>
      </c>
      <c r="O1238" t="s">
        <v>3032</v>
      </c>
      <c r="P1238" t="s">
        <v>26</v>
      </c>
      <c r="Q1238">
        <v>290.81041666666664</v>
      </c>
      <c r="R1238">
        <f ca="1">YEAR(TODAY())-Table1[[#This Row],[Year Built]]</f>
        <v>30</v>
      </c>
      <c r="S1238" t="str">
        <f>IF(Table1[[#This Row],[Days on Market]] &lt; 30,"Fast",IF(Table1[[#This Row],[Days on Market]]&lt;= 90,"Average", "Slow"))</f>
        <v>Slow</v>
      </c>
      <c r="T1238" t="str">
        <f>IF(Table1[[#This Row],[Price2]]&lt;500000,"Affordable",IF(Table1[[#This Row],[Price2]]&lt;1000000,"Mid range","Luxury"))</f>
        <v>Mid range</v>
      </c>
    </row>
    <row r="1239" spans="1:20" x14ac:dyDescent="0.35">
      <c r="A1239" s="3">
        <v>698107</v>
      </c>
      <c r="B1239" s="2" t="s">
        <v>12</v>
      </c>
      <c r="C1239">
        <v>57171</v>
      </c>
      <c r="D1239" s="2" t="s">
        <v>29</v>
      </c>
      <c r="E1239">
        <v>6</v>
      </c>
      <c r="F1239">
        <v>3</v>
      </c>
      <c r="G1239" s="4">
        <f>VALUE(SUBSTITUTE(SUBSTITUTE(Table1[[#This Row],[Price]],"$",""),",",""))</f>
        <v>698107</v>
      </c>
      <c r="H1239" s="1">
        <f>Table1[[#This Row],[Price2]]/Table1[[#This Row],[Area]]</f>
        <v>273.8748528834837</v>
      </c>
      <c r="I1239">
        <v>2549</v>
      </c>
      <c r="J1239">
        <v>1955</v>
      </c>
      <c r="K1239">
        <v>10</v>
      </c>
      <c r="L1239" t="s">
        <v>52</v>
      </c>
      <c r="M1239" t="s">
        <v>1092</v>
      </c>
      <c r="N1239" s="2" t="s">
        <v>3031</v>
      </c>
      <c r="O1239" t="s">
        <v>3032</v>
      </c>
      <c r="P1239" t="s">
        <v>16</v>
      </c>
      <c r="Q1239">
        <v>273.8748528834837</v>
      </c>
      <c r="R1239">
        <f ca="1">YEAR(TODAY())-Table1[[#This Row],[Year Built]]</f>
        <v>71</v>
      </c>
      <c r="S1239" t="str">
        <f>IF(Table1[[#This Row],[Days on Market]] &lt; 30,"Fast",IF(Table1[[#This Row],[Days on Market]]&lt;= 90,"Average", "Slow"))</f>
        <v>Fast</v>
      </c>
      <c r="T1239" t="str">
        <f>IF(Table1[[#This Row],[Price2]]&lt;500000,"Affordable",IF(Table1[[#This Row],[Price2]]&lt;1000000,"Mid range","Luxury"))</f>
        <v>Mid range</v>
      </c>
    </row>
    <row r="1240" spans="1:20" x14ac:dyDescent="0.35">
      <c r="A1240" s="3">
        <v>698501</v>
      </c>
      <c r="B1240" s="2" t="s">
        <v>34</v>
      </c>
      <c r="C1240">
        <v>12129</v>
      </c>
      <c r="D1240" s="2" t="s">
        <v>23</v>
      </c>
      <c r="E1240">
        <v>2</v>
      </c>
      <c r="F1240">
        <v>4</v>
      </c>
      <c r="G1240" s="4">
        <f>VALUE(SUBSTITUTE(SUBSTITUTE(Table1[[#This Row],[Price]],"$",""),",",""))</f>
        <v>698501</v>
      </c>
      <c r="H1240" s="1">
        <f>Table1[[#This Row],[Price2]]/Table1[[#This Row],[Area]]</f>
        <v>327.01357677902621</v>
      </c>
      <c r="I1240">
        <v>2136</v>
      </c>
      <c r="J1240">
        <v>1972</v>
      </c>
      <c r="K1240">
        <v>103</v>
      </c>
      <c r="L1240" t="s">
        <v>52</v>
      </c>
      <c r="M1240" t="s">
        <v>2505</v>
      </c>
      <c r="N1240" s="2" t="s">
        <v>3027</v>
      </c>
      <c r="O1240" t="s">
        <v>3028</v>
      </c>
      <c r="P1240" t="s">
        <v>26</v>
      </c>
      <c r="Q1240">
        <v>327.01357677902621</v>
      </c>
      <c r="R1240">
        <f ca="1">YEAR(TODAY())-Table1[[#This Row],[Year Built]]</f>
        <v>54</v>
      </c>
      <c r="S1240" t="str">
        <f>IF(Table1[[#This Row],[Days on Market]] &lt; 30,"Fast",IF(Table1[[#This Row],[Days on Market]]&lt;= 90,"Average", "Slow"))</f>
        <v>Slow</v>
      </c>
      <c r="T1240" t="str">
        <f>IF(Table1[[#This Row],[Price2]]&lt;500000,"Affordable",IF(Table1[[#This Row],[Price2]]&lt;1000000,"Mid range","Luxury"))</f>
        <v>Mid range</v>
      </c>
    </row>
    <row r="1241" spans="1:20" x14ac:dyDescent="0.35">
      <c r="A1241" s="3">
        <v>698570</v>
      </c>
      <c r="B1241" s="2" t="s">
        <v>22</v>
      </c>
      <c r="C1241">
        <v>57513</v>
      </c>
      <c r="D1241" s="2" t="s">
        <v>13</v>
      </c>
      <c r="E1241">
        <v>3</v>
      </c>
      <c r="F1241">
        <v>2</v>
      </c>
      <c r="G1241" s="4">
        <f>VALUE(SUBSTITUTE(SUBSTITUTE(Table1[[#This Row],[Price]],"$",""),",",""))</f>
        <v>698570</v>
      </c>
      <c r="H1241" s="1">
        <f>Table1[[#This Row],[Price2]]/Table1[[#This Row],[Area]]</f>
        <v>967.54847645429368</v>
      </c>
      <c r="I1241">
        <v>722</v>
      </c>
      <c r="J1241">
        <v>1953</v>
      </c>
      <c r="K1241">
        <v>72</v>
      </c>
      <c r="L1241" t="s">
        <v>19</v>
      </c>
      <c r="M1241" t="s">
        <v>45</v>
      </c>
      <c r="N1241" s="2" t="s">
        <v>3031</v>
      </c>
      <c r="O1241" t="s">
        <v>3032</v>
      </c>
      <c r="P1241" t="s">
        <v>21</v>
      </c>
      <c r="Q1241">
        <v>967.54847645429368</v>
      </c>
      <c r="R1241">
        <f ca="1">YEAR(TODAY())-Table1[[#This Row],[Year Built]]</f>
        <v>73</v>
      </c>
      <c r="S1241" t="str">
        <f>IF(Table1[[#This Row],[Days on Market]] &lt; 30,"Fast",IF(Table1[[#This Row],[Days on Market]]&lt;= 90,"Average", "Slow"))</f>
        <v>Average</v>
      </c>
      <c r="T1241" t="str">
        <f>IF(Table1[[#This Row],[Price2]]&lt;500000,"Affordable",IF(Table1[[#This Row],[Price2]]&lt;1000000,"Mid range","Luxury"))</f>
        <v>Mid range</v>
      </c>
    </row>
    <row r="1242" spans="1:20" x14ac:dyDescent="0.35">
      <c r="A1242" s="3">
        <v>698605</v>
      </c>
      <c r="B1242" s="2" t="s">
        <v>27</v>
      </c>
      <c r="C1242">
        <v>44449</v>
      </c>
      <c r="D1242" s="2" t="s">
        <v>18</v>
      </c>
      <c r="E1242">
        <v>2</v>
      </c>
      <c r="F1242">
        <v>2</v>
      </c>
      <c r="G1242" s="4">
        <f>VALUE(SUBSTITUTE(SUBSTITUTE(Table1[[#This Row],[Price]],"$",""),",",""))</f>
        <v>698605</v>
      </c>
      <c r="H1242" s="1">
        <f>Table1[[#This Row],[Price2]]/Table1[[#This Row],[Area]]</f>
        <v>1158.5489220563848</v>
      </c>
      <c r="I1242">
        <v>603</v>
      </c>
      <c r="J1242">
        <v>1959</v>
      </c>
      <c r="K1242">
        <v>90</v>
      </c>
      <c r="L1242" t="s">
        <v>14</v>
      </c>
      <c r="M1242" t="s">
        <v>2176</v>
      </c>
      <c r="N1242" s="2" t="s">
        <v>3035</v>
      </c>
      <c r="O1242" t="s">
        <v>3036</v>
      </c>
      <c r="P1242" t="s">
        <v>21</v>
      </c>
      <c r="Q1242">
        <v>1158.5489220563848</v>
      </c>
      <c r="R1242">
        <f ca="1">YEAR(TODAY())-Table1[[#This Row],[Year Built]]</f>
        <v>67</v>
      </c>
      <c r="S1242" t="str">
        <f>IF(Table1[[#This Row],[Days on Market]] &lt; 30,"Fast",IF(Table1[[#This Row],[Days on Market]]&lt;= 90,"Average", "Slow"))</f>
        <v>Average</v>
      </c>
      <c r="T1242" t="str">
        <f>IF(Table1[[#This Row],[Price2]]&lt;500000,"Affordable",IF(Table1[[#This Row],[Price2]]&lt;1000000,"Mid range","Luxury"))</f>
        <v>Mid range</v>
      </c>
    </row>
    <row r="1243" spans="1:20" x14ac:dyDescent="0.35">
      <c r="A1243" s="3">
        <v>698712</v>
      </c>
      <c r="B1243" s="2" t="s">
        <v>27</v>
      </c>
      <c r="C1243">
        <v>28809</v>
      </c>
      <c r="D1243" s="2" t="s">
        <v>13</v>
      </c>
      <c r="E1243">
        <v>2</v>
      </c>
      <c r="F1243">
        <v>3</v>
      </c>
      <c r="G1243" s="4">
        <f>VALUE(SUBSTITUTE(SUBSTITUTE(Table1[[#This Row],[Price]],"$",""),",",""))</f>
        <v>698712</v>
      </c>
      <c r="H1243" s="1">
        <f>Table1[[#This Row],[Price2]]/Table1[[#This Row],[Area]]</f>
        <v>371.65531914893614</v>
      </c>
      <c r="I1243">
        <v>1880</v>
      </c>
      <c r="J1243">
        <v>2017</v>
      </c>
      <c r="K1243">
        <v>106</v>
      </c>
      <c r="L1243" t="s">
        <v>14</v>
      </c>
      <c r="M1243" t="s">
        <v>770</v>
      </c>
      <c r="N1243" s="2" t="s">
        <v>3035</v>
      </c>
      <c r="O1243" t="s">
        <v>3036</v>
      </c>
      <c r="P1243" t="s">
        <v>21</v>
      </c>
      <c r="Q1243">
        <v>371.65531914893614</v>
      </c>
      <c r="R1243">
        <f ca="1">YEAR(TODAY())-Table1[[#This Row],[Year Built]]</f>
        <v>9</v>
      </c>
      <c r="S1243" t="str">
        <f>IF(Table1[[#This Row],[Days on Market]] &lt; 30,"Fast",IF(Table1[[#This Row],[Days on Market]]&lt;= 90,"Average", "Slow"))</f>
        <v>Slow</v>
      </c>
      <c r="T1243" t="str">
        <f>IF(Table1[[#This Row],[Price2]]&lt;500000,"Affordable",IF(Table1[[#This Row],[Price2]]&lt;1000000,"Mid range","Luxury"))</f>
        <v>Mid range</v>
      </c>
    </row>
    <row r="1244" spans="1:20" x14ac:dyDescent="0.35">
      <c r="A1244" s="3">
        <v>699231</v>
      </c>
      <c r="B1244" s="2" t="s">
        <v>12</v>
      </c>
      <c r="C1244">
        <v>20679</v>
      </c>
      <c r="D1244" s="2" t="s">
        <v>18</v>
      </c>
      <c r="E1244">
        <v>3</v>
      </c>
      <c r="F1244">
        <v>2</v>
      </c>
      <c r="G1244" s="4">
        <f>VALUE(SUBSTITUTE(SUBSTITUTE(Table1[[#This Row],[Price]],"$",""),",",""))</f>
        <v>699231</v>
      </c>
      <c r="H1244" s="1">
        <f>Table1[[#This Row],[Price2]]/Table1[[#This Row],[Area]]</f>
        <v>232.37986041874376</v>
      </c>
      <c r="I1244">
        <v>3009</v>
      </c>
      <c r="J1244">
        <v>1984</v>
      </c>
      <c r="K1244">
        <v>72</v>
      </c>
      <c r="L1244" t="s">
        <v>30</v>
      </c>
      <c r="M1244" t="s">
        <v>845</v>
      </c>
      <c r="N1244" s="2" t="s">
        <v>3031</v>
      </c>
      <c r="O1244" t="s">
        <v>3032</v>
      </c>
      <c r="P1244" t="s">
        <v>26</v>
      </c>
      <c r="Q1244">
        <v>232.37986041874376</v>
      </c>
      <c r="R1244">
        <f ca="1">YEAR(TODAY())-Table1[[#This Row],[Year Built]]</f>
        <v>42</v>
      </c>
      <c r="S1244" t="str">
        <f>IF(Table1[[#This Row],[Days on Market]] &lt; 30,"Fast",IF(Table1[[#This Row],[Days on Market]]&lt;= 90,"Average", "Slow"))</f>
        <v>Average</v>
      </c>
      <c r="T1244" t="str">
        <f>IF(Table1[[#This Row],[Price2]]&lt;500000,"Affordable",IF(Table1[[#This Row],[Price2]]&lt;1000000,"Mid range","Luxury"))</f>
        <v>Mid range</v>
      </c>
    </row>
    <row r="1245" spans="1:20" x14ac:dyDescent="0.35">
      <c r="A1245" s="3">
        <v>699502</v>
      </c>
      <c r="B1245" s="2" t="s">
        <v>12</v>
      </c>
      <c r="C1245">
        <v>80202</v>
      </c>
      <c r="D1245" s="2" t="s">
        <v>13</v>
      </c>
      <c r="E1245">
        <v>5</v>
      </c>
      <c r="F1245">
        <v>4</v>
      </c>
      <c r="G1245" s="4">
        <f>VALUE(SUBSTITUTE(SUBSTITUTE(Table1[[#This Row],[Price]],"$",""),",",""))</f>
        <v>699502</v>
      </c>
      <c r="H1245" s="1">
        <f>Table1[[#This Row],[Price2]]/Table1[[#This Row],[Area]]</f>
        <v>359.27170005136105</v>
      </c>
      <c r="I1245">
        <v>1947</v>
      </c>
      <c r="J1245">
        <v>2000</v>
      </c>
      <c r="K1245">
        <v>1</v>
      </c>
      <c r="L1245" t="s">
        <v>19</v>
      </c>
      <c r="M1245" t="s">
        <v>2930</v>
      </c>
      <c r="N1245" s="2" t="s">
        <v>3035</v>
      </c>
      <c r="O1245" t="s">
        <v>3036</v>
      </c>
      <c r="P1245" t="s">
        <v>21</v>
      </c>
      <c r="Q1245">
        <v>359.27170005136105</v>
      </c>
      <c r="R1245">
        <f ca="1">YEAR(TODAY())-Table1[[#This Row],[Year Built]]</f>
        <v>26</v>
      </c>
      <c r="S1245" t="str">
        <f>IF(Table1[[#This Row],[Days on Market]] &lt; 30,"Fast",IF(Table1[[#This Row],[Days on Market]]&lt;= 90,"Average", "Slow"))</f>
        <v>Fast</v>
      </c>
      <c r="T1245" t="str">
        <f>IF(Table1[[#This Row],[Price2]]&lt;500000,"Affordable",IF(Table1[[#This Row],[Price2]]&lt;1000000,"Mid range","Luxury"))</f>
        <v>Mid range</v>
      </c>
    </row>
    <row r="1246" spans="1:20" x14ac:dyDescent="0.35">
      <c r="A1246" s="3">
        <v>699524</v>
      </c>
      <c r="B1246" s="2" t="s">
        <v>27</v>
      </c>
      <c r="C1246">
        <v>68966</v>
      </c>
      <c r="D1246" s="2" t="s">
        <v>35</v>
      </c>
      <c r="E1246">
        <v>5</v>
      </c>
      <c r="F1246">
        <v>4</v>
      </c>
      <c r="G1246" s="4">
        <f>VALUE(SUBSTITUTE(SUBSTITUTE(Table1[[#This Row],[Price]],"$",""),",",""))</f>
        <v>699524</v>
      </c>
      <c r="H1246" s="1">
        <f>Table1[[#This Row],[Price2]]/Table1[[#This Row],[Area]]</f>
        <v>280.37034068136273</v>
      </c>
      <c r="I1246">
        <v>2495</v>
      </c>
      <c r="J1246">
        <v>2021</v>
      </c>
      <c r="K1246">
        <v>102</v>
      </c>
      <c r="L1246" t="s">
        <v>30</v>
      </c>
      <c r="M1246" t="s">
        <v>2511</v>
      </c>
      <c r="N1246" s="2" t="s">
        <v>3035</v>
      </c>
      <c r="O1246" t="s">
        <v>3036</v>
      </c>
      <c r="P1246" t="s">
        <v>21</v>
      </c>
      <c r="Q1246">
        <v>280.37034068136273</v>
      </c>
      <c r="R1246">
        <f ca="1">YEAR(TODAY())-Table1[[#This Row],[Year Built]]</f>
        <v>5</v>
      </c>
      <c r="S1246" t="str">
        <f>IF(Table1[[#This Row],[Days on Market]] &lt; 30,"Fast",IF(Table1[[#This Row],[Days on Market]]&lt;= 90,"Average", "Slow"))</f>
        <v>Slow</v>
      </c>
      <c r="T1246" t="str">
        <f>IF(Table1[[#This Row],[Price2]]&lt;500000,"Affordable",IF(Table1[[#This Row],[Price2]]&lt;1000000,"Mid range","Luxury"))</f>
        <v>Mid range</v>
      </c>
    </row>
    <row r="1247" spans="1:20" x14ac:dyDescent="0.35">
      <c r="A1247" s="3">
        <v>699748</v>
      </c>
      <c r="B1247" s="2" t="s">
        <v>22</v>
      </c>
      <c r="C1247">
        <v>41560</v>
      </c>
      <c r="D1247" s="2" t="s">
        <v>13</v>
      </c>
      <c r="E1247">
        <v>1</v>
      </c>
      <c r="F1247">
        <v>2</v>
      </c>
      <c r="G1247" s="4">
        <f>VALUE(SUBSTITUTE(SUBSTITUTE(Table1[[#This Row],[Price]],"$",""),",",""))</f>
        <v>699748</v>
      </c>
      <c r="H1247" s="1">
        <f>Table1[[#This Row],[Price2]]/Table1[[#This Row],[Area]]</f>
        <v>427.45754428833231</v>
      </c>
      <c r="I1247">
        <v>1637</v>
      </c>
      <c r="J1247">
        <v>1987</v>
      </c>
      <c r="K1247">
        <v>115</v>
      </c>
      <c r="L1247" t="s">
        <v>30</v>
      </c>
      <c r="M1247" t="s">
        <v>1625</v>
      </c>
      <c r="N1247" s="2" t="s">
        <v>3031</v>
      </c>
      <c r="O1247" t="s">
        <v>3032</v>
      </c>
      <c r="P1247" t="s">
        <v>26</v>
      </c>
      <c r="Q1247">
        <v>427.45754428833231</v>
      </c>
      <c r="R1247">
        <f ca="1">YEAR(TODAY())-Table1[[#This Row],[Year Built]]</f>
        <v>39</v>
      </c>
      <c r="S1247" t="str">
        <f>IF(Table1[[#This Row],[Days on Market]] &lt; 30,"Fast",IF(Table1[[#This Row],[Days on Market]]&lt;= 90,"Average", "Slow"))</f>
        <v>Slow</v>
      </c>
      <c r="T1247" t="str">
        <f>IF(Table1[[#This Row],[Price2]]&lt;500000,"Affordable",IF(Table1[[#This Row],[Price2]]&lt;1000000,"Mid range","Luxury"))</f>
        <v>Mid range</v>
      </c>
    </row>
    <row r="1248" spans="1:20" x14ac:dyDescent="0.35">
      <c r="A1248" s="3">
        <v>699839</v>
      </c>
      <c r="B1248" s="2" t="s">
        <v>22</v>
      </c>
      <c r="C1248">
        <v>47736</v>
      </c>
      <c r="D1248" s="2" t="s">
        <v>13</v>
      </c>
      <c r="E1248">
        <v>6</v>
      </c>
      <c r="F1248">
        <v>4</v>
      </c>
      <c r="G1248" s="4">
        <f>VALUE(SUBSTITUTE(SUBSTITUTE(Table1[[#This Row],[Price]],"$",""),",",""))</f>
        <v>699839</v>
      </c>
      <c r="H1248" s="1">
        <f>Table1[[#This Row],[Price2]]/Table1[[#This Row],[Area]]</f>
        <v>378.08698001080495</v>
      </c>
      <c r="I1248">
        <v>1851</v>
      </c>
      <c r="J1248">
        <v>2015</v>
      </c>
      <c r="K1248">
        <v>22</v>
      </c>
      <c r="L1248" t="s">
        <v>19</v>
      </c>
      <c r="M1248" t="s">
        <v>800</v>
      </c>
      <c r="N1248" s="2" t="s">
        <v>3027</v>
      </c>
      <c r="O1248" t="s">
        <v>3028</v>
      </c>
      <c r="P1248" t="s">
        <v>26</v>
      </c>
      <c r="Q1248">
        <v>378.08698001080495</v>
      </c>
      <c r="R1248">
        <f ca="1">YEAR(TODAY())-Table1[[#This Row],[Year Built]]</f>
        <v>11</v>
      </c>
      <c r="S1248" t="str">
        <f>IF(Table1[[#This Row],[Days on Market]] &lt; 30,"Fast",IF(Table1[[#This Row],[Days on Market]]&lt;= 90,"Average", "Slow"))</f>
        <v>Fast</v>
      </c>
      <c r="T1248" t="str">
        <f>IF(Table1[[#This Row],[Price2]]&lt;500000,"Affordable",IF(Table1[[#This Row],[Price2]]&lt;1000000,"Mid range","Luxury"))</f>
        <v>Mid range</v>
      </c>
    </row>
    <row r="1249" spans="1:20" x14ac:dyDescent="0.35">
      <c r="A1249" s="3">
        <v>700635</v>
      </c>
      <c r="B1249" s="2" t="s">
        <v>27</v>
      </c>
      <c r="C1249">
        <v>36484</v>
      </c>
      <c r="D1249" s="2" t="s">
        <v>13</v>
      </c>
      <c r="E1249">
        <v>2</v>
      </c>
      <c r="F1249">
        <v>3</v>
      </c>
      <c r="G1249" s="4">
        <f>VALUE(SUBSTITUTE(SUBSTITUTE(Table1[[#This Row],[Price]],"$",""),",",""))</f>
        <v>700635</v>
      </c>
      <c r="H1249" s="1">
        <f>Table1[[#This Row],[Price2]]/Table1[[#This Row],[Area]]</f>
        <v>666.63653663177922</v>
      </c>
      <c r="I1249">
        <v>1051</v>
      </c>
      <c r="J1249">
        <v>1966</v>
      </c>
      <c r="K1249">
        <v>82</v>
      </c>
      <c r="L1249" t="s">
        <v>14</v>
      </c>
      <c r="M1249" t="s">
        <v>2630</v>
      </c>
      <c r="N1249" s="2" t="s">
        <v>3027</v>
      </c>
      <c r="O1249" t="s">
        <v>3028</v>
      </c>
      <c r="P1249" t="s">
        <v>16</v>
      </c>
      <c r="Q1249">
        <v>666.63653663177922</v>
      </c>
      <c r="R1249">
        <f ca="1">YEAR(TODAY())-Table1[[#This Row],[Year Built]]</f>
        <v>60</v>
      </c>
      <c r="S1249" t="str">
        <f>IF(Table1[[#This Row],[Days on Market]] &lt; 30,"Fast",IF(Table1[[#This Row],[Days on Market]]&lt;= 90,"Average", "Slow"))</f>
        <v>Average</v>
      </c>
      <c r="T1249" t="str">
        <f>IF(Table1[[#This Row],[Price2]]&lt;500000,"Affordable",IF(Table1[[#This Row],[Price2]]&lt;1000000,"Mid range","Luxury"))</f>
        <v>Mid range</v>
      </c>
    </row>
    <row r="1250" spans="1:20" x14ac:dyDescent="0.35">
      <c r="A1250" s="3">
        <v>702190</v>
      </c>
      <c r="B1250" s="2" t="s">
        <v>27</v>
      </c>
      <c r="C1250">
        <v>63376</v>
      </c>
      <c r="D1250" s="2" t="s">
        <v>18</v>
      </c>
      <c r="E1250">
        <v>2</v>
      </c>
      <c r="F1250">
        <v>2</v>
      </c>
      <c r="G1250" s="4">
        <f>VALUE(SUBSTITUTE(SUBSTITUTE(Table1[[#This Row],[Price]],"$",""),",",""))</f>
        <v>702190</v>
      </c>
      <c r="H1250" s="1">
        <f>Table1[[#This Row],[Price2]]/Table1[[#This Row],[Area]]</f>
        <v>648.3748845798707</v>
      </c>
      <c r="I1250">
        <v>1083</v>
      </c>
      <c r="J1250">
        <v>2007</v>
      </c>
      <c r="K1250">
        <v>65</v>
      </c>
      <c r="L1250" t="s">
        <v>52</v>
      </c>
      <c r="M1250" t="s">
        <v>2330</v>
      </c>
      <c r="N1250" s="2" t="s">
        <v>3027</v>
      </c>
      <c r="O1250" t="s">
        <v>3028</v>
      </c>
      <c r="P1250" t="s">
        <v>16</v>
      </c>
      <c r="Q1250">
        <v>648.3748845798707</v>
      </c>
      <c r="R1250">
        <f ca="1">YEAR(TODAY())-Table1[[#This Row],[Year Built]]</f>
        <v>19</v>
      </c>
      <c r="S1250" t="str">
        <f>IF(Table1[[#This Row],[Days on Market]] &lt; 30,"Fast",IF(Table1[[#This Row],[Days on Market]]&lt;= 90,"Average", "Slow"))</f>
        <v>Average</v>
      </c>
      <c r="T1250" t="str">
        <f>IF(Table1[[#This Row],[Price2]]&lt;500000,"Affordable",IF(Table1[[#This Row],[Price2]]&lt;1000000,"Mid range","Luxury"))</f>
        <v>Mid range</v>
      </c>
    </row>
    <row r="1251" spans="1:20" x14ac:dyDescent="0.35">
      <c r="A1251" s="3">
        <v>702616</v>
      </c>
      <c r="B1251" s="2" t="s">
        <v>12</v>
      </c>
      <c r="C1251">
        <v>43982</v>
      </c>
      <c r="D1251" s="2" t="s">
        <v>13</v>
      </c>
      <c r="E1251">
        <v>6</v>
      </c>
      <c r="F1251">
        <v>3</v>
      </c>
      <c r="G1251" s="4">
        <f>VALUE(SUBSTITUTE(SUBSTITUTE(Table1[[#This Row],[Price]],"$",""),",",""))</f>
        <v>702616</v>
      </c>
      <c r="H1251" s="1">
        <f>Table1[[#This Row],[Price2]]/Table1[[#This Row],[Area]]</f>
        <v>412.33333333333331</v>
      </c>
      <c r="I1251">
        <v>1704</v>
      </c>
      <c r="J1251">
        <v>1968</v>
      </c>
      <c r="K1251">
        <v>34</v>
      </c>
      <c r="L1251" t="s">
        <v>30</v>
      </c>
      <c r="M1251" t="s">
        <v>1390</v>
      </c>
      <c r="N1251" s="2" t="s">
        <v>3033</v>
      </c>
      <c r="O1251" t="s">
        <v>3034</v>
      </c>
      <c r="P1251" t="s">
        <v>26</v>
      </c>
      <c r="Q1251">
        <v>412.33333333333331</v>
      </c>
      <c r="R1251">
        <f ca="1">YEAR(TODAY())-Table1[[#This Row],[Year Built]]</f>
        <v>58</v>
      </c>
      <c r="S1251" t="str">
        <f>IF(Table1[[#This Row],[Days on Market]] &lt; 30,"Fast",IF(Table1[[#This Row],[Days on Market]]&lt;= 90,"Average", "Slow"))</f>
        <v>Average</v>
      </c>
      <c r="T1251" t="str">
        <f>IF(Table1[[#This Row],[Price2]]&lt;500000,"Affordable",IF(Table1[[#This Row],[Price2]]&lt;1000000,"Mid range","Luxury"))</f>
        <v>Mid range</v>
      </c>
    </row>
    <row r="1252" spans="1:20" x14ac:dyDescent="0.35">
      <c r="A1252" s="3">
        <v>703004</v>
      </c>
      <c r="B1252" s="2" t="s">
        <v>12</v>
      </c>
      <c r="C1252">
        <v>69638</v>
      </c>
      <c r="D1252" s="2" t="s">
        <v>23</v>
      </c>
      <c r="E1252">
        <v>4</v>
      </c>
      <c r="F1252">
        <v>2</v>
      </c>
      <c r="G1252" s="4">
        <f>VALUE(SUBSTITUTE(SUBSTITUTE(Table1[[#This Row],[Price]],"$",""),",",""))</f>
        <v>703004</v>
      </c>
      <c r="H1252" s="1">
        <f>Table1[[#This Row],[Price2]]/Table1[[#This Row],[Area]]</f>
        <v>247.71106412966878</v>
      </c>
      <c r="I1252">
        <v>2838</v>
      </c>
      <c r="J1252">
        <v>1986</v>
      </c>
      <c r="K1252">
        <v>93</v>
      </c>
      <c r="L1252" t="s">
        <v>40</v>
      </c>
      <c r="M1252" t="s">
        <v>1428</v>
      </c>
      <c r="N1252" s="2" t="s">
        <v>3031</v>
      </c>
      <c r="O1252" t="s">
        <v>3032</v>
      </c>
      <c r="P1252" t="s">
        <v>16</v>
      </c>
      <c r="Q1252">
        <v>247.71106412966878</v>
      </c>
      <c r="R1252">
        <f ca="1">YEAR(TODAY())-Table1[[#This Row],[Year Built]]</f>
        <v>40</v>
      </c>
      <c r="S1252" t="str">
        <f>IF(Table1[[#This Row],[Days on Market]] &lt; 30,"Fast",IF(Table1[[#This Row],[Days on Market]]&lt;= 90,"Average", "Slow"))</f>
        <v>Slow</v>
      </c>
      <c r="T1252" t="str">
        <f>IF(Table1[[#This Row],[Price2]]&lt;500000,"Affordable",IF(Table1[[#This Row],[Price2]]&lt;1000000,"Mid range","Luxury"))</f>
        <v>Mid range</v>
      </c>
    </row>
    <row r="1253" spans="1:20" x14ac:dyDescent="0.35">
      <c r="A1253" s="3">
        <v>703104</v>
      </c>
      <c r="B1253" s="2" t="s">
        <v>22</v>
      </c>
      <c r="C1253">
        <v>22289</v>
      </c>
      <c r="D1253" s="2" t="s">
        <v>18</v>
      </c>
      <c r="E1253">
        <v>2</v>
      </c>
      <c r="F1253">
        <v>4</v>
      </c>
      <c r="G1253" s="4">
        <f>VALUE(SUBSTITUTE(SUBSTITUTE(Table1[[#This Row],[Price]],"$",""),",",""))</f>
        <v>703104</v>
      </c>
      <c r="H1253" s="1">
        <f>Table1[[#This Row],[Price2]]/Table1[[#This Row],[Area]]</f>
        <v>199.46212765957446</v>
      </c>
      <c r="I1253">
        <v>3525</v>
      </c>
      <c r="J1253">
        <v>1983</v>
      </c>
      <c r="K1253">
        <v>99</v>
      </c>
      <c r="L1253" t="s">
        <v>14</v>
      </c>
      <c r="M1253" t="s">
        <v>2931</v>
      </c>
      <c r="N1253" s="2" t="s">
        <v>3031</v>
      </c>
      <c r="O1253" t="s">
        <v>3032</v>
      </c>
      <c r="P1253" t="s">
        <v>21</v>
      </c>
      <c r="Q1253">
        <v>199.46212765957446</v>
      </c>
      <c r="R1253">
        <f ca="1">YEAR(TODAY())-Table1[[#This Row],[Year Built]]</f>
        <v>43</v>
      </c>
      <c r="S1253" t="str">
        <f>IF(Table1[[#This Row],[Days on Market]] &lt; 30,"Fast",IF(Table1[[#This Row],[Days on Market]]&lt;= 90,"Average", "Slow"))</f>
        <v>Slow</v>
      </c>
      <c r="T1253" t="str">
        <f>IF(Table1[[#This Row],[Price2]]&lt;500000,"Affordable",IF(Table1[[#This Row],[Price2]]&lt;1000000,"Mid range","Luxury"))</f>
        <v>Mid range</v>
      </c>
    </row>
    <row r="1254" spans="1:20" x14ac:dyDescent="0.35">
      <c r="A1254" s="3">
        <v>703493</v>
      </c>
      <c r="B1254" s="2" t="s">
        <v>27</v>
      </c>
      <c r="C1254">
        <v>20699</v>
      </c>
      <c r="D1254" s="2" t="s">
        <v>29</v>
      </c>
      <c r="E1254">
        <v>6</v>
      </c>
      <c r="F1254">
        <v>3</v>
      </c>
      <c r="G1254" s="4">
        <f>VALUE(SUBSTITUTE(SUBSTITUTE(Table1[[#This Row],[Price]],"$",""),",",""))</f>
        <v>703493</v>
      </c>
      <c r="H1254" s="1">
        <f>Table1[[#This Row],[Price2]]/Table1[[#This Row],[Area]]</f>
        <v>315.75089766606823</v>
      </c>
      <c r="I1254">
        <v>2228</v>
      </c>
      <c r="J1254">
        <v>1964</v>
      </c>
      <c r="K1254">
        <v>91</v>
      </c>
      <c r="L1254" t="s">
        <v>19</v>
      </c>
      <c r="M1254" t="s">
        <v>290</v>
      </c>
      <c r="N1254" s="2" t="s">
        <v>3031</v>
      </c>
      <c r="O1254" t="s">
        <v>3032</v>
      </c>
      <c r="P1254" t="s">
        <v>16</v>
      </c>
      <c r="Q1254">
        <v>315.75089766606823</v>
      </c>
      <c r="R1254">
        <f ca="1">YEAR(TODAY())-Table1[[#This Row],[Year Built]]</f>
        <v>62</v>
      </c>
      <c r="S1254" t="str">
        <f>IF(Table1[[#This Row],[Days on Market]] &lt; 30,"Fast",IF(Table1[[#This Row],[Days on Market]]&lt;= 90,"Average", "Slow"))</f>
        <v>Slow</v>
      </c>
      <c r="T1254" t="str">
        <f>IF(Table1[[#This Row],[Price2]]&lt;500000,"Affordable",IF(Table1[[#This Row],[Price2]]&lt;1000000,"Mid range","Luxury"))</f>
        <v>Mid range</v>
      </c>
    </row>
    <row r="1255" spans="1:20" x14ac:dyDescent="0.35">
      <c r="A1255" s="3">
        <v>703641</v>
      </c>
      <c r="B1255" s="2" t="s">
        <v>22</v>
      </c>
      <c r="C1255">
        <v>28063</v>
      </c>
      <c r="D1255" s="2" t="s">
        <v>35</v>
      </c>
      <c r="E1255">
        <v>6</v>
      </c>
      <c r="F1255">
        <v>2</v>
      </c>
      <c r="G1255" s="4">
        <f>VALUE(SUBSTITUTE(SUBSTITUTE(Table1[[#This Row],[Price]],"$",""),",",""))</f>
        <v>703641</v>
      </c>
      <c r="H1255" s="1">
        <f>Table1[[#This Row],[Price2]]/Table1[[#This Row],[Area]]</f>
        <v>248.19788359788359</v>
      </c>
      <c r="I1255">
        <v>2835</v>
      </c>
      <c r="J1255">
        <v>1956</v>
      </c>
      <c r="K1255">
        <v>92</v>
      </c>
      <c r="L1255" t="s">
        <v>19</v>
      </c>
      <c r="M1255" t="s">
        <v>2494</v>
      </c>
      <c r="N1255" s="2" t="s">
        <v>3029</v>
      </c>
      <c r="O1255" t="s">
        <v>3030</v>
      </c>
      <c r="P1255" t="s">
        <v>16</v>
      </c>
      <c r="Q1255">
        <v>248.19788359788359</v>
      </c>
      <c r="R1255">
        <f ca="1">YEAR(TODAY())-Table1[[#This Row],[Year Built]]</f>
        <v>70</v>
      </c>
      <c r="S1255" t="str">
        <f>IF(Table1[[#This Row],[Days on Market]] &lt; 30,"Fast",IF(Table1[[#This Row],[Days on Market]]&lt;= 90,"Average", "Slow"))</f>
        <v>Slow</v>
      </c>
      <c r="T1255" t="str">
        <f>IF(Table1[[#This Row],[Price2]]&lt;500000,"Affordable",IF(Table1[[#This Row],[Price2]]&lt;1000000,"Mid range","Luxury"))</f>
        <v>Mid range</v>
      </c>
    </row>
    <row r="1256" spans="1:20" x14ac:dyDescent="0.35">
      <c r="A1256" s="3">
        <v>704012</v>
      </c>
      <c r="B1256" s="2" t="s">
        <v>34</v>
      </c>
      <c r="C1256">
        <v>39228</v>
      </c>
      <c r="D1256" s="2" t="s">
        <v>23</v>
      </c>
      <c r="E1256">
        <v>2</v>
      </c>
      <c r="F1256">
        <v>2</v>
      </c>
      <c r="G1256" s="4">
        <f>VALUE(SUBSTITUTE(SUBSTITUTE(Table1[[#This Row],[Price]],"$",""),",",""))</f>
        <v>704012</v>
      </c>
      <c r="H1256" s="1">
        <f>Table1[[#This Row],[Price2]]/Table1[[#This Row],[Area]]</f>
        <v>321.17335766423355</v>
      </c>
      <c r="I1256">
        <v>2192</v>
      </c>
      <c r="J1256">
        <v>2022</v>
      </c>
      <c r="K1256">
        <v>82</v>
      </c>
      <c r="L1256" t="s">
        <v>30</v>
      </c>
      <c r="M1256" t="s">
        <v>80</v>
      </c>
      <c r="N1256" s="2" t="s">
        <v>3027</v>
      </c>
      <c r="O1256" t="s">
        <v>3028</v>
      </c>
      <c r="P1256" t="s">
        <v>16</v>
      </c>
      <c r="Q1256">
        <v>321.17335766423355</v>
      </c>
      <c r="R1256">
        <f ca="1">YEAR(TODAY())-Table1[[#This Row],[Year Built]]</f>
        <v>4</v>
      </c>
      <c r="S1256" t="str">
        <f>IF(Table1[[#This Row],[Days on Market]] &lt; 30,"Fast",IF(Table1[[#This Row],[Days on Market]]&lt;= 90,"Average", "Slow"))</f>
        <v>Average</v>
      </c>
      <c r="T1256" t="str">
        <f>IF(Table1[[#This Row],[Price2]]&lt;500000,"Affordable",IF(Table1[[#This Row],[Price2]]&lt;1000000,"Mid range","Luxury"))</f>
        <v>Mid range</v>
      </c>
    </row>
    <row r="1257" spans="1:20" x14ac:dyDescent="0.35">
      <c r="A1257" s="3">
        <v>704660</v>
      </c>
      <c r="B1257" s="2" t="s">
        <v>27</v>
      </c>
      <c r="C1257">
        <v>68561</v>
      </c>
      <c r="D1257" s="2" t="s">
        <v>23</v>
      </c>
      <c r="E1257">
        <v>4</v>
      </c>
      <c r="F1257">
        <v>3</v>
      </c>
      <c r="G1257" s="4">
        <f>VALUE(SUBSTITUTE(SUBSTITUTE(Table1[[#This Row],[Price]],"$",""),",",""))</f>
        <v>704660</v>
      </c>
      <c r="H1257" s="1">
        <f>Table1[[#This Row],[Price2]]/Table1[[#This Row],[Area]]</f>
        <v>575.70261437908493</v>
      </c>
      <c r="I1257">
        <v>1224</v>
      </c>
      <c r="J1257">
        <v>2022</v>
      </c>
      <c r="K1257">
        <v>49</v>
      </c>
      <c r="L1257" t="s">
        <v>52</v>
      </c>
      <c r="M1257" t="s">
        <v>674</v>
      </c>
      <c r="N1257" s="2" t="s">
        <v>3035</v>
      </c>
      <c r="O1257" t="s">
        <v>3036</v>
      </c>
      <c r="P1257" t="s">
        <v>16</v>
      </c>
      <c r="Q1257">
        <v>575.70261437908493</v>
      </c>
      <c r="R1257">
        <f ca="1">YEAR(TODAY())-Table1[[#This Row],[Year Built]]</f>
        <v>4</v>
      </c>
      <c r="S1257" t="str">
        <f>IF(Table1[[#This Row],[Days on Market]] &lt; 30,"Fast",IF(Table1[[#This Row],[Days on Market]]&lt;= 90,"Average", "Slow"))</f>
        <v>Average</v>
      </c>
      <c r="T1257" t="str">
        <f>IF(Table1[[#This Row],[Price2]]&lt;500000,"Affordable",IF(Table1[[#This Row],[Price2]]&lt;1000000,"Mid range","Luxury"))</f>
        <v>Mid range</v>
      </c>
    </row>
    <row r="1258" spans="1:20" x14ac:dyDescent="0.35">
      <c r="A1258" s="3">
        <v>704899</v>
      </c>
      <c r="B1258" s="2" t="s">
        <v>27</v>
      </c>
      <c r="C1258">
        <v>59479</v>
      </c>
      <c r="D1258" s="2" t="s">
        <v>23</v>
      </c>
      <c r="E1258">
        <v>1</v>
      </c>
      <c r="F1258">
        <v>3</v>
      </c>
      <c r="G1258" s="4">
        <f>VALUE(SUBSTITUTE(SUBSTITUTE(Table1[[#This Row],[Price]],"$",""),",",""))</f>
        <v>704899</v>
      </c>
      <c r="H1258" s="1">
        <f>Table1[[#This Row],[Price2]]/Table1[[#This Row],[Area]]</f>
        <v>209.16884272997032</v>
      </c>
      <c r="I1258">
        <v>3370</v>
      </c>
      <c r="J1258">
        <v>1964</v>
      </c>
      <c r="K1258">
        <v>103</v>
      </c>
      <c r="L1258" t="s">
        <v>19</v>
      </c>
      <c r="M1258" t="s">
        <v>1678</v>
      </c>
      <c r="N1258" s="2" t="s">
        <v>3029</v>
      </c>
      <c r="O1258" t="s">
        <v>3030</v>
      </c>
      <c r="P1258" t="s">
        <v>26</v>
      </c>
      <c r="Q1258">
        <v>209.16884272997032</v>
      </c>
      <c r="R1258">
        <f ca="1">YEAR(TODAY())-Table1[[#This Row],[Year Built]]</f>
        <v>62</v>
      </c>
      <c r="S1258" t="str">
        <f>IF(Table1[[#This Row],[Days on Market]] &lt; 30,"Fast",IF(Table1[[#This Row],[Days on Market]]&lt;= 90,"Average", "Slow"))</f>
        <v>Slow</v>
      </c>
      <c r="T1258" t="str">
        <f>IF(Table1[[#This Row],[Price2]]&lt;500000,"Affordable",IF(Table1[[#This Row],[Price2]]&lt;1000000,"Mid range","Luxury"))</f>
        <v>Mid range</v>
      </c>
    </row>
    <row r="1259" spans="1:20" x14ac:dyDescent="0.35">
      <c r="A1259" s="3">
        <v>705333</v>
      </c>
      <c r="B1259" s="2" t="s">
        <v>17</v>
      </c>
      <c r="C1259">
        <v>17784</v>
      </c>
      <c r="D1259" s="2" t="s">
        <v>35</v>
      </c>
      <c r="E1259">
        <v>1</v>
      </c>
      <c r="F1259">
        <v>3</v>
      </c>
      <c r="G1259" s="4">
        <f>VALUE(SUBSTITUTE(SUBSTITUTE(Table1[[#This Row],[Price]],"$",""),",",""))</f>
        <v>705333</v>
      </c>
      <c r="H1259" s="1">
        <f>Table1[[#This Row],[Price2]]/Table1[[#This Row],[Area]]</f>
        <v>377.58725910064237</v>
      </c>
      <c r="I1259">
        <v>1868</v>
      </c>
      <c r="J1259">
        <v>2016</v>
      </c>
      <c r="K1259">
        <v>120</v>
      </c>
      <c r="L1259" t="s">
        <v>40</v>
      </c>
      <c r="M1259" t="s">
        <v>1320</v>
      </c>
      <c r="N1259" s="2" t="s">
        <v>3033</v>
      </c>
      <c r="O1259" t="s">
        <v>3034</v>
      </c>
      <c r="P1259" t="s">
        <v>21</v>
      </c>
      <c r="Q1259">
        <v>377.58725910064237</v>
      </c>
      <c r="R1259">
        <f ca="1">YEAR(TODAY())-Table1[[#This Row],[Year Built]]</f>
        <v>10</v>
      </c>
      <c r="S1259" t="str">
        <f>IF(Table1[[#This Row],[Days on Market]] &lt; 30,"Fast",IF(Table1[[#This Row],[Days on Market]]&lt;= 90,"Average", "Slow"))</f>
        <v>Slow</v>
      </c>
      <c r="T1259" t="str">
        <f>IF(Table1[[#This Row],[Price2]]&lt;500000,"Affordable",IF(Table1[[#This Row],[Price2]]&lt;1000000,"Mid range","Luxury"))</f>
        <v>Mid range</v>
      </c>
    </row>
    <row r="1260" spans="1:20" x14ac:dyDescent="0.35">
      <c r="A1260" s="3">
        <v>705506</v>
      </c>
      <c r="B1260" s="2" t="s">
        <v>22</v>
      </c>
      <c r="C1260">
        <v>74703</v>
      </c>
      <c r="D1260" s="2" t="s">
        <v>13</v>
      </c>
      <c r="E1260">
        <v>6</v>
      </c>
      <c r="F1260">
        <v>1</v>
      </c>
      <c r="G1260" s="4">
        <f>VALUE(SUBSTITUTE(SUBSTITUTE(Table1[[#This Row],[Price]],"$",""),",",""))</f>
        <v>705506</v>
      </c>
      <c r="H1260" s="1">
        <f>Table1[[#This Row],[Price2]]/Table1[[#This Row],[Area]]</f>
        <v>181.27081192189107</v>
      </c>
      <c r="I1260">
        <v>3892</v>
      </c>
      <c r="J1260">
        <v>1985</v>
      </c>
      <c r="K1260">
        <v>113</v>
      </c>
      <c r="L1260" t="s">
        <v>14</v>
      </c>
      <c r="M1260" t="s">
        <v>60</v>
      </c>
      <c r="N1260" s="2" t="s">
        <v>3035</v>
      </c>
      <c r="O1260" t="s">
        <v>3036</v>
      </c>
      <c r="P1260" t="s">
        <v>26</v>
      </c>
      <c r="Q1260">
        <v>181.27081192189107</v>
      </c>
      <c r="R1260">
        <f ca="1">YEAR(TODAY())-Table1[[#This Row],[Year Built]]</f>
        <v>41</v>
      </c>
      <c r="S1260" t="str">
        <f>IF(Table1[[#This Row],[Days on Market]] &lt; 30,"Fast",IF(Table1[[#This Row],[Days on Market]]&lt;= 90,"Average", "Slow"))</f>
        <v>Slow</v>
      </c>
      <c r="T1260" t="str">
        <f>IF(Table1[[#This Row],[Price2]]&lt;500000,"Affordable",IF(Table1[[#This Row],[Price2]]&lt;1000000,"Mid range","Luxury"))</f>
        <v>Mid range</v>
      </c>
    </row>
    <row r="1261" spans="1:20" x14ac:dyDescent="0.35">
      <c r="A1261" s="3">
        <v>705960</v>
      </c>
      <c r="B1261" s="2" t="s">
        <v>12</v>
      </c>
      <c r="C1261">
        <v>64880</v>
      </c>
      <c r="D1261" s="2" t="s">
        <v>35</v>
      </c>
      <c r="E1261">
        <v>3</v>
      </c>
      <c r="F1261">
        <v>3</v>
      </c>
      <c r="G1261" s="4">
        <f>VALUE(SUBSTITUTE(SUBSTITUTE(Table1[[#This Row],[Price]],"$",""),",",""))</f>
        <v>705960</v>
      </c>
      <c r="H1261" s="1">
        <f>Table1[[#This Row],[Price2]]/Table1[[#This Row],[Area]]</f>
        <v>365.97200622083983</v>
      </c>
      <c r="I1261">
        <v>1929</v>
      </c>
      <c r="J1261">
        <v>1971</v>
      </c>
      <c r="K1261">
        <v>18</v>
      </c>
      <c r="L1261" t="s">
        <v>19</v>
      </c>
      <c r="M1261" t="s">
        <v>1306</v>
      </c>
      <c r="N1261" s="2" t="s">
        <v>3031</v>
      </c>
      <c r="O1261" t="s">
        <v>3032</v>
      </c>
      <c r="P1261" t="s">
        <v>26</v>
      </c>
      <c r="Q1261">
        <v>365.97200622083983</v>
      </c>
      <c r="R1261">
        <f ca="1">YEAR(TODAY())-Table1[[#This Row],[Year Built]]</f>
        <v>55</v>
      </c>
      <c r="S1261" t="str">
        <f>IF(Table1[[#This Row],[Days on Market]] &lt; 30,"Fast",IF(Table1[[#This Row],[Days on Market]]&lt;= 90,"Average", "Slow"))</f>
        <v>Fast</v>
      </c>
      <c r="T1261" t="str">
        <f>IF(Table1[[#This Row],[Price2]]&lt;500000,"Affordable",IF(Table1[[#This Row],[Price2]]&lt;1000000,"Mid range","Luxury"))</f>
        <v>Mid range</v>
      </c>
    </row>
    <row r="1262" spans="1:20" x14ac:dyDescent="0.35">
      <c r="A1262" s="3">
        <v>706435</v>
      </c>
      <c r="B1262" s="2" t="s">
        <v>22</v>
      </c>
      <c r="C1262">
        <v>68739</v>
      </c>
      <c r="D1262" s="2" t="s">
        <v>29</v>
      </c>
      <c r="E1262">
        <v>4</v>
      </c>
      <c r="F1262">
        <v>2</v>
      </c>
      <c r="G1262" s="4">
        <f>VALUE(SUBSTITUTE(SUBSTITUTE(Table1[[#This Row],[Price]],"$",""),",",""))</f>
        <v>706435</v>
      </c>
      <c r="H1262" s="1">
        <f>Table1[[#This Row],[Price2]]/Table1[[#This Row],[Area]]</f>
        <v>558.00552922590839</v>
      </c>
      <c r="I1262">
        <v>1266</v>
      </c>
      <c r="J1262">
        <v>1984</v>
      </c>
      <c r="K1262">
        <v>78</v>
      </c>
      <c r="L1262" t="s">
        <v>14</v>
      </c>
      <c r="M1262" t="s">
        <v>1115</v>
      </c>
      <c r="N1262" s="2" t="s">
        <v>3035</v>
      </c>
      <c r="O1262" t="s">
        <v>3036</v>
      </c>
      <c r="P1262" t="s">
        <v>16</v>
      </c>
      <c r="Q1262">
        <v>558.00552922590839</v>
      </c>
      <c r="R1262">
        <f ca="1">YEAR(TODAY())-Table1[[#This Row],[Year Built]]</f>
        <v>42</v>
      </c>
      <c r="S1262" t="str">
        <f>IF(Table1[[#This Row],[Days on Market]] &lt; 30,"Fast",IF(Table1[[#This Row],[Days on Market]]&lt;= 90,"Average", "Slow"))</f>
        <v>Average</v>
      </c>
      <c r="T1262" t="str">
        <f>IF(Table1[[#This Row],[Price2]]&lt;500000,"Affordable",IF(Table1[[#This Row],[Price2]]&lt;1000000,"Mid range","Luxury"))</f>
        <v>Mid range</v>
      </c>
    </row>
    <row r="1263" spans="1:20" x14ac:dyDescent="0.35">
      <c r="A1263" s="3">
        <v>706540</v>
      </c>
      <c r="B1263" s="2" t="s">
        <v>27</v>
      </c>
      <c r="C1263">
        <v>78631</v>
      </c>
      <c r="D1263" s="2" t="s">
        <v>18</v>
      </c>
      <c r="E1263">
        <v>6</v>
      </c>
      <c r="F1263">
        <v>2</v>
      </c>
      <c r="G1263" s="4">
        <f>VALUE(SUBSTITUTE(SUBSTITUTE(Table1[[#This Row],[Price]],"$",""),",",""))</f>
        <v>706540</v>
      </c>
      <c r="H1263" s="1">
        <f>Table1[[#This Row],[Price2]]/Table1[[#This Row],[Area]]</f>
        <v>367.2245322245322</v>
      </c>
      <c r="I1263">
        <v>1924</v>
      </c>
      <c r="J1263">
        <v>1966</v>
      </c>
      <c r="K1263">
        <v>83</v>
      </c>
      <c r="L1263" t="s">
        <v>52</v>
      </c>
      <c r="M1263" t="s">
        <v>693</v>
      </c>
      <c r="N1263" s="2" t="s">
        <v>3029</v>
      </c>
      <c r="O1263" t="s">
        <v>3030</v>
      </c>
      <c r="P1263" t="s">
        <v>16</v>
      </c>
      <c r="Q1263">
        <v>367.2245322245322</v>
      </c>
      <c r="R1263">
        <f ca="1">YEAR(TODAY())-Table1[[#This Row],[Year Built]]</f>
        <v>60</v>
      </c>
      <c r="S1263" t="str">
        <f>IF(Table1[[#This Row],[Days on Market]] &lt; 30,"Fast",IF(Table1[[#This Row],[Days on Market]]&lt;= 90,"Average", "Slow"))</f>
        <v>Average</v>
      </c>
      <c r="T1263" t="str">
        <f>IF(Table1[[#This Row],[Price2]]&lt;500000,"Affordable",IF(Table1[[#This Row],[Price2]]&lt;1000000,"Mid range","Luxury"))</f>
        <v>Mid range</v>
      </c>
    </row>
    <row r="1264" spans="1:20" x14ac:dyDescent="0.35">
      <c r="A1264" s="3">
        <v>706620</v>
      </c>
      <c r="B1264" s="2" t="s">
        <v>27</v>
      </c>
      <c r="C1264">
        <v>14373</v>
      </c>
      <c r="D1264" s="2" t="s">
        <v>23</v>
      </c>
      <c r="E1264">
        <v>2</v>
      </c>
      <c r="F1264">
        <v>1</v>
      </c>
      <c r="G1264" s="4">
        <f>VALUE(SUBSTITUTE(SUBSTITUTE(Table1[[#This Row],[Price]],"$",""),",",""))</f>
        <v>706620</v>
      </c>
      <c r="H1264" s="1">
        <f>Table1[[#This Row],[Price2]]/Table1[[#This Row],[Area]]</f>
        <v>186.83765203595982</v>
      </c>
      <c r="I1264">
        <v>3782</v>
      </c>
      <c r="J1264">
        <v>2011</v>
      </c>
      <c r="K1264">
        <v>105</v>
      </c>
      <c r="L1264" t="s">
        <v>19</v>
      </c>
      <c r="M1264" t="s">
        <v>1335</v>
      </c>
      <c r="N1264" s="2" t="s">
        <v>3029</v>
      </c>
      <c r="O1264" t="s">
        <v>3030</v>
      </c>
      <c r="P1264" t="s">
        <v>16</v>
      </c>
      <c r="Q1264">
        <v>186.83765203595982</v>
      </c>
      <c r="R1264">
        <f ca="1">YEAR(TODAY())-Table1[[#This Row],[Year Built]]</f>
        <v>15</v>
      </c>
      <c r="S1264" t="str">
        <f>IF(Table1[[#This Row],[Days on Market]] &lt; 30,"Fast",IF(Table1[[#This Row],[Days on Market]]&lt;= 90,"Average", "Slow"))</f>
        <v>Slow</v>
      </c>
      <c r="T1264" t="str">
        <f>IF(Table1[[#This Row],[Price2]]&lt;500000,"Affordable",IF(Table1[[#This Row],[Price2]]&lt;1000000,"Mid range","Luxury"))</f>
        <v>Mid range</v>
      </c>
    </row>
    <row r="1265" spans="1:20" x14ac:dyDescent="0.35">
      <c r="A1265" s="3">
        <v>707137</v>
      </c>
      <c r="B1265" s="2" t="s">
        <v>12</v>
      </c>
      <c r="C1265">
        <v>50470</v>
      </c>
      <c r="D1265" s="2" t="s">
        <v>18</v>
      </c>
      <c r="E1265">
        <v>6</v>
      </c>
      <c r="F1265">
        <v>4</v>
      </c>
      <c r="G1265" s="4">
        <f>VALUE(SUBSTITUTE(SUBSTITUTE(Table1[[#This Row],[Price]],"$",""),",",""))</f>
        <v>707137</v>
      </c>
      <c r="H1265" s="1">
        <f>Table1[[#This Row],[Price2]]/Table1[[#This Row],[Area]]</f>
        <v>641.68511796733208</v>
      </c>
      <c r="I1265">
        <v>1102</v>
      </c>
      <c r="J1265">
        <v>1954</v>
      </c>
      <c r="K1265">
        <v>48</v>
      </c>
      <c r="L1265" t="s">
        <v>19</v>
      </c>
      <c r="M1265" t="s">
        <v>219</v>
      </c>
      <c r="N1265" s="2" t="s">
        <v>3029</v>
      </c>
      <c r="O1265" t="s">
        <v>3030</v>
      </c>
      <c r="P1265" t="s">
        <v>21</v>
      </c>
      <c r="Q1265">
        <v>641.68511796733208</v>
      </c>
      <c r="R1265">
        <f ca="1">YEAR(TODAY())-Table1[[#This Row],[Year Built]]</f>
        <v>72</v>
      </c>
      <c r="S1265" t="str">
        <f>IF(Table1[[#This Row],[Days on Market]] &lt; 30,"Fast",IF(Table1[[#This Row],[Days on Market]]&lt;= 90,"Average", "Slow"))</f>
        <v>Average</v>
      </c>
      <c r="T1265" t="str">
        <f>IF(Table1[[#This Row],[Price2]]&lt;500000,"Affordable",IF(Table1[[#This Row],[Price2]]&lt;1000000,"Mid range","Luxury"))</f>
        <v>Mid range</v>
      </c>
    </row>
    <row r="1266" spans="1:20" x14ac:dyDescent="0.35">
      <c r="A1266" s="3">
        <v>708347</v>
      </c>
      <c r="B1266" s="2" t="s">
        <v>27</v>
      </c>
      <c r="C1266">
        <v>61780</v>
      </c>
      <c r="D1266" s="2" t="s">
        <v>13</v>
      </c>
      <c r="E1266">
        <v>2</v>
      </c>
      <c r="F1266">
        <v>2</v>
      </c>
      <c r="G1266" s="4">
        <f>VALUE(SUBSTITUTE(SUBSTITUTE(Table1[[#This Row],[Price]],"$",""),",",""))</f>
        <v>708347</v>
      </c>
      <c r="H1266" s="1">
        <f>Table1[[#This Row],[Price2]]/Table1[[#This Row],[Area]]</f>
        <v>382.47678185745139</v>
      </c>
      <c r="I1266">
        <v>1852</v>
      </c>
      <c r="J1266">
        <v>1955</v>
      </c>
      <c r="K1266">
        <v>58</v>
      </c>
      <c r="L1266" t="s">
        <v>30</v>
      </c>
      <c r="M1266" t="s">
        <v>550</v>
      </c>
      <c r="N1266" s="2" t="s">
        <v>3027</v>
      </c>
      <c r="O1266" t="s">
        <v>3028</v>
      </c>
      <c r="P1266" t="s">
        <v>16</v>
      </c>
      <c r="Q1266">
        <v>382.47678185745139</v>
      </c>
      <c r="R1266">
        <f ca="1">YEAR(TODAY())-Table1[[#This Row],[Year Built]]</f>
        <v>71</v>
      </c>
      <c r="S1266" t="str">
        <f>IF(Table1[[#This Row],[Days on Market]] &lt; 30,"Fast",IF(Table1[[#This Row],[Days on Market]]&lt;= 90,"Average", "Slow"))</f>
        <v>Average</v>
      </c>
      <c r="T1266" t="str">
        <f>IF(Table1[[#This Row],[Price2]]&lt;500000,"Affordable",IF(Table1[[#This Row],[Price2]]&lt;1000000,"Mid range","Luxury"))</f>
        <v>Mid range</v>
      </c>
    </row>
    <row r="1267" spans="1:20" x14ac:dyDescent="0.35">
      <c r="A1267" s="3">
        <v>708703</v>
      </c>
      <c r="B1267" s="2" t="s">
        <v>22</v>
      </c>
      <c r="C1267">
        <v>34748</v>
      </c>
      <c r="D1267" s="2" t="s">
        <v>18</v>
      </c>
      <c r="E1267">
        <v>3</v>
      </c>
      <c r="F1267">
        <v>2</v>
      </c>
      <c r="G1267" s="4">
        <f>VALUE(SUBSTITUTE(SUBSTITUTE(Table1[[#This Row],[Price]],"$",""),",",""))</f>
        <v>708703</v>
      </c>
      <c r="H1267" s="1">
        <f>Table1[[#This Row],[Price2]]/Table1[[#This Row],[Area]]</f>
        <v>339.57977958792526</v>
      </c>
      <c r="I1267">
        <v>2087</v>
      </c>
      <c r="J1267">
        <v>2023</v>
      </c>
      <c r="K1267">
        <v>108</v>
      </c>
      <c r="L1267" t="s">
        <v>14</v>
      </c>
      <c r="M1267" t="s">
        <v>2579</v>
      </c>
      <c r="N1267" s="2" t="s">
        <v>3027</v>
      </c>
      <c r="O1267" t="s">
        <v>3028</v>
      </c>
      <c r="P1267" t="s">
        <v>16</v>
      </c>
      <c r="Q1267">
        <v>339.57977958792526</v>
      </c>
      <c r="R1267">
        <f ca="1">YEAR(TODAY())-Table1[[#This Row],[Year Built]]</f>
        <v>3</v>
      </c>
      <c r="S1267" t="str">
        <f>IF(Table1[[#This Row],[Days on Market]] &lt; 30,"Fast",IF(Table1[[#This Row],[Days on Market]]&lt;= 90,"Average", "Slow"))</f>
        <v>Slow</v>
      </c>
      <c r="T1267" t="str">
        <f>IF(Table1[[#This Row],[Price2]]&lt;500000,"Affordable",IF(Table1[[#This Row],[Price2]]&lt;1000000,"Mid range","Luxury"))</f>
        <v>Mid range</v>
      </c>
    </row>
    <row r="1268" spans="1:20" x14ac:dyDescent="0.35">
      <c r="A1268" s="3">
        <v>709999</v>
      </c>
      <c r="B1268" s="2" t="s">
        <v>34</v>
      </c>
      <c r="C1268">
        <v>22545</v>
      </c>
      <c r="D1268" s="2" t="s">
        <v>23</v>
      </c>
      <c r="E1268">
        <v>5</v>
      </c>
      <c r="F1268">
        <v>2</v>
      </c>
      <c r="G1268" s="4">
        <f>VALUE(SUBSTITUTE(SUBSTITUTE(Table1[[#This Row],[Price]],"$",""),",",""))</f>
        <v>709999</v>
      </c>
      <c r="H1268" s="1">
        <f>Table1[[#This Row],[Price2]]/Table1[[#This Row],[Area]]</f>
        <v>303.67792985457658</v>
      </c>
      <c r="I1268">
        <v>2338</v>
      </c>
      <c r="J1268">
        <v>1980</v>
      </c>
      <c r="K1268">
        <v>38</v>
      </c>
      <c r="L1268" t="s">
        <v>52</v>
      </c>
      <c r="M1268" t="s">
        <v>3013</v>
      </c>
      <c r="N1268" s="2" t="s">
        <v>3035</v>
      </c>
      <c r="O1268" t="s">
        <v>3036</v>
      </c>
      <c r="P1268" t="s">
        <v>16</v>
      </c>
      <c r="Q1268">
        <v>303.67792985457658</v>
      </c>
      <c r="R1268">
        <f ca="1">YEAR(TODAY())-Table1[[#This Row],[Year Built]]</f>
        <v>46</v>
      </c>
      <c r="S1268" t="str">
        <f>IF(Table1[[#This Row],[Days on Market]] &lt; 30,"Fast",IF(Table1[[#This Row],[Days on Market]]&lt;= 90,"Average", "Slow"))</f>
        <v>Average</v>
      </c>
      <c r="T1268" t="str">
        <f>IF(Table1[[#This Row],[Price2]]&lt;500000,"Affordable",IF(Table1[[#This Row],[Price2]]&lt;1000000,"Mid range","Luxury"))</f>
        <v>Mid range</v>
      </c>
    </row>
    <row r="1269" spans="1:20" x14ac:dyDescent="0.35">
      <c r="A1269" s="3">
        <v>710158</v>
      </c>
      <c r="B1269" s="2" t="s">
        <v>34</v>
      </c>
      <c r="C1269">
        <v>78415</v>
      </c>
      <c r="D1269" s="2" t="s">
        <v>29</v>
      </c>
      <c r="E1269">
        <v>5</v>
      </c>
      <c r="F1269">
        <v>2</v>
      </c>
      <c r="G1269" s="4">
        <f>VALUE(SUBSTITUTE(SUBSTITUTE(Table1[[#This Row],[Price]],"$",""),",",""))</f>
        <v>710158</v>
      </c>
      <c r="H1269" s="1">
        <f>Table1[[#This Row],[Price2]]/Table1[[#This Row],[Area]]</f>
        <v>272.19547719432734</v>
      </c>
      <c r="I1269">
        <v>2609</v>
      </c>
      <c r="J1269">
        <v>2005</v>
      </c>
      <c r="K1269">
        <v>76</v>
      </c>
      <c r="L1269" t="s">
        <v>40</v>
      </c>
      <c r="M1269" t="s">
        <v>826</v>
      </c>
      <c r="N1269" s="2" t="s">
        <v>3033</v>
      </c>
      <c r="O1269" t="s">
        <v>3034</v>
      </c>
      <c r="P1269" t="s">
        <v>16</v>
      </c>
      <c r="Q1269">
        <v>272.19547719432734</v>
      </c>
      <c r="R1269">
        <f ca="1">YEAR(TODAY())-Table1[[#This Row],[Year Built]]</f>
        <v>21</v>
      </c>
      <c r="S1269" t="str">
        <f>IF(Table1[[#This Row],[Days on Market]] &lt; 30,"Fast",IF(Table1[[#This Row],[Days on Market]]&lt;= 90,"Average", "Slow"))</f>
        <v>Average</v>
      </c>
      <c r="T1269" t="str">
        <f>IF(Table1[[#This Row],[Price2]]&lt;500000,"Affordable",IF(Table1[[#This Row],[Price2]]&lt;1000000,"Mid range","Luxury"))</f>
        <v>Mid range</v>
      </c>
    </row>
    <row r="1270" spans="1:20" x14ac:dyDescent="0.35">
      <c r="A1270" s="3">
        <v>711326</v>
      </c>
      <c r="B1270" s="2" t="s">
        <v>27</v>
      </c>
      <c r="C1270">
        <v>96371</v>
      </c>
      <c r="D1270" s="2" t="s">
        <v>35</v>
      </c>
      <c r="E1270">
        <v>2</v>
      </c>
      <c r="F1270">
        <v>2</v>
      </c>
      <c r="G1270" s="4">
        <f>VALUE(SUBSTITUTE(SUBSTITUTE(Table1[[#This Row],[Price]],"$",""),",",""))</f>
        <v>711326</v>
      </c>
      <c r="H1270" s="1">
        <f>Table1[[#This Row],[Price2]]/Table1[[#This Row],[Area]]</f>
        <v>1068.0570570570571</v>
      </c>
      <c r="I1270">
        <v>666</v>
      </c>
      <c r="J1270">
        <v>1971</v>
      </c>
      <c r="K1270">
        <v>110</v>
      </c>
      <c r="L1270" t="s">
        <v>30</v>
      </c>
      <c r="M1270" t="s">
        <v>1541</v>
      </c>
      <c r="N1270" s="2" t="s">
        <v>3035</v>
      </c>
      <c r="O1270" t="s">
        <v>3036</v>
      </c>
      <c r="P1270" t="s">
        <v>21</v>
      </c>
      <c r="Q1270">
        <v>1068.0570570570571</v>
      </c>
      <c r="R1270">
        <f ca="1">YEAR(TODAY())-Table1[[#This Row],[Year Built]]</f>
        <v>55</v>
      </c>
      <c r="S1270" t="str">
        <f>IF(Table1[[#This Row],[Days on Market]] &lt; 30,"Fast",IF(Table1[[#This Row],[Days on Market]]&lt;= 90,"Average", "Slow"))</f>
        <v>Slow</v>
      </c>
      <c r="T1270" t="str">
        <f>IF(Table1[[#This Row],[Price2]]&lt;500000,"Affordable",IF(Table1[[#This Row],[Price2]]&lt;1000000,"Mid range","Luxury"))</f>
        <v>Mid range</v>
      </c>
    </row>
    <row r="1271" spans="1:20" x14ac:dyDescent="0.35">
      <c r="A1271" s="3">
        <v>712029</v>
      </c>
      <c r="B1271" s="2" t="s">
        <v>27</v>
      </c>
      <c r="C1271">
        <v>89198</v>
      </c>
      <c r="D1271" s="2" t="s">
        <v>29</v>
      </c>
      <c r="E1271">
        <v>4</v>
      </c>
      <c r="F1271">
        <v>3</v>
      </c>
      <c r="G1271" s="4">
        <f>VALUE(SUBSTITUTE(SUBSTITUTE(Table1[[#This Row],[Price]],"$",""),",",""))</f>
        <v>712029</v>
      </c>
      <c r="H1271" s="1">
        <f>Table1[[#This Row],[Price2]]/Table1[[#This Row],[Area]]</f>
        <v>239.98281092012132</v>
      </c>
      <c r="I1271">
        <v>2967</v>
      </c>
      <c r="J1271">
        <v>1985</v>
      </c>
      <c r="K1271">
        <v>32</v>
      </c>
      <c r="L1271" t="s">
        <v>40</v>
      </c>
      <c r="M1271" t="s">
        <v>3026</v>
      </c>
      <c r="N1271" s="2" t="s">
        <v>3027</v>
      </c>
      <c r="O1271" t="s">
        <v>3028</v>
      </c>
      <c r="P1271" t="s">
        <v>16</v>
      </c>
      <c r="Q1271">
        <v>239.98281092012132</v>
      </c>
      <c r="R1271">
        <f ca="1">YEAR(TODAY())-Table1[[#This Row],[Year Built]]</f>
        <v>41</v>
      </c>
      <c r="S1271" t="str">
        <f>IF(Table1[[#This Row],[Days on Market]] &lt; 30,"Fast",IF(Table1[[#This Row],[Days on Market]]&lt;= 90,"Average", "Slow"))</f>
        <v>Average</v>
      </c>
      <c r="T1271" t="str">
        <f>IF(Table1[[#This Row],[Price2]]&lt;500000,"Affordable",IF(Table1[[#This Row],[Price2]]&lt;1000000,"Mid range","Luxury"))</f>
        <v>Mid range</v>
      </c>
    </row>
    <row r="1272" spans="1:20" x14ac:dyDescent="0.35">
      <c r="A1272" s="3">
        <v>712555</v>
      </c>
      <c r="B1272" s="2" t="s">
        <v>22</v>
      </c>
      <c r="C1272">
        <v>76996</v>
      </c>
      <c r="D1272" s="2" t="s">
        <v>18</v>
      </c>
      <c r="E1272">
        <v>1</v>
      </c>
      <c r="F1272">
        <v>3</v>
      </c>
      <c r="G1272" s="4">
        <f>VALUE(SUBSTITUTE(SUBSTITUTE(Table1[[#This Row],[Price]],"$",""),",",""))</f>
        <v>712555</v>
      </c>
      <c r="H1272" s="1">
        <f>Table1[[#This Row],[Price2]]/Table1[[#This Row],[Area]]</f>
        <v>561.95189274447955</v>
      </c>
      <c r="I1272">
        <v>1268</v>
      </c>
      <c r="J1272">
        <v>1984</v>
      </c>
      <c r="K1272">
        <v>68</v>
      </c>
      <c r="L1272" t="s">
        <v>40</v>
      </c>
      <c r="M1272" t="s">
        <v>439</v>
      </c>
      <c r="N1272" s="2" t="s">
        <v>3031</v>
      </c>
      <c r="O1272" t="s">
        <v>3032</v>
      </c>
      <c r="P1272" t="s">
        <v>26</v>
      </c>
      <c r="Q1272">
        <v>561.95189274447955</v>
      </c>
      <c r="R1272">
        <f ca="1">YEAR(TODAY())-Table1[[#This Row],[Year Built]]</f>
        <v>42</v>
      </c>
      <c r="S1272" t="str">
        <f>IF(Table1[[#This Row],[Days on Market]] &lt; 30,"Fast",IF(Table1[[#This Row],[Days on Market]]&lt;= 90,"Average", "Slow"))</f>
        <v>Average</v>
      </c>
      <c r="T1272" t="str">
        <f>IF(Table1[[#This Row],[Price2]]&lt;500000,"Affordable",IF(Table1[[#This Row],[Price2]]&lt;1000000,"Mid range","Luxury"))</f>
        <v>Mid range</v>
      </c>
    </row>
    <row r="1273" spans="1:20" x14ac:dyDescent="0.35">
      <c r="A1273" s="3">
        <v>712624</v>
      </c>
      <c r="B1273" s="2" t="s">
        <v>27</v>
      </c>
      <c r="C1273">
        <v>85304</v>
      </c>
      <c r="D1273" s="2" t="s">
        <v>23</v>
      </c>
      <c r="E1273">
        <v>5</v>
      </c>
      <c r="F1273">
        <v>2</v>
      </c>
      <c r="G1273" s="4">
        <f>VALUE(SUBSTITUTE(SUBSTITUTE(Table1[[#This Row],[Price]],"$",""),",",""))</f>
        <v>712624</v>
      </c>
      <c r="H1273" s="1">
        <f>Table1[[#This Row],[Price2]]/Table1[[#This Row],[Area]]</f>
        <v>877.61576354679801</v>
      </c>
      <c r="I1273">
        <v>812</v>
      </c>
      <c r="J1273">
        <v>1983</v>
      </c>
      <c r="K1273">
        <v>103</v>
      </c>
      <c r="L1273" t="s">
        <v>30</v>
      </c>
      <c r="M1273" t="s">
        <v>1859</v>
      </c>
      <c r="N1273" s="2" t="s">
        <v>3031</v>
      </c>
      <c r="O1273" t="s">
        <v>3032</v>
      </c>
      <c r="P1273" t="s">
        <v>16</v>
      </c>
      <c r="Q1273">
        <v>877.61576354679801</v>
      </c>
      <c r="R1273">
        <f ca="1">YEAR(TODAY())-Table1[[#This Row],[Year Built]]</f>
        <v>43</v>
      </c>
      <c r="S1273" t="str">
        <f>IF(Table1[[#This Row],[Days on Market]] &lt; 30,"Fast",IF(Table1[[#This Row],[Days on Market]]&lt;= 90,"Average", "Slow"))</f>
        <v>Slow</v>
      </c>
      <c r="T1273" t="str">
        <f>IF(Table1[[#This Row],[Price2]]&lt;500000,"Affordable",IF(Table1[[#This Row],[Price2]]&lt;1000000,"Mid range","Luxury"))</f>
        <v>Mid range</v>
      </c>
    </row>
    <row r="1274" spans="1:20" x14ac:dyDescent="0.35">
      <c r="A1274" s="3">
        <v>713451</v>
      </c>
      <c r="B1274" s="2" t="s">
        <v>27</v>
      </c>
      <c r="C1274">
        <v>26644</v>
      </c>
      <c r="D1274" s="2" t="s">
        <v>29</v>
      </c>
      <c r="E1274">
        <v>3</v>
      </c>
      <c r="F1274">
        <v>2</v>
      </c>
      <c r="G1274" s="4">
        <f>VALUE(SUBSTITUTE(SUBSTITUTE(Table1[[#This Row],[Price]],"$",""),",",""))</f>
        <v>713451</v>
      </c>
      <c r="H1274" s="1">
        <f>Table1[[#This Row],[Price2]]/Table1[[#This Row],[Area]]</f>
        <v>200.35130581297389</v>
      </c>
      <c r="I1274">
        <v>3561</v>
      </c>
      <c r="J1274">
        <v>2023</v>
      </c>
      <c r="K1274">
        <v>35</v>
      </c>
      <c r="L1274" t="s">
        <v>30</v>
      </c>
      <c r="M1274" t="s">
        <v>1159</v>
      </c>
      <c r="N1274" s="2" t="s">
        <v>3029</v>
      </c>
      <c r="O1274" t="s">
        <v>3030</v>
      </c>
      <c r="P1274" t="s">
        <v>21</v>
      </c>
      <c r="Q1274">
        <v>200.35130581297389</v>
      </c>
      <c r="R1274">
        <f ca="1">YEAR(TODAY())-Table1[[#This Row],[Year Built]]</f>
        <v>3</v>
      </c>
      <c r="S1274" t="str">
        <f>IF(Table1[[#This Row],[Days on Market]] &lt; 30,"Fast",IF(Table1[[#This Row],[Days on Market]]&lt;= 90,"Average", "Slow"))</f>
        <v>Average</v>
      </c>
      <c r="T1274" t="str">
        <f>IF(Table1[[#This Row],[Price2]]&lt;500000,"Affordable",IF(Table1[[#This Row],[Price2]]&lt;1000000,"Mid range","Luxury"))</f>
        <v>Mid range</v>
      </c>
    </row>
    <row r="1275" spans="1:20" x14ac:dyDescent="0.35">
      <c r="A1275" s="3">
        <v>714070</v>
      </c>
      <c r="B1275" s="2" t="s">
        <v>34</v>
      </c>
      <c r="C1275">
        <v>61959</v>
      </c>
      <c r="D1275" s="2" t="s">
        <v>13</v>
      </c>
      <c r="E1275">
        <v>5</v>
      </c>
      <c r="F1275">
        <v>2</v>
      </c>
      <c r="G1275" s="4">
        <f>VALUE(SUBSTITUTE(SUBSTITUTE(Table1[[#This Row],[Price]],"$",""),",",""))</f>
        <v>714070</v>
      </c>
      <c r="H1275" s="1">
        <f>Table1[[#This Row],[Price2]]/Table1[[#This Row],[Area]]</f>
        <v>1054.7562776957163</v>
      </c>
      <c r="I1275">
        <v>677</v>
      </c>
      <c r="J1275">
        <v>1954</v>
      </c>
      <c r="K1275">
        <v>26</v>
      </c>
      <c r="L1275" t="s">
        <v>14</v>
      </c>
      <c r="M1275" t="s">
        <v>1563</v>
      </c>
      <c r="N1275" s="2" t="s">
        <v>3033</v>
      </c>
      <c r="O1275" t="s">
        <v>3034</v>
      </c>
      <c r="P1275" t="s">
        <v>16</v>
      </c>
      <c r="Q1275">
        <v>1054.7562776957163</v>
      </c>
      <c r="R1275">
        <f ca="1">YEAR(TODAY())-Table1[[#This Row],[Year Built]]</f>
        <v>72</v>
      </c>
      <c r="S1275" t="str">
        <f>IF(Table1[[#This Row],[Days on Market]] &lt; 30,"Fast",IF(Table1[[#This Row],[Days on Market]]&lt;= 90,"Average", "Slow"))</f>
        <v>Fast</v>
      </c>
      <c r="T1275" t="str">
        <f>IF(Table1[[#This Row],[Price2]]&lt;500000,"Affordable",IF(Table1[[#This Row],[Price2]]&lt;1000000,"Mid range","Luxury"))</f>
        <v>Mid range</v>
      </c>
    </row>
    <row r="1276" spans="1:20" x14ac:dyDescent="0.35">
      <c r="A1276" s="3">
        <v>715251</v>
      </c>
      <c r="B1276" s="2" t="s">
        <v>22</v>
      </c>
      <c r="C1276">
        <v>84864</v>
      </c>
      <c r="D1276" s="2" t="s">
        <v>35</v>
      </c>
      <c r="E1276">
        <v>2</v>
      </c>
      <c r="F1276">
        <v>4</v>
      </c>
      <c r="G1276" s="4">
        <f>VALUE(SUBSTITUTE(SUBSTITUTE(Table1[[#This Row],[Price]],"$",""),",",""))</f>
        <v>715251</v>
      </c>
      <c r="H1276" s="1">
        <f>Table1[[#This Row],[Price2]]/Table1[[#This Row],[Area]]</f>
        <v>556.61556420233467</v>
      </c>
      <c r="I1276">
        <v>1285</v>
      </c>
      <c r="J1276">
        <v>1959</v>
      </c>
      <c r="K1276">
        <v>15</v>
      </c>
      <c r="L1276" t="s">
        <v>19</v>
      </c>
      <c r="M1276" t="s">
        <v>1127</v>
      </c>
      <c r="N1276" s="2" t="s">
        <v>3029</v>
      </c>
      <c r="O1276" t="s">
        <v>3030</v>
      </c>
      <c r="P1276" t="s">
        <v>26</v>
      </c>
      <c r="Q1276">
        <v>556.61556420233467</v>
      </c>
      <c r="R1276">
        <f ca="1">YEAR(TODAY())-Table1[[#This Row],[Year Built]]</f>
        <v>67</v>
      </c>
      <c r="S1276" t="str">
        <f>IF(Table1[[#This Row],[Days on Market]] &lt; 30,"Fast",IF(Table1[[#This Row],[Days on Market]]&lt;= 90,"Average", "Slow"))</f>
        <v>Fast</v>
      </c>
      <c r="T1276" t="str">
        <f>IF(Table1[[#This Row],[Price2]]&lt;500000,"Affordable",IF(Table1[[#This Row],[Price2]]&lt;1000000,"Mid range","Luxury"))</f>
        <v>Mid range</v>
      </c>
    </row>
    <row r="1277" spans="1:20" x14ac:dyDescent="0.35">
      <c r="A1277" s="3">
        <v>715976</v>
      </c>
      <c r="B1277" s="2" t="s">
        <v>27</v>
      </c>
      <c r="C1277">
        <v>95216</v>
      </c>
      <c r="D1277" s="2" t="s">
        <v>18</v>
      </c>
      <c r="E1277">
        <v>5</v>
      </c>
      <c r="F1277">
        <v>4</v>
      </c>
      <c r="G1277" s="4">
        <f>VALUE(SUBSTITUTE(SUBSTITUTE(Table1[[#This Row],[Price]],"$",""),",",""))</f>
        <v>715976</v>
      </c>
      <c r="H1277" s="1">
        <f>Table1[[#This Row],[Price2]]/Table1[[#This Row],[Area]]</f>
        <v>179.93867805981404</v>
      </c>
      <c r="I1277">
        <v>3979</v>
      </c>
      <c r="J1277">
        <v>1971</v>
      </c>
      <c r="K1277">
        <v>75</v>
      </c>
      <c r="L1277" t="s">
        <v>52</v>
      </c>
      <c r="M1277" t="s">
        <v>1345</v>
      </c>
      <c r="N1277" s="2" t="s">
        <v>3033</v>
      </c>
      <c r="O1277" t="s">
        <v>3034</v>
      </c>
      <c r="P1277" t="s">
        <v>16</v>
      </c>
      <c r="Q1277">
        <v>179.93867805981404</v>
      </c>
      <c r="R1277">
        <f ca="1">YEAR(TODAY())-Table1[[#This Row],[Year Built]]</f>
        <v>55</v>
      </c>
      <c r="S1277" t="str">
        <f>IF(Table1[[#This Row],[Days on Market]] &lt; 30,"Fast",IF(Table1[[#This Row],[Days on Market]]&lt;= 90,"Average", "Slow"))</f>
        <v>Average</v>
      </c>
      <c r="T1277" t="str">
        <f>IF(Table1[[#This Row],[Price2]]&lt;500000,"Affordable",IF(Table1[[#This Row],[Price2]]&lt;1000000,"Mid range","Luxury"))</f>
        <v>Mid range</v>
      </c>
    </row>
    <row r="1278" spans="1:20" x14ac:dyDescent="0.35">
      <c r="A1278" s="3">
        <v>716140</v>
      </c>
      <c r="B1278" s="2" t="s">
        <v>17</v>
      </c>
      <c r="C1278">
        <v>49310</v>
      </c>
      <c r="D1278" s="2" t="s">
        <v>18</v>
      </c>
      <c r="E1278">
        <v>3</v>
      </c>
      <c r="F1278">
        <v>2</v>
      </c>
      <c r="G1278" s="4">
        <f>VALUE(SUBSTITUTE(SUBSTITUTE(Table1[[#This Row],[Price]],"$",""),",",""))</f>
        <v>716140</v>
      </c>
      <c r="H1278" s="1">
        <f>Table1[[#This Row],[Price2]]/Table1[[#This Row],[Area]]</f>
        <v>181.76142131979697</v>
      </c>
      <c r="I1278">
        <v>3940</v>
      </c>
      <c r="J1278">
        <v>1950</v>
      </c>
      <c r="K1278">
        <v>58</v>
      </c>
      <c r="L1278" t="s">
        <v>30</v>
      </c>
      <c r="M1278" t="s">
        <v>2568</v>
      </c>
      <c r="N1278" s="2" t="s">
        <v>3027</v>
      </c>
      <c r="O1278" t="s">
        <v>3028</v>
      </c>
      <c r="P1278" t="s">
        <v>16</v>
      </c>
      <c r="Q1278">
        <v>181.76142131979697</v>
      </c>
      <c r="R1278">
        <f ca="1">YEAR(TODAY())-Table1[[#This Row],[Year Built]]</f>
        <v>76</v>
      </c>
      <c r="S1278" t="str">
        <f>IF(Table1[[#This Row],[Days on Market]] &lt; 30,"Fast",IF(Table1[[#This Row],[Days on Market]]&lt;= 90,"Average", "Slow"))</f>
        <v>Average</v>
      </c>
      <c r="T1278" t="str">
        <f>IF(Table1[[#This Row],[Price2]]&lt;500000,"Affordable",IF(Table1[[#This Row],[Price2]]&lt;1000000,"Mid range","Luxury"))</f>
        <v>Mid range</v>
      </c>
    </row>
    <row r="1279" spans="1:20" x14ac:dyDescent="0.35">
      <c r="A1279" s="3">
        <v>716358</v>
      </c>
      <c r="B1279" s="2" t="s">
        <v>22</v>
      </c>
      <c r="C1279">
        <v>90175</v>
      </c>
      <c r="D1279" s="2" t="s">
        <v>29</v>
      </c>
      <c r="E1279">
        <v>3</v>
      </c>
      <c r="F1279">
        <v>4</v>
      </c>
      <c r="G1279" s="4">
        <f>VALUE(SUBSTITUTE(SUBSTITUTE(Table1[[#This Row],[Price]],"$",""),",",""))</f>
        <v>716358</v>
      </c>
      <c r="H1279" s="1">
        <f>Table1[[#This Row],[Price2]]/Table1[[#This Row],[Area]]</f>
        <v>180.30656934306569</v>
      </c>
      <c r="I1279">
        <v>3973</v>
      </c>
      <c r="J1279">
        <v>2018</v>
      </c>
      <c r="K1279">
        <v>101</v>
      </c>
      <c r="L1279" t="s">
        <v>30</v>
      </c>
      <c r="M1279" t="s">
        <v>1856</v>
      </c>
      <c r="N1279" s="2" t="s">
        <v>3033</v>
      </c>
      <c r="O1279" t="s">
        <v>3034</v>
      </c>
      <c r="P1279" t="s">
        <v>16</v>
      </c>
      <c r="Q1279">
        <v>180.30656934306569</v>
      </c>
      <c r="R1279">
        <f ca="1">YEAR(TODAY())-Table1[[#This Row],[Year Built]]</f>
        <v>8</v>
      </c>
      <c r="S1279" t="str">
        <f>IF(Table1[[#This Row],[Days on Market]] &lt; 30,"Fast",IF(Table1[[#This Row],[Days on Market]]&lt;= 90,"Average", "Slow"))</f>
        <v>Slow</v>
      </c>
      <c r="T1279" t="str">
        <f>IF(Table1[[#This Row],[Price2]]&lt;500000,"Affordable",IF(Table1[[#This Row],[Price2]]&lt;1000000,"Mid range","Luxury"))</f>
        <v>Mid range</v>
      </c>
    </row>
    <row r="1280" spans="1:20" x14ac:dyDescent="0.35">
      <c r="A1280" s="3">
        <v>717467</v>
      </c>
      <c r="B1280" s="2" t="s">
        <v>34</v>
      </c>
      <c r="C1280">
        <v>47109</v>
      </c>
      <c r="D1280" s="2" t="s">
        <v>35</v>
      </c>
      <c r="E1280">
        <v>3</v>
      </c>
      <c r="F1280">
        <v>3</v>
      </c>
      <c r="G1280" s="4">
        <f>VALUE(SUBSTITUTE(SUBSTITUTE(Table1[[#This Row],[Price]],"$",""),",",""))</f>
        <v>717467</v>
      </c>
      <c r="H1280" s="1">
        <f>Table1[[#This Row],[Price2]]/Table1[[#This Row],[Area]]</f>
        <v>208.32375145180023</v>
      </c>
      <c r="I1280">
        <v>3444</v>
      </c>
      <c r="J1280">
        <v>1969</v>
      </c>
      <c r="K1280">
        <v>120</v>
      </c>
      <c r="L1280" t="s">
        <v>19</v>
      </c>
      <c r="M1280" t="s">
        <v>1861</v>
      </c>
      <c r="N1280" s="2" t="s">
        <v>3031</v>
      </c>
      <c r="O1280" t="s">
        <v>3032</v>
      </c>
      <c r="P1280" t="s">
        <v>16</v>
      </c>
      <c r="Q1280">
        <v>208.32375145180023</v>
      </c>
      <c r="R1280">
        <f ca="1">YEAR(TODAY())-Table1[[#This Row],[Year Built]]</f>
        <v>57</v>
      </c>
      <c r="S1280" t="str">
        <f>IF(Table1[[#This Row],[Days on Market]] &lt; 30,"Fast",IF(Table1[[#This Row],[Days on Market]]&lt;= 90,"Average", "Slow"))</f>
        <v>Slow</v>
      </c>
      <c r="T1280" t="str">
        <f>IF(Table1[[#This Row],[Price2]]&lt;500000,"Affordable",IF(Table1[[#This Row],[Price2]]&lt;1000000,"Mid range","Luxury"))</f>
        <v>Mid range</v>
      </c>
    </row>
    <row r="1281" spans="1:20" x14ac:dyDescent="0.35">
      <c r="A1281" s="3">
        <v>717498</v>
      </c>
      <c r="B1281" s="2" t="s">
        <v>34</v>
      </c>
      <c r="C1281">
        <v>11432</v>
      </c>
      <c r="D1281" s="2" t="s">
        <v>23</v>
      </c>
      <c r="E1281">
        <v>1</v>
      </c>
      <c r="F1281">
        <v>2</v>
      </c>
      <c r="G1281" s="4">
        <f>VALUE(SUBSTITUTE(SUBSTITUTE(Table1[[#This Row],[Price]],"$",""),",",""))</f>
        <v>717498</v>
      </c>
      <c r="H1281" s="1">
        <f>Table1[[#This Row],[Price2]]/Table1[[#This Row],[Area]]</f>
        <v>212.34033737792245</v>
      </c>
      <c r="I1281">
        <v>3379</v>
      </c>
      <c r="J1281">
        <v>2013</v>
      </c>
      <c r="K1281">
        <v>70</v>
      </c>
      <c r="L1281" t="s">
        <v>40</v>
      </c>
      <c r="M1281" t="s">
        <v>792</v>
      </c>
      <c r="N1281" s="2" t="s">
        <v>3029</v>
      </c>
      <c r="O1281" t="s">
        <v>3030</v>
      </c>
      <c r="P1281" t="s">
        <v>16</v>
      </c>
      <c r="Q1281">
        <v>212.34033737792245</v>
      </c>
      <c r="R1281">
        <f ca="1">YEAR(TODAY())-Table1[[#This Row],[Year Built]]</f>
        <v>13</v>
      </c>
      <c r="S1281" t="str">
        <f>IF(Table1[[#This Row],[Days on Market]] &lt; 30,"Fast",IF(Table1[[#This Row],[Days on Market]]&lt;= 90,"Average", "Slow"))</f>
        <v>Average</v>
      </c>
      <c r="T1281" t="str">
        <f>IF(Table1[[#This Row],[Price2]]&lt;500000,"Affordable",IF(Table1[[#This Row],[Price2]]&lt;1000000,"Mid range","Luxury"))</f>
        <v>Mid range</v>
      </c>
    </row>
    <row r="1282" spans="1:20" x14ac:dyDescent="0.35">
      <c r="A1282" s="3">
        <v>717552</v>
      </c>
      <c r="B1282" s="2" t="s">
        <v>12</v>
      </c>
      <c r="C1282">
        <v>16266</v>
      </c>
      <c r="D1282" s="2" t="s">
        <v>13</v>
      </c>
      <c r="E1282">
        <v>2</v>
      </c>
      <c r="F1282">
        <v>4</v>
      </c>
      <c r="G1282" s="4">
        <f>VALUE(SUBSTITUTE(SUBSTITUTE(Table1[[#This Row],[Price]],"$",""),",",""))</f>
        <v>717552</v>
      </c>
      <c r="H1282" s="1">
        <f>Table1[[#This Row],[Price2]]/Table1[[#This Row],[Area]]</f>
        <v>321.91655450874833</v>
      </c>
      <c r="I1282">
        <v>2229</v>
      </c>
      <c r="J1282">
        <v>1978</v>
      </c>
      <c r="K1282">
        <v>93</v>
      </c>
      <c r="L1282" t="s">
        <v>14</v>
      </c>
      <c r="M1282" t="s">
        <v>2883</v>
      </c>
      <c r="N1282" s="2" t="s">
        <v>3035</v>
      </c>
      <c r="O1282" t="s">
        <v>3036</v>
      </c>
      <c r="P1282" t="s">
        <v>26</v>
      </c>
      <c r="Q1282">
        <v>321.91655450874833</v>
      </c>
      <c r="R1282">
        <f ca="1">YEAR(TODAY())-Table1[[#This Row],[Year Built]]</f>
        <v>48</v>
      </c>
      <c r="S1282" t="str">
        <f>IF(Table1[[#This Row],[Days on Market]] &lt; 30,"Fast",IF(Table1[[#This Row],[Days on Market]]&lt;= 90,"Average", "Slow"))</f>
        <v>Slow</v>
      </c>
      <c r="T1282" t="str">
        <f>IF(Table1[[#This Row],[Price2]]&lt;500000,"Affordable",IF(Table1[[#This Row],[Price2]]&lt;1000000,"Mid range","Luxury"))</f>
        <v>Mid range</v>
      </c>
    </row>
    <row r="1283" spans="1:20" x14ac:dyDescent="0.35">
      <c r="A1283" s="3">
        <v>719382</v>
      </c>
      <c r="B1283" s="2" t="s">
        <v>17</v>
      </c>
      <c r="C1283">
        <v>45418</v>
      </c>
      <c r="D1283" s="2" t="s">
        <v>35</v>
      </c>
      <c r="E1283">
        <v>4</v>
      </c>
      <c r="F1283">
        <v>1</v>
      </c>
      <c r="G1283" s="4">
        <f>VALUE(SUBSTITUTE(SUBSTITUTE(Table1[[#This Row],[Price]],"$",""),",",""))</f>
        <v>719382</v>
      </c>
      <c r="H1283" s="1">
        <f>Table1[[#This Row],[Price2]]/Table1[[#This Row],[Area]]</f>
        <v>196.87520525451561</v>
      </c>
      <c r="I1283">
        <v>3654</v>
      </c>
      <c r="J1283">
        <v>2013</v>
      </c>
      <c r="K1283">
        <v>3</v>
      </c>
      <c r="L1283" t="s">
        <v>19</v>
      </c>
      <c r="M1283" t="s">
        <v>490</v>
      </c>
      <c r="N1283" s="2" t="s">
        <v>3033</v>
      </c>
      <c r="O1283" t="s">
        <v>3034</v>
      </c>
      <c r="P1283" t="s">
        <v>26</v>
      </c>
      <c r="Q1283">
        <v>196.87520525451561</v>
      </c>
      <c r="R1283">
        <f ca="1">YEAR(TODAY())-Table1[[#This Row],[Year Built]]</f>
        <v>13</v>
      </c>
      <c r="S1283" t="str">
        <f>IF(Table1[[#This Row],[Days on Market]] &lt; 30,"Fast",IF(Table1[[#This Row],[Days on Market]]&lt;= 90,"Average", "Slow"))</f>
        <v>Fast</v>
      </c>
      <c r="T1283" t="str">
        <f>IF(Table1[[#This Row],[Price2]]&lt;500000,"Affordable",IF(Table1[[#This Row],[Price2]]&lt;1000000,"Mid range","Luxury"))</f>
        <v>Mid range</v>
      </c>
    </row>
    <row r="1284" spans="1:20" x14ac:dyDescent="0.35">
      <c r="A1284" s="3">
        <v>721273</v>
      </c>
      <c r="B1284" s="2" t="s">
        <v>22</v>
      </c>
      <c r="C1284">
        <v>56352</v>
      </c>
      <c r="D1284" s="2" t="s">
        <v>23</v>
      </c>
      <c r="E1284">
        <v>3</v>
      </c>
      <c r="F1284">
        <v>4</v>
      </c>
      <c r="G1284" s="4">
        <f>VALUE(SUBSTITUTE(SUBSTITUTE(Table1[[#This Row],[Price]],"$",""),",",""))</f>
        <v>721273</v>
      </c>
      <c r="H1284" s="1">
        <f>Table1[[#This Row],[Price2]]/Table1[[#This Row],[Area]]</f>
        <v>404.07450980392156</v>
      </c>
      <c r="I1284">
        <v>1785</v>
      </c>
      <c r="J1284">
        <v>1990</v>
      </c>
      <c r="K1284">
        <v>103</v>
      </c>
      <c r="L1284" t="s">
        <v>52</v>
      </c>
      <c r="M1284" t="s">
        <v>1227</v>
      </c>
      <c r="N1284" s="2" t="s">
        <v>3035</v>
      </c>
      <c r="O1284" t="s">
        <v>3036</v>
      </c>
      <c r="P1284" t="s">
        <v>26</v>
      </c>
      <c r="Q1284">
        <v>404.07450980392156</v>
      </c>
      <c r="R1284">
        <f ca="1">YEAR(TODAY())-Table1[[#This Row],[Year Built]]</f>
        <v>36</v>
      </c>
      <c r="S1284" t="str">
        <f>IF(Table1[[#This Row],[Days on Market]] &lt; 30,"Fast",IF(Table1[[#This Row],[Days on Market]]&lt;= 90,"Average", "Slow"))</f>
        <v>Slow</v>
      </c>
      <c r="T1284" t="str">
        <f>IF(Table1[[#This Row],[Price2]]&lt;500000,"Affordable",IF(Table1[[#This Row],[Price2]]&lt;1000000,"Mid range","Luxury"))</f>
        <v>Mid range</v>
      </c>
    </row>
    <row r="1285" spans="1:20" x14ac:dyDescent="0.35">
      <c r="A1285" s="3">
        <v>721359</v>
      </c>
      <c r="B1285" s="2" t="s">
        <v>17</v>
      </c>
      <c r="C1285">
        <v>31513</v>
      </c>
      <c r="D1285" s="2" t="s">
        <v>35</v>
      </c>
      <c r="E1285">
        <v>1</v>
      </c>
      <c r="F1285">
        <v>2</v>
      </c>
      <c r="G1285" s="4">
        <f>VALUE(SUBSTITUTE(SUBSTITUTE(Table1[[#This Row],[Price]],"$",""),",",""))</f>
        <v>721359</v>
      </c>
      <c r="H1285" s="1">
        <f>Table1[[#This Row],[Price2]]/Table1[[#This Row],[Area]]</f>
        <v>732.34416243654823</v>
      </c>
      <c r="I1285">
        <v>985</v>
      </c>
      <c r="J1285">
        <v>2019</v>
      </c>
      <c r="K1285">
        <v>11</v>
      </c>
      <c r="L1285" t="s">
        <v>52</v>
      </c>
      <c r="M1285" t="s">
        <v>2491</v>
      </c>
      <c r="N1285" s="2" t="s">
        <v>3027</v>
      </c>
      <c r="O1285" t="s">
        <v>3028</v>
      </c>
      <c r="P1285" t="s">
        <v>26</v>
      </c>
      <c r="Q1285">
        <v>732.34416243654823</v>
      </c>
      <c r="R1285">
        <f ca="1">YEAR(TODAY())-Table1[[#This Row],[Year Built]]</f>
        <v>7</v>
      </c>
      <c r="S1285" t="str">
        <f>IF(Table1[[#This Row],[Days on Market]] &lt; 30,"Fast",IF(Table1[[#This Row],[Days on Market]]&lt;= 90,"Average", "Slow"))</f>
        <v>Fast</v>
      </c>
      <c r="T1285" t="str">
        <f>IF(Table1[[#This Row],[Price2]]&lt;500000,"Affordable",IF(Table1[[#This Row],[Price2]]&lt;1000000,"Mid range","Luxury"))</f>
        <v>Mid range</v>
      </c>
    </row>
    <row r="1286" spans="1:20" x14ac:dyDescent="0.35">
      <c r="A1286" s="3">
        <v>722724</v>
      </c>
      <c r="B1286" s="2" t="s">
        <v>22</v>
      </c>
      <c r="C1286">
        <v>49352</v>
      </c>
      <c r="D1286" s="2" t="s">
        <v>23</v>
      </c>
      <c r="E1286">
        <v>1</v>
      </c>
      <c r="F1286">
        <v>2</v>
      </c>
      <c r="G1286" s="4">
        <f>VALUE(SUBSTITUTE(SUBSTITUTE(Table1[[#This Row],[Price]],"$",""),",",""))</f>
        <v>722724</v>
      </c>
      <c r="H1286" s="1">
        <f>Table1[[#This Row],[Price2]]/Table1[[#This Row],[Area]]</f>
        <v>461.21506062539885</v>
      </c>
      <c r="I1286">
        <v>1567</v>
      </c>
      <c r="J1286">
        <v>1975</v>
      </c>
      <c r="K1286">
        <v>44</v>
      </c>
      <c r="L1286" t="s">
        <v>19</v>
      </c>
      <c r="M1286" t="s">
        <v>2427</v>
      </c>
      <c r="N1286" s="2" t="s">
        <v>3031</v>
      </c>
      <c r="O1286" t="s">
        <v>3032</v>
      </c>
      <c r="P1286" t="s">
        <v>16</v>
      </c>
      <c r="Q1286">
        <v>461.21506062539885</v>
      </c>
      <c r="R1286">
        <f ca="1">YEAR(TODAY())-Table1[[#This Row],[Year Built]]</f>
        <v>51</v>
      </c>
      <c r="S1286" t="str">
        <f>IF(Table1[[#This Row],[Days on Market]] &lt; 30,"Fast",IF(Table1[[#This Row],[Days on Market]]&lt;= 90,"Average", "Slow"))</f>
        <v>Average</v>
      </c>
      <c r="T1286" t="str">
        <f>IF(Table1[[#This Row],[Price2]]&lt;500000,"Affordable",IF(Table1[[#This Row],[Price2]]&lt;1000000,"Mid range","Luxury"))</f>
        <v>Mid range</v>
      </c>
    </row>
    <row r="1287" spans="1:20" x14ac:dyDescent="0.35">
      <c r="A1287" s="3">
        <v>722912</v>
      </c>
      <c r="B1287" s="2" t="s">
        <v>12</v>
      </c>
      <c r="C1287">
        <v>66605</v>
      </c>
      <c r="D1287" s="2" t="s">
        <v>35</v>
      </c>
      <c r="E1287">
        <v>5</v>
      </c>
      <c r="F1287">
        <v>1</v>
      </c>
      <c r="G1287" s="4">
        <f>VALUE(SUBSTITUTE(SUBSTITUTE(Table1[[#This Row],[Price]],"$",""),",",""))</f>
        <v>722912</v>
      </c>
      <c r="H1287" s="1">
        <f>Table1[[#This Row],[Price2]]/Table1[[#This Row],[Area]]</f>
        <v>212.49617871840093</v>
      </c>
      <c r="I1287">
        <v>3402</v>
      </c>
      <c r="J1287">
        <v>1988</v>
      </c>
      <c r="K1287">
        <v>72</v>
      </c>
      <c r="L1287" t="s">
        <v>40</v>
      </c>
      <c r="M1287" t="s">
        <v>618</v>
      </c>
      <c r="N1287" s="2" t="s">
        <v>3033</v>
      </c>
      <c r="O1287" t="s">
        <v>3034</v>
      </c>
      <c r="P1287" t="s">
        <v>26</v>
      </c>
      <c r="Q1287">
        <v>212.49617871840093</v>
      </c>
      <c r="R1287">
        <f ca="1">YEAR(TODAY())-Table1[[#This Row],[Year Built]]</f>
        <v>38</v>
      </c>
      <c r="S1287" t="str">
        <f>IF(Table1[[#This Row],[Days on Market]] &lt; 30,"Fast",IF(Table1[[#This Row],[Days on Market]]&lt;= 90,"Average", "Slow"))</f>
        <v>Average</v>
      </c>
      <c r="T1287" t="str">
        <f>IF(Table1[[#This Row],[Price2]]&lt;500000,"Affordable",IF(Table1[[#This Row],[Price2]]&lt;1000000,"Mid range","Luxury"))</f>
        <v>Mid range</v>
      </c>
    </row>
    <row r="1288" spans="1:20" x14ac:dyDescent="0.35">
      <c r="A1288" s="3">
        <v>723160</v>
      </c>
      <c r="B1288" s="2" t="s">
        <v>34</v>
      </c>
      <c r="C1288">
        <v>68864</v>
      </c>
      <c r="D1288" s="2" t="s">
        <v>29</v>
      </c>
      <c r="E1288">
        <v>2</v>
      </c>
      <c r="F1288">
        <v>2</v>
      </c>
      <c r="G1288" s="4">
        <f>VALUE(SUBSTITUTE(SUBSTITUTE(Table1[[#This Row],[Price]],"$",""),",",""))</f>
        <v>723160</v>
      </c>
      <c r="H1288" s="1">
        <f>Table1[[#This Row],[Price2]]/Table1[[#This Row],[Area]]</f>
        <v>832.17491369390109</v>
      </c>
      <c r="I1288">
        <v>869</v>
      </c>
      <c r="J1288">
        <v>2000</v>
      </c>
      <c r="K1288">
        <v>75</v>
      </c>
      <c r="L1288" t="s">
        <v>14</v>
      </c>
      <c r="M1288" t="s">
        <v>2632</v>
      </c>
      <c r="N1288" s="2" t="s">
        <v>3035</v>
      </c>
      <c r="O1288" t="s">
        <v>3036</v>
      </c>
      <c r="P1288" t="s">
        <v>26</v>
      </c>
      <c r="Q1288">
        <v>832.17491369390109</v>
      </c>
      <c r="R1288">
        <f ca="1">YEAR(TODAY())-Table1[[#This Row],[Year Built]]</f>
        <v>26</v>
      </c>
      <c r="S1288" t="str">
        <f>IF(Table1[[#This Row],[Days on Market]] &lt; 30,"Fast",IF(Table1[[#This Row],[Days on Market]]&lt;= 90,"Average", "Slow"))</f>
        <v>Average</v>
      </c>
      <c r="T1288" t="str">
        <f>IF(Table1[[#This Row],[Price2]]&lt;500000,"Affordable",IF(Table1[[#This Row],[Price2]]&lt;1000000,"Mid range","Luxury"))</f>
        <v>Mid range</v>
      </c>
    </row>
    <row r="1289" spans="1:20" x14ac:dyDescent="0.35">
      <c r="A1289" s="3">
        <v>723852</v>
      </c>
      <c r="B1289" s="2" t="s">
        <v>34</v>
      </c>
      <c r="C1289">
        <v>71130</v>
      </c>
      <c r="D1289" s="2" t="s">
        <v>13</v>
      </c>
      <c r="E1289">
        <v>6</v>
      </c>
      <c r="F1289">
        <v>2</v>
      </c>
      <c r="G1289" s="4">
        <f>VALUE(SUBSTITUTE(SUBSTITUTE(Table1[[#This Row],[Price]],"$",""),",",""))</f>
        <v>723852</v>
      </c>
      <c r="H1289" s="1">
        <f>Table1[[#This Row],[Price2]]/Table1[[#This Row],[Area]]</f>
        <v>294.36844245628305</v>
      </c>
      <c r="I1289">
        <v>2459</v>
      </c>
      <c r="J1289">
        <v>1994</v>
      </c>
      <c r="K1289">
        <v>117</v>
      </c>
      <c r="L1289" t="s">
        <v>40</v>
      </c>
      <c r="M1289" t="s">
        <v>853</v>
      </c>
      <c r="N1289" s="2" t="s">
        <v>3035</v>
      </c>
      <c r="O1289" t="s">
        <v>3036</v>
      </c>
      <c r="P1289" t="s">
        <v>16</v>
      </c>
      <c r="Q1289">
        <v>294.36844245628305</v>
      </c>
      <c r="R1289">
        <f ca="1">YEAR(TODAY())-Table1[[#This Row],[Year Built]]</f>
        <v>32</v>
      </c>
      <c r="S1289" t="str">
        <f>IF(Table1[[#This Row],[Days on Market]] &lt; 30,"Fast",IF(Table1[[#This Row],[Days on Market]]&lt;= 90,"Average", "Slow"))</f>
        <v>Slow</v>
      </c>
      <c r="T1289" t="str">
        <f>IF(Table1[[#This Row],[Price2]]&lt;500000,"Affordable",IF(Table1[[#This Row],[Price2]]&lt;1000000,"Mid range","Luxury"))</f>
        <v>Mid range</v>
      </c>
    </row>
    <row r="1290" spans="1:20" x14ac:dyDescent="0.35">
      <c r="A1290" s="3">
        <v>723940</v>
      </c>
      <c r="B1290" s="2" t="s">
        <v>17</v>
      </c>
      <c r="C1290">
        <v>34006</v>
      </c>
      <c r="D1290" s="2" t="s">
        <v>29</v>
      </c>
      <c r="E1290">
        <v>2</v>
      </c>
      <c r="F1290">
        <v>2</v>
      </c>
      <c r="G1290" s="4">
        <f>VALUE(SUBSTITUTE(SUBSTITUTE(Table1[[#This Row],[Price]],"$",""),",",""))</f>
        <v>723940</v>
      </c>
      <c r="H1290" s="1">
        <f>Table1[[#This Row],[Price2]]/Table1[[#This Row],[Area]]</f>
        <v>510.89625970359913</v>
      </c>
      <c r="I1290">
        <v>1417</v>
      </c>
      <c r="J1290">
        <v>1967</v>
      </c>
      <c r="K1290">
        <v>16</v>
      </c>
      <c r="L1290" t="s">
        <v>14</v>
      </c>
      <c r="M1290" t="s">
        <v>1515</v>
      </c>
      <c r="N1290" s="2" t="s">
        <v>3027</v>
      </c>
      <c r="O1290" t="s">
        <v>3028</v>
      </c>
      <c r="P1290" t="s">
        <v>21</v>
      </c>
      <c r="Q1290">
        <v>510.89625970359913</v>
      </c>
      <c r="R1290">
        <f ca="1">YEAR(TODAY())-Table1[[#This Row],[Year Built]]</f>
        <v>59</v>
      </c>
      <c r="S1290" t="str">
        <f>IF(Table1[[#This Row],[Days on Market]] &lt; 30,"Fast",IF(Table1[[#This Row],[Days on Market]]&lt;= 90,"Average", "Slow"))</f>
        <v>Fast</v>
      </c>
      <c r="T1290" t="str">
        <f>IF(Table1[[#This Row],[Price2]]&lt;500000,"Affordable",IF(Table1[[#This Row],[Price2]]&lt;1000000,"Mid range","Luxury"))</f>
        <v>Mid range</v>
      </c>
    </row>
    <row r="1291" spans="1:20" x14ac:dyDescent="0.35">
      <c r="A1291" s="3">
        <v>724110</v>
      </c>
      <c r="B1291" s="2" t="s">
        <v>12</v>
      </c>
      <c r="C1291">
        <v>36444</v>
      </c>
      <c r="D1291" s="2" t="s">
        <v>29</v>
      </c>
      <c r="E1291">
        <v>6</v>
      </c>
      <c r="F1291">
        <v>2</v>
      </c>
      <c r="G1291" s="4">
        <f>VALUE(SUBSTITUTE(SUBSTITUTE(Table1[[#This Row],[Price]],"$",""),",",""))</f>
        <v>724110</v>
      </c>
      <c r="H1291" s="1">
        <f>Table1[[#This Row],[Price2]]/Table1[[#This Row],[Area]]</f>
        <v>1162.2953451043338</v>
      </c>
      <c r="I1291">
        <v>623</v>
      </c>
      <c r="J1291">
        <v>1998</v>
      </c>
      <c r="K1291">
        <v>50</v>
      </c>
      <c r="L1291" t="s">
        <v>19</v>
      </c>
      <c r="M1291" t="s">
        <v>968</v>
      </c>
      <c r="N1291" s="2" t="s">
        <v>3031</v>
      </c>
      <c r="O1291" t="s">
        <v>3032</v>
      </c>
      <c r="P1291" t="s">
        <v>21</v>
      </c>
      <c r="Q1291">
        <v>1162.2953451043338</v>
      </c>
      <c r="R1291">
        <f ca="1">YEAR(TODAY())-Table1[[#This Row],[Year Built]]</f>
        <v>28</v>
      </c>
      <c r="S1291" t="str">
        <f>IF(Table1[[#This Row],[Days on Market]] &lt; 30,"Fast",IF(Table1[[#This Row],[Days on Market]]&lt;= 90,"Average", "Slow"))</f>
        <v>Average</v>
      </c>
      <c r="T1291" t="str">
        <f>IF(Table1[[#This Row],[Price2]]&lt;500000,"Affordable",IF(Table1[[#This Row],[Price2]]&lt;1000000,"Mid range","Luxury"))</f>
        <v>Mid range</v>
      </c>
    </row>
    <row r="1292" spans="1:20" x14ac:dyDescent="0.35">
      <c r="A1292" s="3">
        <v>725022</v>
      </c>
      <c r="B1292" s="2" t="s">
        <v>17</v>
      </c>
      <c r="C1292">
        <v>69172</v>
      </c>
      <c r="D1292" s="2" t="s">
        <v>18</v>
      </c>
      <c r="E1292">
        <v>3</v>
      </c>
      <c r="F1292">
        <v>4</v>
      </c>
      <c r="G1292" s="4">
        <f>VALUE(SUBSTITUTE(SUBSTITUTE(Table1[[#This Row],[Price]],"$",""),",",""))</f>
        <v>725022</v>
      </c>
      <c r="H1292" s="1">
        <f>Table1[[#This Row],[Price2]]/Table1[[#This Row],[Area]]</f>
        <v>414.06167904054826</v>
      </c>
      <c r="I1292">
        <v>1751</v>
      </c>
      <c r="J1292">
        <v>2020</v>
      </c>
      <c r="K1292">
        <v>39</v>
      </c>
      <c r="L1292" t="s">
        <v>14</v>
      </c>
      <c r="M1292" t="s">
        <v>2295</v>
      </c>
      <c r="N1292" s="2" t="s">
        <v>3027</v>
      </c>
      <c r="O1292" t="s">
        <v>3028</v>
      </c>
      <c r="P1292" t="s">
        <v>21</v>
      </c>
      <c r="Q1292">
        <v>414.06167904054826</v>
      </c>
      <c r="R1292">
        <f ca="1">YEAR(TODAY())-Table1[[#This Row],[Year Built]]</f>
        <v>6</v>
      </c>
      <c r="S1292" t="str">
        <f>IF(Table1[[#This Row],[Days on Market]] &lt; 30,"Fast",IF(Table1[[#This Row],[Days on Market]]&lt;= 90,"Average", "Slow"))</f>
        <v>Average</v>
      </c>
      <c r="T1292" t="str">
        <f>IF(Table1[[#This Row],[Price2]]&lt;500000,"Affordable",IF(Table1[[#This Row],[Price2]]&lt;1000000,"Mid range","Luxury"))</f>
        <v>Mid range</v>
      </c>
    </row>
    <row r="1293" spans="1:20" x14ac:dyDescent="0.35">
      <c r="A1293" s="3">
        <v>725098</v>
      </c>
      <c r="B1293" s="2" t="s">
        <v>27</v>
      </c>
      <c r="C1293">
        <v>92240</v>
      </c>
      <c r="D1293" s="2" t="s">
        <v>35</v>
      </c>
      <c r="E1293">
        <v>3</v>
      </c>
      <c r="F1293">
        <v>1</v>
      </c>
      <c r="G1293" s="4">
        <f>VALUE(SUBSTITUTE(SUBSTITUTE(Table1[[#This Row],[Price]],"$",""),",",""))</f>
        <v>725098</v>
      </c>
      <c r="H1293" s="1">
        <f>Table1[[#This Row],[Price2]]/Table1[[#This Row],[Area]]</f>
        <v>297.17131147540982</v>
      </c>
      <c r="I1293">
        <v>2440</v>
      </c>
      <c r="J1293">
        <v>1976</v>
      </c>
      <c r="K1293">
        <v>14</v>
      </c>
      <c r="L1293" t="s">
        <v>19</v>
      </c>
      <c r="M1293" t="s">
        <v>1598</v>
      </c>
      <c r="N1293" s="2" t="s">
        <v>3033</v>
      </c>
      <c r="O1293" t="s">
        <v>3034</v>
      </c>
      <c r="P1293" t="s">
        <v>21</v>
      </c>
      <c r="Q1293">
        <v>297.17131147540982</v>
      </c>
      <c r="R1293">
        <f ca="1">YEAR(TODAY())-Table1[[#This Row],[Year Built]]</f>
        <v>50</v>
      </c>
      <c r="S1293" t="str">
        <f>IF(Table1[[#This Row],[Days on Market]] &lt; 30,"Fast",IF(Table1[[#This Row],[Days on Market]]&lt;= 90,"Average", "Slow"))</f>
        <v>Fast</v>
      </c>
      <c r="T1293" t="str">
        <f>IF(Table1[[#This Row],[Price2]]&lt;500000,"Affordable",IF(Table1[[#This Row],[Price2]]&lt;1000000,"Mid range","Luxury"))</f>
        <v>Mid range</v>
      </c>
    </row>
    <row r="1294" spans="1:20" x14ac:dyDescent="0.35">
      <c r="A1294" s="3">
        <v>725164</v>
      </c>
      <c r="B1294" s="2" t="s">
        <v>22</v>
      </c>
      <c r="C1294">
        <v>67076</v>
      </c>
      <c r="D1294" s="2" t="s">
        <v>29</v>
      </c>
      <c r="E1294">
        <v>6</v>
      </c>
      <c r="F1294">
        <v>3</v>
      </c>
      <c r="G1294" s="4">
        <f>VALUE(SUBSTITUTE(SUBSTITUTE(Table1[[#This Row],[Price]],"$",""),",",""))</f>
        <v>725164</v>
      </c>
      <c r="H1294" s="1">
        <f>Table1[[#This Row],[Price2]]/Table1[[#This Row],[Area]]</f>
        <v>607.34003350083754</v>
      </c>
      <c r="I1294">
        <v>1194</v>
      </c>
      <c r="J1294">
        <v>2002</v>
      </c>
      <c r="K1294">
        <v>80</v>
      </c>
      <c r="L1294" t="s">
        <v>14</v>
      </c>
      <c r="M1294" t="s">
        <v>2747</v>
      </c>
      <c r="N1294" s="2" t="s">
        <v>3035</v>
      </c>
      <c r="O1294" t="s">
        <v>3036</v>
      </c>
      <c r="P1294" t="s">
        <v>26</v>
      </c>
      <c r="Q1294">
        <v>607.34003350083754</v>
      </c>
      <c r="R1294">
        <f ca="1">YEAR(TODAY())-Table1[[#This Row],[Year Built]]</f>
        <v>24</v>
      </c>
      <c r="S1294" t="str">
        <f>IF(Table1[[#This Row],[Days on Market]] &lt; 30,"Fast",IF(Table1[[#This Row],[Days on Market]]&lt;= 90,"Average", "Slow"))</f>
        <v>Average</v>
      </c>
      <c r="T1294" t="str">
        <f>IF(Table1[[#This Row],[Price2]]&lt;500000,"Affordable",IF(Table1[[#This Row],[Price2]]&lt;1000000,"Mid range","Luxury"))</f>
        <v>Mid range</v>
      </c>
    </row>
    <row r="1295" spans="1:20" x14ac:dyDescent="0.35">
      <c r="A1295" s="3">
        <v>725711</v>
      </c>
      <c r="B1295" s="2" t="s">
        <v>34</v>
      </c>
      <c r="C1295">
        <v>11339</v>
      </c>
      <c r="D1295" s="2" t="s">
        <v>13</v>
      </c>
      <c r="E1295">
        <v>6</v>
      </c>
      <c r="F1295">
        <v>1</v>
      </c>
      <c r="G1295" s="4">
        <f>VALUE(SUBSTITUTE(SUBSTITUTE(Table1[[#This Row],[Price]],"$",""),",",""))</f>
        <v>725711</v>
      </c>
      <c r="H1295" s="1">
        <f>Table1[[#This Row],[Price2]]/Table1[[#This Row],[Area]]</f>
        <v>903.74968866749691</v>
      </c>
      <c r="I1295">
        <v>803</v>
      </c>
      <c r="J1295">
        <v>2010</v>
      </c>
      <c r="K1295">
        <v>27</v>
      </c>
      <c r="L1295" t="s">
        <v>19</v>
      </c>
      <c r="M1295" t="s">
        <v>174</v>
      </c>
      <c r="N1295" s="2" t="s">
        <v>3029</v>
      </c>
      <c r="O1295" t="s">
        <v>3030</v>
      </c>
      <c r="P1295" t="s">
        <v>16</v>
      </c>
      <c r="Q1295">
        <v>903.74968866749691</v>
      </c>
      <c r="R1295">
        <f ca="1">YEAR(TODAY())-Table1[[#This Row],[Year Built]]</f>
        <v>16</v>
      </c>
      <c r="S1295" t="str">
        <f>IF(Table1[[#This Row],[Days on Market]] &lt; 30,"Fast",IF(Table1[[#This Row],[Days on Market]]&lt;= 90,"Average", "Slow"))</f>
        <v>Fast</v>
      </c>
      <c r="T1295" t="str">
        <f>IF(Table1[[#This Row],[Price2]]&lt;500000,"Affordable",IF(Table1[[#This Row],[Price2]]&lt;1000000,"Mid range","Luxury"))</f>
        <v>Mid range</v>
      </c>
    </row>
    <row r="1296" spans="1:20" x14ac:dyDescent="0.35">
      <c r="A1296" s="3">
        <v>727472</v>
      </c>
      <c r="B1296" s="2" t="s">
        <v>27</v>
      </c>
      <c r="C1296">
        <v>47813</v>
      </c>
      <c r="D1296" s="2" t="s">
        <v>13</v>
      </c>
      <c r="E1296">
        <v>3</v>
      </c>
      <c r="F1296">
        <v>4</v>
      </c>
      <c r="G1296" s="4">
        <f>VALUE(SUBSTITUTE(SUBSTITUTE(Table1[[#This Row],[Price]],"$",""),",",""))</f>
        <v>727472</v>
      </c>
      <c r="H1296" s="1">
        <f>Table1[[#This Row],[Price2]]/Table1[[#This Row],[Area]]</f>
        <v>208.32531500572739</v>
      </c>
      <c r="I1296">
        <v>3492</v>
      </c>
      <c r="J1296">
        <v>2011</v>
      </c>
      <c r="K1296">
        <v>93</v>
      </c>
      <c r="L1296" t="s">
        <v>14</v>
      </c>
      <c r="M1296" t="s">
        <v>1200</v>
      </c>
      <c r="N1296" s="2" t="s">
        <v>3031</v>
      </c>
      <c r="O1296" t="s">
        <v>3032</v>
      </c>
      <c r="P1296" t="s">
        <v>26</v>
      </c>
      <c r="Q1296">
        <v>208.32531500572739</v>
      </c>
      <c r="R1296">
        <f ca="1">YEAR(TODAY())-Table1[[#This Row],[Year Built]]</f>
        <v>15</v>
      </c>
      <c r="S1296" t="str">
        <f>IF(Table1[[#This Row],[Days on Market]] &lt; 30,"Fast",IF(Table1[[#This Row],[Days on Market]]&lt;= 90,"Average", "Slow"))</f>
        <v>Slow</v>
      </c>
      <c r="T1296" t="str">
        <f>IF(Table1[[#This Row],[Price2]]&lt;500000,"Affordable",IF(Table1[[#This Row],[Price2]]&lt;1000000,"Mid range","Luxury"))</f>
        <v>Mid range</v>
      </c>
    </row>
    <row r="1297" spans="1:20" x14ac:dyDescent="0.35">
      <c r="A1297" s="3">
        <v>727584</v>
      </c>
      <c r="B1297" s="2" t="s">
        <v>27</v>
      </c>
      <c r="C1297">
        <v>68343</v>
      </c>
      <c r="D1297" s="2" t="s">
        <v>18</v>
      </c>
      <c r="E1297">
        <v>5</v>
      </c>
      <c r="F1297">
        <v>1</v>
      </c>
      <c r="G1297" s="4">
        <f>VALUE(SUBSTITUTE(SUBSTITUTE(Table1[[#This Row],[Price]],"$",""),",",""))</f>
        <v>727584</v>
      </c>
      <c r="H1297" s="1">
        <f>Table1[[#This Row],[Price2]]/Table1[[#This Row],[Area]]</f>
        <v>1173.5225806451613</v>
      </c>
      <c r="I1297">
        <v>620</v>
      </c>
      <c r="J1297">
        <v>2008</v>
      </c>
      <c r="K1297">
        <v>23</v>
      </c>
      <c r="L1297" t="s">
        <v>14</v>
      </c>
      <c r="M1297" t="s">
        <v>330</v>
      </c>
      <c r="N1297" s="2" t="s">
        <v>3027</v>
      </c>
      <c r="O1297" t="s">
        <v>3028</v>
      </c>
      <c r="P1297" t="s">
        <v>21</v>
      </c>
      <c r="Q1297">
        <v>1173.5225806451613</v>
      </c>
      <c r="R1297">
        <f ca="1">YEAR(TODAY())-Table1[[#This Row],[Year Built]]</f>
        <v>18</v>
      </c>
      <c r="S1297" t="str">
        <f>IF(Table1[[#This Row],[Days on Market]] &lt; 30,"Fast",IF(Table1[[#This Row],[Days on Market]]&lt;= 90,"Average", "Slow"))</f>
        <v>Fast</v>
      </c>
      <c r="T1297" t="str">
        <f>IF(Table1[[#This Row],[Price2]]&lt;500000,"Affordable",IF(Table1[[#This Row],[Price2]]&lt;1000000,"Mid range","Luxury"))</f>
        <v>Mid range</v>
      </c>
    </row>
    <row r="1298" spans="1:20" x14ac:dyDescent="0.35">
      <c r="A1298" s="3">
        <v>727665</v>
      </c>
      <c r="B1298" s="2" t="s">
        <v>17</v>
      </c>
      <c r="C1298">
        <v>57242</v>
      </c>
      <c r="D1298" s="2" t="s">
        <v>13</v>
      </c>
      <c r="E1298">
        <v>6</v>
      </c>
      <c r="F1298">
        <v>4</v>
      </c>
      <c r="G1298" s="4">
        <f>VALUE(SUBSTITUTE(SUBSTITUTE(Table1[[#This Row],[Price]],"$",""),",",""))</f>
        <v>727665</v>
      </c>
      <c r="H1298" s="1">
        <f>Table1[[#This Row],[Price2]]/Table1[[#This Row],[Area]]</f>
        <v>218.5836587563833</v>
      </c>
      <c r="I1298">
        <v>3329</v>
      </c>
      <c r="J1298">
        <v>1971</v>
      </c>
      <c r="K1298">
        <v>72</v>
      </c>
      <c r="L1298" t="s">
        <v>40</v>
      </c>
      <c r="M1298" t="s">
        <v>1284</v>
      </c>
      <c r="N1298" s="2" t="s">
        <v>3031</v>
      </c>
      <c r="O1298" t="s">
        <v>3032</v>
      </c>
      <c r="P1298" t="s">
        <v>16</v>
      </c>
      <c r="Q1298">
        <v>218.5836587563833</v>
      </c>
      <c r="R1298">
        <f ca="1">YEAR(TODAY())-Table1[[#This Row],[Year Built]]</f>
        <v>55</v>
      </c>
      <c r="S1298" t="str">
        <f>IF(Table1[[#This Row],[Days on Market]] &lt; 30,"Fast",IF(Table1[[#This Row],[Days on Market]]&lt;= 90,"Average", "Slow"))</f>
        <v>Average</v>
      </c>
      <c r="T1298" t="str">
        <f>IF(Table1[[#This Row],[Price2]]&lt;500000,"Affordable",IF(Table1[[#This Row],[Price2]]&lt;1000000,"Mid range","Luxury"))</f>
        <v>Mid range</v>
      </c>
    </row>
    <row r="1299" spans="1:20" x14ac:dyDescent="0.35">
      <c r="A1299" s="3">
        <v>727860</v>
      </c>
      <c r="B1299" s="2" t="s">
        <v>22</v>
      </c>
      <c r="C1299">
        <v>84496</v>
      </c>
      <c r="D1299" s="2" t="s">
        <v>18</v>
      </c>
      <c r="E1299">
        <v>1</v>
      </c>
      <c r="F1299">
        <v>3</v>
      </c>
      <c r="G1299" s="4">
        <f>VALUE(SUBSTITUTE(SUBSTITUTE(Table1[[#This Row],[Price]],"$",""),",",""))</f>
        <v>727860</v>
      </c>
      <c r="H1299" s="1">
        <f>Table1[[#This Row],[Price2]]/Table1[[#This Row],[Area]]</f>
        <v>267.20264317180619</v>
      </c>
      <c r="I1299">
        <v>2724</v>
      </c>
      <c r="J1299">
        <v>1968</v>
      </c>
      <c r="K1299">
        <v>49</v>
      </c>
      <c r="L1299" t="s">
        <v>30</v>
      </c>
      <c r="M1299" t="s">
        <v>2394</v>
      </c>
      <c r="N1299" s="2" t="s">
        <v>3031</v>
      </c>
      <c r="O1299" t="s">
        <v>3032</v>
      </c>
      <c r="P1299" t="s">
        <v>21</v>
      </c>
      <c r="Q1299">
        <v>267.20264317180619</v>
      </c>
      <c r="R1299">
        <f ca="1">YEAR(TODAY())-Table1[[#This Row],[Year Built]]</f>
        <v>58</v>
      </c>
      <c r="S1299" t="str">
        <f>IF(Table1[[#This Row],[Days on Market]] &lt; 30,"Fast",IF(Table1[[#This Row],[Days on Market]]&lt;= 90,"Average", "Slow"))</f>
        <v>Average</v>
      </c>
      <c r="T1299" t="str">
        <f>IF(Table1[[#This Row],[Price2]]&lt;500000,"Affordable",IF(Table1[[#This Row],[Price2]]&lt;1000000,"Mid range","Luxury"))</f>
        <v>Mid range</v>
      </c>
    </row>
    <row r="1300" spans="1:20" x14ac:dyDescent="0.35">
      <c r="A1300" s="3">
        <v>728249</v>
      </c>
      <c r="B1300" s="2" t="s">
        <v>22</v>
      </c>
      <c r="C1300">
        <v>87520</v>
      </c>
      <c r="D1300" s="2" t="s">
        <v>18</v>
      </c>
      <c r="E1300">
        <v>5</v>
      </c>
      <c r="F1300">
        <v>4</v>
      </c>
      <c r="G1300" s="4">
        <f>VALUE(SUBSTITUTE(SUBSTITUTE(Table1[[#This Row],[Price]],"$",""),",",""))</f>
        <v>728249</v>
      </c>
      <c r="H1300" s="1">
        <f>Table1[[#This Row],[Price2]]/Table1[[#This Row],[Area]]</f>
        <v>214.31695114773396</v>
      </c>
      <c r="I1300">
        <v>3398</v>
      </c>
      <c r="J1300">
        <v>1956</v>
      </c>
      <c r="K1300">
        <v>78</v>
      </c>
      <c r="L1300" t="s">
        <v>52</v>
      </c>
      <c r="M1300" t="s">
        <v>624</v>
      </c>
      <c r="N1300" s="2" t="s">
        <v>3035</v>
      </c>
      <c r="O1300" t="s">
        <v>3036</v>
      </c>
      <c r="P1300" t="s">
        <v>21</v>
      </c>
      <c r="Q1300">
        <v>214.31695114773396</v>
      </c>
      <c r="R1300">
        <f ca="1">YEAR(TODAY())-Table1[[#This Row],[Year Built]]</f>
        <v>70</v>
      </c>
      <c r="S1300" t="str">
        <f>IF(Table1[[#This Row],[Days on Market]] &lt; 30,"Fast",IF(Table1[[#This Row],[Days on Market]]&lt;= 90,"Average", "Slow"))</f>
        <v>Average</v>
      </c>
      <c r="T1300" t="str">
        <f>IF(Table1[[#This Row],[Price2]]&lt;500000,"Affordable",IF(Table1[[#This Row],[Price2]]&lt;1000000,"Mid range","Luxury"))</f>
        <v>Mid range</v>
      </c>
    </row>
    <row r="1301" spans="1:20" x14ac:dyDescent="0.35">
      <c r="A1301" s="3">
        <v>728521</v>
      </c>
      <c r="B1301" s="2" t="s">
        <v>12</v>
      </c>
      <c r="C1301">
        <v>91990</v>
      </c>
      <c r="D1301" s="2" t="s">
        <v>18</v>
      </c>
      <c r="E1301">
        <v>1</v>
      </c>
      <c r="F1301">
        <v>1</v>
      </c>
      <c r="G1301" s="4">
        <f>VALUE(SUBSTITUTE(SUBSTITUTE(Table1[[#This Row],[Price]],"$",""),",",""))</f>
        <v>728521</v>
      </c>
      <c r="H1301" s="1">
        <f>Table1[[#This Row],[Price2]]/Table1[[#This Row],[Area]]</f>
        <v>183.9699494949495</v>
      </c>
      <c r="I1301">
        <v>3960</v>
      </c>
      <c r="J1301">
        <v>1967</v>
      </c>
      <c r="K1301">
        <v>48</v>
      </c>
      <c r="L1301" t="s">
        <v>40</v>
      </c>
      <c r="M1301" t="s">
        <v>1953</v>
      </c>
      <c r="N1301" s="2" t="s">
        <v>3027</v>
      </c>
      <c r="O1301" t="s">
        <v>3028</v>
      </c>
      <c r="P1301" t="s">
        <v>16</v>
      </c>
      <c r="Q1301">
        <v>183.9699494949495</v>
      </c>
      <c r="R1301">
        <f ca="1">YEAR(TODAY())-Table1[[#This Row],[Year Built]]</f>
        <v>59</v>
      </c>
      <c r="S1301" t="str">
        <f>IF(Table1[[#This Row],[Days on Market]] &lt; 30,"Fast",IF(Table1[[#This Row],[Days on Market]]&lt;= 90,"Average", "Slow"))</f>
        <v>Average</v>
      </c>
      <c r="T1301" t="str">
        <f>IF(Table1[[#This Row],[Price2]]&lt;500000,"Affordable",IF(Table1[[#This Row],[Price2]]&lt;1000000,"Mid range","Luxury"))</f>
        <v>Mid range</v>
      </c>
    </row>
    <row r="1302" spans="1:20" x14ac:dyDescent="0.35">
      <c r="A1302" s="3">
        <v>728684</v>
      </c>
      <c r="B1302" s="2" t="s">
        <v>22</v>
      </c>
      <c r="C1302">
        <v>41566</v>
      </c>
      <c r="D1302" s="2" t="s">
        <v>29</v>
      </c>
      <c r="E1302">
        <v>4</v>
      </c>
      <c r="F1302">
        <v>1</v>
      </c>
      <c r="G1302" s="4">
        <f>VALUE(SUBSTITUTE(SUBSTITUTE(Table1[[#This Row],[Price]],"$",""),",",""))</f>
        <v>728684</v>
      </c>
      <c r="H1302" s="1">
        <f>Table1[[#This Row],[Price2]]/Table1[[#This Row],[Area]]</f>
        <v>239.85648452929559</v>
      </c>
      <c r="I1302">
        <v>3038</v>
      </c>
      <c r="J1302">
        <v>2001</v>
      </c>
      <c r="K1302">
        <v>60</v>
      </c>
      <c r="L1302" t="s">
        <v>30</v>
      </c>
      <c r="M1302" t="s">
        <v>1533</v>
      </c>
      <c r="N1302" s="2" t="s">
        <v>3035</v>
      </c>
      <c r="O1302" t="s">
        <v>3036</v>
      </c>
      <c r="P1302" t="s">
        <v>16</v>
      </c>
      <c r="Q1302">
        <v>239.85648452929559</v>
      </c>
      <c r="R1302">
        <f ca="1">YEAR(TODAY())-Table1[[#This Row],[Year Built]]</f>
        <v>25</v>
      </c>
      <c r="S1302" t="str">
        <f>IF(Table1[[#This Row],[Days on Market]] &lt; 30,"Fast",IF(Table1[[#This Row],[Days on Market]]&lt;= 90,"Average", "Slow"))</f>
        <v>Average</v>
      </c>
      <c r="T1302" t="str">
        <f>IF(Table1[[#This Row],[Price2]]&lt;500000,"Affordable",IF(Table1[[#This Row],[Price2]]&lt;1000000,"Mid range","Luxury"))</f>
        <v>Mid range</v>
      </c>
    </row>
    <row r="1303" spans="1:20" x14ac:dyDescent="0.35">
      <c r="A1303" s="3">
        <v>728894</v>
      </c>
      <c r="B1303" s="2" t="s">
        <v>27</v>
      </c>
      <c r="C1303">
        <v>12662</v>
      </c>
      <c r="D1303" s="2" t="s">
        <v>29</v>
      </c>
      <c r="E1303">
        <v>5</v>
      </c>
      <c r="F1303">
        <v>1</v>
      </c>
      <c r="G1303" s="4">
        <f>VALUE(SUBSTITUTE(SUBSTITUTE(Table1[[#This Row],[Price]],"$",""),",",""))</f>
        <v>728894</v>
      </c>
      <c r="H1303" s="1">
        <f>Table1[[#This Row],[Price2]]/Table1[[#This Row],[Area]]</f>
        <v>571.68156862745093</v>
      </c>
      <c r="I1303">
        <v>1275</v>
      </c>
      <c r="J1303">
        <v>1993</v>
      </c>
      <c r="K1303">
        <v>81</v>
      </c>
      <c r="L1303" t="s">
        <v>30</v>
      </c>
      <c r="M1303" t="s">
        <v>2384</v>
      </c>
      <c r="N1303" s="2" t="s">
        <v>3033</v>
      </c>
      <c r="O1303" t="s">
        <v>3034</v>
      </c>
      <c r="P1303" t="s">
        <v>26</v>
      </c>
      <c r="Q1303">
        <v>571.68156862745093</v>
      </c>
      <c r="R1303">
        <f ca="1">YEAR(TODAY())-Table1[[#This Row],[Year Built]]</f>
        <v>33</v>
      </c>
      <c r="S1303" t="str">
        <f>IF(Table1[[#This Row],[Days on Market]] &lt; 30,"Fast",IF(Table1[[#This Row],[Days on Market]]&lt;= 90,"Average", "Slow"))</f>
        <v>Average</v>
      </c>
      <c r="T1303" t="str">
        <f>IF(Table1[[#This Row],[Price2]]&lt;500000,"Affordable",IF(Table1[[#This Row],[Price2]]&lt;1000000,"Mid range","Luxury"))</f>
        <v>Mid range</v>
      </c>
    </row>
    <row r="1304" spans="1:20" x14ac:dyDescent="0.35">
      <c r="A1304" s="3">
        <v>729055</v>
      </c>
      <c r="B1304" s="2" t="s">
        <v>12</v>
      </c>
      <c r="C1304">
        <v>52635</v>
      </c>
      <c r="D1304" s="2" t="s">
        <v>35</v>
      </c>
      <c r="E1304">
        <v>1</v>
      </c>
      <c r="F1304">
        <v>4</v>
      </c>
      <c r="G1304" s="4">
        <f>VALUE(SUBSTITUTE(SUBSTITUTE(Table1[[#This Row],[Price]],"$",""),",",""))</f>
        <v>729055</v>
      </c>
      <c r="H1304" s="1">
        <f>Table1[[#This Row],[Price2]]/Table1[[#This Row],[Area]]</f>
        <v>205.42547196393349</v>
      </c>
      <c r="I1304">
        <v>3549</v>
      </c>
      <c r="J1304">
        <v>1973</v>
      </c>
      <c r="K1304">
        <v>43</v>
      </c>
      <c r="L1304" t="s">
        <v>52</v>
      </c>
      <c r="M1304" t="s">
        <v>494</v>
      </c>
      <c r="N1304" s="2" t="s">
        <v>3027</v>
      </c>
      <c r="O1304" t="s">
        <v>3028</v>
      </c>
      <c r="P1304" t="s">
        <v>21</v>
      </c>
      <c r="Q1304">
        <v>205.42547196393349</v>
      </c>
      <c r="R1304">
        <f ca="1">YEAR(TODAY())-Table1[[#This Row],[Year Built]]</f>
        <v>53</v>
      </c>
      <c r="S1304" t="str">
        <f>IF(Table1[[#This Row],[Days on Market]] &lt; 30,"Fast",IF(Table1[[#This Row],[Days on Market]]&lt;= 90,"Average", "Slow"))</f>
        <v>Average</v>
      </c>
      <c r="T1304" t="str">
        <f>IF(Table1[[#This Row],[Price2]]&lt;500000,"Affordable",IF(Table1[[#This Row],[Price2]]&lt;1000000,"Mid range","Luxury"))</f>
        <v>Mid range</v>
      </c>
    </row>
    <row r="1305" spans="1:20" x14ac:dyDescent="0.35">
      <c r="A1305" s="3">
        <v>729432</v>
      </c>
      <c r="B1305" s="2" t="s">
        <v>12</v>
      </c>
      <c r="C1305">
        <v>97974</v>
      </c>
      <c r="D1305" s="2" t="s">
        <v>23</v>
      </c>
      <c r="E1305">
        <v>4</v>
      </c>
      <c r="F1305">
        <v>4</v>
      </c>
      <c r="G1305" s="4">
        <f>VALUE(SUBSTITUTE(SUBSTITUTE(Table1[[#This Row],[Price]],"$",""),",",""))</f>
        <v>729432</v>
      </c>
      <c r="H1305" s="1">
        <f>Table1[[#This Row],[Price2]]/Table1[[#This Row],[Area]]</f>
        <v>268.56848306332842</v>
      </c>
      <c r="I1305">
        <v>2716</v>
      </c>
      <c r="J1305">
        <v>2008</v>
      </c>
      <c r="K1305">
        <v>65</v>
      </c>
      <c r="L1305" t="s">
        <v>19</v>
      </c>
      <c r="M1305" t="s">
        <v>2507</v>
      </c>
      <c r="N1305" s="2" t="s">
        <v>3035</v>
      </c>
      <c r="O1305" t="s">
        <v>3036</v>
      </c>
      <c r="P1305" t="s">
        <v>21</v>
      </c>
      <c r="Q1305">
        <v>268.56848306332842</v>
      </c>
      <c r="R1305">
        <f ca="1">YEAR(TODAY())-Table1[[#This Row],[Year Built]]</f>
        <v>18</v>
      </c>
      <c r="S1305" t="str">
        <f>IF(Table1[[#This Row],[Days on Market]] &lt; 30,"Fast",IF(Table1[[#This Row],[Days on Market]]&lt;= 90,"Average", "Slow"))</f>
        <v>Average</v>
      </c>
      <c r="T1305" t="str">
        <f>IF(Table1[[#This Row],[Price2]]&lt;500000,"Affordable",IF(Table1[[#This Row],[Price2]]&lt;1000000,"Mid range","Luxury"))</f>
        <v>Mid range</v>
      </c>
    </row>
    <row r="1306" spans="1:20" x14ac:dyDescent="0.35">
      <c r="A1306" s="3">
        <v>729920</v>
      </c>
      <c r="B1306" s="2" t="s">
        <v>27</v>
      </c>
      <c r="C1306">
        <v>20151</v>
      </c>
      <c r="D1306" s="2" t="s">
        <v>35</v>
      </c>
      <c r="E1306">
        <v>6</v>
      </c>
      <c r="F1306">
        <v>3</v>
      </c>
      <c r="G1306" s="4">
        <f>VALUE(SUBSTITUTE(SUBSTITUTE(Table1[[#This Row],[Price]],"$",""),",",""))</f>
        <v>729920</v>
      </c>
      <c r="H1306" s="1">
        <f>Table1[[#This Row],[Price2]]/Table1[[#This Row],[Area]]</f>
        <v>334.67216872994038</v>
      </c>
      <c r="I1306">
        <v>2181</v>
      </c>
      <c r="J1306">
        <v>2015</v>
      </c>
      <c r="K1306">
        <v>3</v>
      </c>
      <c r="L1306" t="s">
        <v>40</v>
      </c>
      <c r="M1306" t="s">
        <v>2198</v>
      </c>
      <c r="N1306" s="2" t="s">
        <v>3031</v>
      </c>
      <c r="O1306" t="s">
        <v>3032</v>
      </c>
      <c r="P1306" t="s">
        <v>16</v>
      </c>
      <c r="Q1306">
        <v>334.67216872994038</v>
      </c>
      <c r="R1306">
        <f ca="1">YEAR(TODAY())-Table1[[#This Row],[Year Built]]</f>
        <v>11</v>
      </c>
      <c r="S1306" t="str">
        <f>IF(Table1[[#This Row],[Days on Market]] &lt; 30,"Fast",IF(Table1[[#This Row],[Days on Market]]&lt;= 90,"Average", "Slow"))</f>
        <v>Fast</v>
      </c>
      <c r="T1306" t="str">
        <f>IF(Table1[[#This Row],[Price2]]&lt;500000,"Affordable",IF(Table1[[#This Row],[Price2]]&lt;1000000,"Mid range","Luxury"))</f>
        <v>Mid range</v>
      </c>
    </row>
    <row r="1307" spans="1:20" x14ac:dyDescent="0.35">
      <c r="A1307" s="3">
        <v>730201</v>
      </c>
      <c r="B1307" s="2" t="s">
        <v>17</v>
      </c>
      <c r="C1307">
        <v>98952</v>
      </c>
      <c r="D1307" s="2" t="s">
        <v>23</v>
      </c>
      <c r="E1307">
        <v>4</v>
      </c>
      <c r="F1307">
        <v>1</v>
      </c>
      <c r="G1307" s="4">
        <f>VALUE(SUBSTITUTE(SUBSTITUTE(Table1[[#This Row],[Price]],"$",""),",",""))</f>
        <v>730201</v>
      </c>
      <c r="H1307" s="1">
        <f>Table1[[#This Row],[Price2]]/Table1[[#This Row],[Area]]</f>
        <v>484.53948241539484</v>
      </c>
      <c r="I1307">
        <v>1507</v>
      </c>
      <c r="J1307">
        <v>1964</v>
      </c>
      <c r="K1307">
        <v>24</v>
      </c>
      <c r="L1307" t="s">
        <v>52</v>
      </c>
      <c r="M1307" t="s">
        <v>1146</v>
      </c>
      <c r="N1307" s="2" t="s">
        <v>3029</v>
      </c>
      <c r="O1307" t="s">
        <v>3030</v>
      </c>
      <c r="P1307" t="s">
        <v>26</v>
      </c>
      <c r="Q1307">
        <v>484.53948241539484</v>
      </c>
      <c r="R1307">
        <f ca="1">YEAR(TODAY())-Table1[[#This Row],[Year Built]]</f>
        <v>62</v>
      </c>
      <c r="S1307" t="str">
        <f>IF(Table1[[#This Row],[Days on Market]] &lt; 30,"Fast",IF(Table1[[#This Row],[Days on Market]]&lt;= 90,"Average", "Slow"))</f>
        <v>Fast</v>
      </c>
      <c r="T1307" t="str">
        <f>IF(Table1[[#This Row],[Price2]]&lt;500000,"Affordable",IF(Table1[[#This Row],[Price2]]&lt;1000000,"Mid range","Luxury"))</f>
        <v>Mid range</v>
      </c>
    </row>
    <row r="1308" spans="1:20" x14ac:dyDescent="0.35">
      <c r="A1308" s="3">
        <v>730231</v>
      </c>
      <c r="B1308" s="2" t="s">
        <v>17</v>
      </c>
      <c r="C1308">
        <v>22001</v>
      </c>
      <c r="D1308" s="2" t="s">
        <v>13</v>
      </c>
      <c r="E1308">
        <v>3</v>
      </c>
      <c r="F1308">
        <v>4</v>
      </c>
      <c r="G1308" s="4">
        <f>VALUE(SUBSTITUTE(SUBSTITUTE(Table1[[#This Row],[Price]],"$",""),",",""))</f>
        <v>730231</v>
      </c>
      <c r="H1308" s="1">
        <f>Table1[[#This Row],[Price2]]/Table1[[#This Row],[Area]]</f>
        <v>190.06533055700157</v>
      </c>
      <c r="I1308">
        <v>3842</v>
      </c>
      <c r="J1308">
        <v>1982</v>
      </c>
      <c r="K1308">
        <v>55</v>
      </c>
      <c r="L1308" t="s">
        <v>19</v>
      </c>
      <c r="M1308" t="s">
        <v>2136</v>
      </c>
      <c r="N1308" s="2" t="s">
        <v>3029</v>
      </c>
      <c r="O1308" t="s">
        <v>3030</v>
      </c>
      <c r="P1308" t="s">
        <v>16</v>
      </c>
      <c r="Q1308">
        <v>190.06533055700157</v>
      </c>
      <c r="R1308">
        <f ca="1">YEAR(TODAY())-Table1[[#This Row],[Year Built]]</f>
        <v>44</v>
      </c>
      <c r="S1308" t="str">
        <f>IF(Table1[[#This Row],[Days on Market]] &lt; 30,"Fast",IF(Table1[[#This Row],[Days on Market]]&lt;= 90,"Average", "Slow"))</f>
        <v>Average</v>
      </c>
      <c r="T1308" t="str">
        <f>IF(Table1[[#This Row],[Price2]]&lt;500000,"Affordable",IF(Table1[[#This Row],[Price2]]&lt;1000000,"Mid range","Luxury"))</f>
        <v>Mid range</v>
      </c>
    </row>
    <row r="1309" spans="1:20" x14ac:dyDescent="0.35">
      <c r="A1309" s="3">
        <v>730647</v>
      </c>
      <c r="B1309" s="2" t="s">
        <v>34</v>
      </c>
      <c r="C1309">
        <v>89531</v>
      </c>
      <c r="D1309" s="2" t="s">
        <v>18</v>
      </c>
      <c r="E1309">
        <v>5</v>
      </c>
      <c r="F1309">
        <v>1</v>
      </c>
      <c r="G1309" s="4">
        <f>VALUE(SUBSTITUTE(SUBSTITUTE(Table1[[#This Row],[Price]],"$",""),",",""))</f>
        <v>730647</v>
      </c>
      <c r="H1309" s="1">
        <f>Table1[[#This Row],[Price2]]/Table1[[#This Row],[Area]]</f>
        <v>352.11903614457833</v>
      </c>
      <c r="I1309">
        <v>2075</v>
      </c>
      <c r="J1309">
        <v>2013</v>
      </c>
      <c r="K1309">
        <v>55</v>
      </c>
      <c r="L1309" t="s">
        <v>19</v>
      </c>
      <c r="M1309" t="s">
        <v>283</v>
      </c>
      <c r="N1309" s="2" t="s">
        <v>3027</v>
      </c>
      <c r="O1309" t="s">
        <v>3028</v>
      </c>
      <c r="P1309" t="s">
        <v>16</v>
      </c>
      <c r="Q1309">
        <v>352.11903614457833</v>
      </c>
      <c r="R1309">
        <f ca="1">YEAR(TODAY())-Table1[[#This Row],[Year Built]]</f>
        <v>13</v>
      </c>
      <c r="S1309" t="str">
        <f>IF(Table1[[#This Row],[Days on Market]] &lt; 30,"Fast",IF(Table1[[#This Row],[Days on Market]]&lt;= 90,"Average", "Slow"))</f>
        <v>Average</v>
      </c>
      <c r="T1309" t="str">
        <f>IF(Table1[[#This Row],[Price2]]&lt;500000,"Affordable",IF(Table1[[#This Row],[Price2]]&lt;1000000,"Mid range","Luxury"))</f>
        <v>Mid range</v>
      </c>
    </row>
    <row r="1310" spans="1:20" x14ac:dyDescent="0.35">
      <c r="A1310" s="3">
        <v>730723</v>
      </c>
      <c r="B1310" s="2" t="s">
        <v>12</v>
      </c>
      <c r="C1310">
        <v>50413</v>
      </c>
      <c r="D1310" s="2" t="s">
        <v>13</v>
      </c>
      <c r="E1310">
        <v>2</v>
      </c>
      <c r="F1310">
        <v>3</v>
      </c>
      <c r="G1310" s="4">
        <f>VALUE(SUBSTITUTE(SUBSTITUTE(Table1[[#This Row],[Price]],"$",""),",",""))</f>
        <v>730723</v>
      </c>
      <c r="H1310" s="1">
        <f>Table1[[#This Row],[Price2]]/Table1[[#This Row],[Area]]</f>
        <v>398.2141689373297</v>
      </c>
      <c r="I1310">
        <v>1835</v>
      </c>
      <c r="J1310">
        <v>1970</v>
      </c>
      <c r="K1310">
        <v>71</v>
      </c>
      <c r="L1310" t="s">
        <v>30</v>
      </c>
      <c r="M1310" t="s">
        <v>2847</v>
      </c>
      <c r="N1310" s="2" t="s">
        <v>3029</v>
      </c>
      <c r="O1310" t="s">
        <v>3030</v>
      </c>
      <c r="P1310" t="s">
        <v>16</v>
      </c>
      <c r="Q1310">
        <v>398.2141689373297</v>
      </c>
      <c r="R1310">
        <f ca="1">YEAR(TODAY())-Table1[[#This Row],[Year Built]]</f>
        <v>56</v>
      </c>
      <c r="S1310" t="str">
        <f>IF(Table1[[#This Row],[Days on Market]] &lt; 30,"Fast",IF(Table1[[#This Row],[Days on Market]]&lt;= 90,"Average", "Slow"))</f>
        <v>Average</v>
      </c>
      <c r="T1310" t="str">
        <f>IF(Table1[[#This Row],[Price2]]&lt;500000,"Affordable",IF(Table1[[#This Row],[Price2]]&lt;1000000,"Mid range","Luxury"))</f>
        <v>Mid range</v>
      </c>
    </row>
    <row r="1311" spans="1:20" x14ac:dyDescent="0.35">
      <c r="A1311" s="3">
        <v>731180</v>
      </c>
      <c r="B1311" s="2" t="s">
        <v>22</v>
      </c>
      <c r="C1311">
        <v>55091</v>
      </c>
      <c r="D1311" s="2" t="s">
        <v>18</v>
      </c>
      <c r="E1311">
        <v>3</v>
      </c>
      <c r="F1311">
        <v>3</v>
      </c>
      <c r="G1311" s="4">
        <f>VALUE(SUBSTITUTE(SUBSTITUTE(Table1[[#This Row],[Price]],"$",""),",",""))</f>
        <v>731180</v>
      </c>
      <c r="H1311" s="1">
        <f>Table1[[#This Row],[Price2]]/Table1[[#This Row],[Area]]</f>
        <v>218.98173105720275</v>
      </c>
      <c r="I1311">
        <v>3339</v>
      </c>
      <c r="J1311">
        <v>1953</v>
      </c>
      <c r="K1311">
        <v>1</v>
      </c>
      <c r="L1311" t="s">
        <v>40</v>
      </c>
      <c r="M1311" t="s">
        <v>1262</v>
      </c>
      <c r="N1311" s="2" t="s">
        <v>3033</v>
      </c>
      <c r="O1311" t="s">
        <v>3034</v>
      </c>
      <c r="P1311" t="s">
        <v>16</v>
      </c>
      <c r="Q1311">
        <v>218.98173105720275</v>
      </c>
      <c r="R1311">
        <f ca="1">YEAR(TODAY())-Table1[[#This Row],[Year Built]]</f>
        <v>73</v>
      </c>
      <c r="S1311" t="str">
        <f>IF(Table1[[#This Row],[Days on Market]] &lt; 30,"Fast",IF(Table1[[#This Row],[Days on Market]]&lt;= 90,"Average", "Slow"))</f>
        <v>Fast</v>
      </c>
      <c r="T1311" t="str">
        <f>IF(Table1[[#This Row],[Price2]]&lt;500000,"Affordable",IF(Table1[[#This Row],[Price2]]&lt;1000000,"Mid range","Luxury"))</f>
        <v>Mid range</v>
      </c>
    </row>
    <row r="1312" spans="1:20" x14ac:dyDescent="0.35">
      <c r="A1312" s="3">
        <v>731423</v>
      </c>
      <c r="B1312" s="2" t="s">
        <v>12</v>
      </c>
      <c r="C1312">
        <v>63000</v>
      </c>
      <c r="D1312" s="2" t="s">
        <v>18</v>
      </c>
      <c r="E1312">
        <v>2</v>
      </c>
      <c r="F1312">
        <v>4</v>
      </c>
      <c r="G1312" s="4">
        <f>VALUE(SUBSTITUTE(SUBSTITUTE(Table1[[#This Row],[Price]],"$",""),",",""))</f>
        <v>731423</v>
      </c>
      <c r="H1312" s="1">
        <f>Table1[[#This Row],[Price2]]/Table1[[#This Row],[Area]]</f>
        <v>337.83972286374131</v>
      </c>
      <c r="I1312">
        <v>2165</v>
      </c>
      <c r="J1312">
        <v>1991</v>
      </c>
      <c r="K1312">
        <v>21</v>
      </c>
      <c r="L1312" t="s">
        <v>30</v>
      </c>
      <c r="M1312" t="s">
        <v>2763</v>
      </c>
      <c r="N1312" s="2" t="s">
        <v>3029</v>
      </c>
      <c r="O1312" t="s">
        <v>3030</v>
      </c>
      <c r="P1312" t="s">
        <v>26</v>
      </c>
      <c r="Q1312">
        <v>337.83972286374131</v>
      </c>
      <c r="R1312">
        <f ca="1">YEAR(TODAY())-Table1[[#This Row],[Year Built]]</f>
        <v>35</v>
      </c>
      <c r="S1312" t="str">
        <f>IF(Table1[[#This Row],[Days on Market]] &lt; 30,"Fast",IF(Table1[[#This Row],[Days on Market]]&lt;= 90,"Average", "Slow"))</f>
        <v>Fast</v>
      </c>
      <c r="T1312" t="str">
        <f>IF(Table1[[#This Row],[Price2]]&lt;500000,"Affordable",IF(Table1[[#This Row],[Price2]]&lt;1000000,"Mid range","Luxury"))</f>
        <v>Mid range</v>
      </c>
    </row>
    <row r="1313" spans="1:20" x14ac:dyDescent="0.35">
      <c r="A1313" s="3">
        <v>732123</v>
      </c>
      <c r="B1313" s="2" t="s">
        <v>34</v>
      </c>
      <c r="C1313">
        <v>13564</v>
      </c>
      <c r="D1313" s="2" t="s">
        <v>35</v>
      </c>
      <c r="E1313">
        <v>5</v>
      </c>
      <c r="F1313">
        <v>2</v>
      </c>
      <c r="G1313" s="4">
        <f>VALUE(SUBSTITUTE(SUBSTITUTE(Table1[[#This Row],[Price]],"$",""),",",""))</f>
        <v>732123</v>
      </c>
      <c r="H1313" s="1">
        <f>Table1[[#This Row],[Price2]]/Table1[[#This Row],[Area]]</f>
        <v>441.83645141822569</v>
      </c>
      <c r="I1313">
        <v>1657</v>
      </c>
      <c r="J1313">
        <v>1998</v>
      </c>
      <c r="K1313">
        <v>27</v>
      </c>
      <c r="L1313" t="s">
        <v>40</v>
      </c>
      <c r="M1313" t="s">
        <v>1880</v>
      </c>
      <c r="N1313" s="2" t="s">
        <v>3033</v>
      </c>
      <c r="O1313" t="s">
        <v>3034</v>
      </c>
      <c r="P1313" t="s">
        <v>21</v>
      </c>
      <c r="Q1313">
        <v>441.83645141822569</v>
      </c>
      <c r="R1313">
        <f ca="1">YEAR(TODAY())-Table1[[#This Row],[Year Built]]</f>
        <v>28</v>
      </c>
      <c r="S1313" t="str">
        <f>IF(Table1[[#This Row],[Days on Market]] &lt; 30,"Fast",IF(Table1[[#This Row],[Days on Market]]&lt;= 90,"Average", "Slow"))</f>
        <v>Fast</v>
      </c>
      <c r="T1313" t="str">
        <f>IF(Table1[[#This Row],[Price2]]&lt;500000,"Affordable",IF(Table1[[#This Row],[Price2]]&lt;1000000,"Mid range","Luxury"))</f>
        <v>Mid range</v>
      </c>
    </row>
    <row r="1314" spans="1:20" x14ac:dyDescent="0.35">
      <c r="A1314" s="3">
        <v>732202</v>
      </c>
      <c r="B1314" s="2" t="s">
        <v>22</v>
      </c>
      <c r="C1314">
        <v>19962</v>
      </c>
      <c r="D1314" s="2" t="s">
        <v>23</v>
      </c>
      <c r="E1314">
        <v>2</v>
      </c>
      <c r="F1314">
        <v>1</v>
      </c>
      <c r="G1314" s="4">
        <f>VALUE(SUBSTITUTE(SUBSTITUTE(Table1[[#This Row],[Price]],"$",""),",",""))</f>
        <v>732202</v>
      </c>
      <c r="H1314" s="1">
        <f>Table1[[#This Row],[Price2]]/Table1[[#This Row],[Area]]</f>
        <v>353.37934362934362</v>
      </c>
      <c r="I1314">
        <v>2072</v>
      </c>
      <c r="J1314">
        <v>1981</v>
      </c>
      <c r="K1314">
        <v>66</v>
      </c>
      <c r="L1314" t="s">
        <v>19</v>
      </c>
      <c r="M1314" t="s">
        <v>643</v>
      </c>
      <c r="N1314" s="2" t="s">
        <v>3031</v>
      </c>
      <c r="O1314" t="s">
        <v>3032</v>
      </c>
      <c r="P1314" t="s">
        <v>16</v>
      </c>
      <c r="Q1314">
        <v>353.37934362934362</v>
      </c>
      <c r="R1314">
        <f ca="1">YEAR(TODAY())-Table1[[#This Row],[Year Built]]</f>
        <v>45</v>
      </c>
      <c r="S1314" t="str">
        <f>IF(Table1[[#This Row],[Days on Market]] &lt; 30,"Fast",IF(Table1[[#This Row],[Days on Market]]&lt;= 90,"Average", "Slow"))</f>
        <v>Average</v>
      </c>
      <c r="T1314" t="str">
        <f>IF(Table1[[#This Row],[Price2]]&lt;500000,"Affordable",IF(Table1[[#This Row],[Price2]]&lt;1000000,"Mid range","Luxury"))</f>
        <v>Mid range</v>
      </c>
    </row>
    <row r="1315" spans="1:20" x14ac:dyDescent="0.35">
      <c r="A1315" s="3">
        <v>732277</v>
      </c>
      <c r="B1315" s="2" t="s">
        <v>12</v>
      </c>
      <c r="C1315">
        <v>26771</v>
      </c>
      <c r="D1315" s="2" t="s">
        <v>29</v>
      </c>
      <c r="E1315">
        <v>2</v>
      </c>
      <c r="F1315">
        <v>3</v>
      </c>
      <c r="G1315" s="4">
        <f>VALUE(SUBSTITUTE(SUBSTITUTE(Table1[[#This Row],[Price]],"$",""),",",""))</f>
        <v>732277</v>
      </c>
      <c r="H1315" s="1">
        <f>Table1[[#This Row],[Price2]]/Table1[[#This Row],[Area]]</f>
        <v>194.80633147113593</v>
      </c>
      <c r="I1315">
        <v>3759</v>
      </c>
      <c r="J1315">
        <v>1991</v>
      </c>
      <c r="K1315">
        <v>115</v>
      </c>
      <c r="L1315" t="s">
        <v>14</v>
      </c>
      <c r="M1315" t="s">
        <v>487</v>
      </c>
      <c r="N1315" s="2" t="s">
        <v>3031</v>
      </c>
      <c r="O1315" t="s">
        <v>3032</v>
      </c>
      <c r="P1315" t="s">
        <v>16</v>
      </c>
      <c r="Q1315">
        <v>194.80633147113593</v>
      </c>
      <c r="R1315">
        <f ca="1">YEAR(TODAY())-Table1[[#This Row],[Year Built]]</f>
        <v>35</v>
      </c>
      <c r="S1315" t="str">
        <f>IF(Table1[[#This Row],[Days on Market]] &lt; 30,"Fast",IF(Table1[[#This Row],[Days on Market]]&lt;= 90,"Average", "Slow"))</f>
        <v>Slow</v>
      </c>
      <c r="T1315" t="str">
        <f>IF(Table1[[#This Row],[Price2]]&lt;500000,"Affordable",IF(Table1[[#This Row],[Price2]]&lt;1000000,"Mid range","Luxury"))</f>
        <v>Mid range</v>
      </c>
    </row>
    <row r="1316" spans="1:20" x14ac:dyDescent="0.35">
      <c r="A1316" s="3">
        <v>732661</v>
      </c>
      <c r="B1316" s="2" t="s">
        <v>27</v>
      </c>
      <c r="C1316">
        <v>19992</v>
      </c>
      <c r="D1316" s="2" t="s">
        <v>23</v>
      </c>
      <c r="E1316">
        <v>6</v>
      </c>
      <c r="F1316">
        <v>1</v>
      </c>
      <c r="G1316" s="4">
        <f>VALUE(SUBSTITUTE(SUBSTITUTE(Table1[[#This Row],[Price]],"$",""),",",""))</f>
        <v>732661</v>
      </c>
      <c r="H1316" s="1">
        <f>Table1[[#This Row],[Price2]]/Table1[[#This Row],[Area]]</f>
        <v>239.43169934640522</v>
      </c>
      <c r="I1316">
        <v>3060</v>
      </c>
      <c r="J1316">
        <v>1990</v>
      </c>
      <c r="K1316">
        <v>109</v>
      </c>
      <c r="L1316" t="s">
        <v>30</v>
      </c>
      <c r="M1316" t="s">
        <v>2216</v>
      </c>
      <c r="N1316" s="2" t="s">
        <v>3027</v>
      </c>
      <c r="O1316" t="s">
        <v>3028</v>
      </c>
      <c r="P1316" t="s">
        <v>26</v>
      </c>
      <c r="Q1316">
        <v>239.43169934640522</v>
      </c>
      <c r="R1316">
        <f ca="1">YEAR(TODAY())-Table1[[#This Row],[Year Built]]</f>
        <v>36</v>
      </c>
      <c r="S1316" t="str">
        <f>IF(Table1[[#This Row],[Days on Market]] &lt; 30,"Fast",IF(Table1[[#This Row],[Days on Market]]&lt;= 90,"Average", "Slow"))</f>
        <v>Slow</v>
      </c>
      <c r="T1316" t="str">
        <f>IF(Table1[[#This Row],[Price2]]&lt;500000,"Affordable",IF(Table1[[#This Row],[Price2]]&lt;1000000,"Mid range","Luxury"))</f>
        <v>Mid range</v>
      </c>
    </row>
    <row r="1317" spans="1:20" x14ac:dyDescent="0.35">
      <c r="A1317" s="3">
        <v>733862</v>
      </c>
      <c r="B1317" s="2" t="s">
        <v>22</v>
      </c>
      <c r="C1317">
        <v>94674</v>
      </c>
      <c r="D1317" s="2" t="s">
        <v>18</v>
      </c>
      <c r="E1317">
        <v>6</v>
      </c>
      <c r="F1317">
        <v>1</v>
      </c>
      <c r="G1317" s="4">
        <f>VALUE(SUBSTITUTE(SUBSTITUTE(Table1[[#This Row],[Price]],"$",""),",",""))</f>
        <v>733862</v>
      </c>
      <c r="H1317" s="1">
        <f>Table1[[#This Row],[Price2]]/Table1[[#This Row],[Area]]</f>
        <v>313.34842015371476</v>
      </c>
      <c r="I1317">
        <v>2342</v>
      </c>
      <c r="J1317">
        <v>1984</v>
      </c>
      <c r="K1317">
        <v>46</v>
      </c>
      <c r="L1317" t="s">
        <v>19</v>
      </c>
      <c r="M1317" t="s">
        <v>121</v>
      </c>
      <c r="N1317" s="2" t="s">
        <v>3031</v>
      </c>
      <c r="O1317" t="s">
        <v>3032</v>
      </c>
      <c r="P1317" t="s">
        <v>16</v>
      </c>
      <c r="Q1317">
        <v>313.34842015371476</v>
      </c>
      <c r="R1317">
        <f ca="1">YEAR(TODAY())-Table1[[#This Row],[Year Built]]</f>
        <v>42</v>
      </c>
      <c r="S1317" t="str">
        <f>IF(Table1[[#This Row],[Days on Market]] &lt; 30,"Fast",IF(Table1[[#This Row],[Days on Market]]&lt;= 90,"Average", "Slow"))</f>
        <v>Average</v>
      </c>
      <c r="T1317" t="str">
        <f>IF(Table1[[#This Row],[Price2]]&lt;500000,"Affordable",IF(Table1[[#This Row],[Price2]]&lt;1000000,"Mid range","Luxury"))</f>
        <v>Mid range</v>
      </c>
    </row>
    <row r="1318" spans="1:20" x14ac:dyDescent="0.35">
      <c r="A1318" s="3">
        <v>734091</v>
      </c>
      <c r="B1318" s="2" t="s">
        <v>12</v>
      </c>
      <c r="C1318">
        <v>28912</v>
      </c>
      <c r="D1318" s="2" t="s">
        <v>23</v>
      </c>
      <c r="E1318">
        <v>4</v>
      </c>
      <c r="F1318">
        <v>1</v>
      </c>
      <c r="G1318" s="4">
        <f>VALUE(SUBSTITUTE(SUBSTITUTE(Table1[[#This Row],[Price]],"$",""),",",""))</f>
        <v>734091</v>
      </c>
      <c r="H1318" s="1">
        <f>Table1[[#This Row],[Price2]]/Table1[[#This Row],[Area]]</f>
        <v>189.34511220015474</v>
      </c>
      <c r="I1318">
        <v>3877</v>
      </c>
      <c r="J1318">
        <v>1978</v>
      </c>
      <c r="K1318">
        <v>60</v>
      </c>
      <c r="L1318" t="s">
        <v>19</v>
      </c>
      <c r="M1318" t="s">
        <v>2139</v>
      </c>
      <c r="N1318" s="2" t="s">
        <v>3031</v>
      </c>
      <c r="O1318" t="s">
        <v>3032</v>
      </c>
      <c r="P1318" t="s">
        <v>21</v>
      </c>
      <c r="Q1318">
        <v>189.34511220015474</v>
      </c>
      <c r="R1318">
        <f ca="1">YEAR(TODAY())-Table1[[#This Row],[Year Built]]</f>
        <v>48</v>
      </c>
      <c r="S1318" t="str">
        <f>IF(Table1[[#This Row],[Days on Market]] &lt; 30,"Fast",IF(Table1[[#This Row],[Days on Market]]&lt;= 90,"Average", "Slow"))</f>
        <v>Average</v>
      </c>
      <c r="T1318" t="str">
        <f>IF(Table1[[#This Row],[Price2]]&lt;500000,"Affordable",IF(Table1[[#This Row],[Price2]]&lt;1000000,"Mid range","Luxury"))</f>
        <v>Mid range</v>
      </c>
    </row>
    <row r="1319" spans="1:20" x14ac:dyDescent="0.35">
      <c r="A1319" s="3">
        <v>734444</v>
      </c>
      <c r="B1319" s="2" t="s">
        <v>34</v>
      </c>
      <c r="C1319">
        <v>57158</v>
      </c>
      <c r="D1319" s="2" t="s">
        <v>29</v>
      </c>
      <c r="E1319">
        <v>4</v>
      </c>
      <c r="F1319">
        <v>1</v>
      </c>
      <c r="G1319" s="4">
        <f>VALUE(SUBSTITUTE(SUBSTITUTE(Table1[[#This Row],[Price]],"$",""),",",""))</f>
        <v>734444</v>
      </c>
      <c r="H1319" s="1">
        <f>Table1[[#This Row],[Price2]]/Table1[[#This Row],[Area]]</f>
        <v>418.96406160867087</v>
      </c>
      <c r="I1319">
        <v>1753</v>
      </c>
      <c r="J1319">
        <v>1968</v>
      </c>
      <c r="K1319">
        <v>63</v>
      </c>
      <c r="L1319" t="s">
        <v>14</v>
      </c>
      <c r="M1319" t="s">
        <v>1892</v>
      </c>
      <c r="N1319" s="2" t="s">
        <v>3031</v>
      </c>
      <c r="O1319" t="s">
        <v>3032</v>
      </c>
      <c r="P1319" t="s">
        <v>16</v>
      </c>
      <c r="Q1319">
        <v>418.96406160867087</v>
      </c>
      <c r="R1319">
        <f ca="1">YEAR(TODAY())-Table1[[#This Row],[Year Built]]</f>
        <v>58</v>
      </c>
      <c r="S1319" t="str">
        <f>IF(Table1[[#This Row],[Days on Market]] &lt; 30,"Fast",IF(Table1[[#This Row],[Days on Market]]&lt;= 90,"Average", "Slow"))</f>
        <v>Average</v>
      </c>
      <c r="T1319" t="str">
        <f>IF(Table1[[#This Row],[Price2]]&lt;500000,"Affordable",IF(Table1[[#This Row],[Price2]]&lt;1000000,"Mid range","Luxury"))</f>
        <v>Mid range</v>
      </c>
    </row>
    <row r="1320" spans="1:20" x14ac:dyDescent="0.35">
      <c r="A1320" s="3">
        <v>734661</v>
      </c>
      <c r="B1320" s="2" t="s">
        <v>34</v>
      </c>
      <c r="C1320">
        <v>54762</v>
      </c>
      <c r="D1320" s="2" t="s">
        <v>35</v>
      </c>
      <c r="E1320">
        <v>2</v>
      </c>
      <c r="F1320">
        <v>3</v>
      </c>
      <c r="G1320" s="4">
        <f>VALUE(SUBSTITUTE(SUBSTITUTE(Table1[[#This Row],[Price]],"$",""),",",""))</f>
        <v>734661</v>
      </c>
      <c r="H1320" s="1">
        <f>Table1[[#This Row],[Price2]]/Table1[[#This Row],[Area]]</f>
        <v>433.42831858407078</v>
      </c>
      <c r="I1320">
        <v>1695</v>
      </c>
      <c r="J1320">
        <v>1960</v>
      </c>
      <c r="K1320">
        <v>96</v>
      </c>
      <c r="L1320" t="s">
        <v>19</v>
      </c>
      <c r="M1320" t="s">
        <v>2259</v>
      </c>
      <c r="N1320" s="2" t="s">
        <v>3033</v>
      </c>
      <c r="O1320" t="s">
        <v>3034</v>
      </c>
      <c r="P1320" t="s">
        <v>21</v>
      </c>
      <c r="Q1320">
        <v>433.42831858407078</v>
      </c>
      <c r="R1320">
        <f ca="1">YEAR(TODAY())-Table1[[#This Row],[Year Built]]</f>
        <v>66</v>
      </c>
      <c r="S1320" t="str">
        <f>IF(Table1[[#This Row],[Days on Market]] &lt; 30,"Fast",IF(Table1[[#This Row],[Days on Market]]&lt;= 90,"Average", "Slow"))</f>
        <v>Slow</v>
      </c>
      <c r="T1320" t="str">
        <f>IF(Table1[[#This Row],[Price2]]&lt;500000,"Affordable",IF(Table1[[#This Row],[Price2]]&lt;1000000,"Mid range","Luxury"))</f>
        <v>Mid range</v>
      </c>
    </row>
    <row r="1321" spans="1:20" x14ac:dyDescent="0.35">
      <c r="A1321" s="3">
        <v>735476</v>
      </c>
      <c r="B1321" s="2" t="s">
        <v>12</v>
      </c>
      <c r="C1321">
        <v>52545</v>
      </c>
      <c r="D1321" s="2" t="s">
        <v>18</v>
      </c>
      <c r="E1321">
        <v>1</v>
      </c>
      <c r="F1321">
        <v>3</v>
      </c>
      <c r="G1321" s="4">
        <f>VALUE(SUBSTITUTE(SUBSTITUTE(Table1[[#This Row],[Price]],"$",""),",",""))</f>
        <v>735476</v>
      </c>
      <c r="H1321" s="1">
        <f>Table1[[#This Row],[Price2]]/Table1[[#This Row],[Area]]</f>
        <v>395.20472864051584</v>
      </c>
      <c r="I1321">
        <v>1861</v>
      </c>
      <c r="J1321">
        <v>1983</v>
      </c>
      <c r="K1321">
        <v>71</v>
      </c>
      <c r="L1321" t="s">
        <v>30</v>
      </c>
      <c r="M1321" t="s">
        <v>3004</v>
      </c>
      <c r="N1321" s="2" t="s">
        <v>3033</v>
      </c>
      <c r="O1321" t="s">
        <v>3034</v>
      </c>
      <c r="P1321" t="s">
        <v>16</v>
      </c>
      <c r="Q1321">
        <v>395.20472864051584</v>
      </c>
      <c r="R1321">
        <f ca="1">YEAR(TODAY())-Table1[[#This Row],[Year Built]]</f>
        <v>43</v>
      </c>
      <c r="S1321" t="str">
        <f>IF(Table1[[#This Row],[Days on Market]] &lt; 30,"Fast",IF(Table1[[#This Row],[Days on Market]]&lt;= 90,"Average", "Slow"))</f>
        <v>Average</v>
      </c>
      <c r="T1321" t="str">
        <f>IF(Table1[[#This Row],[Price2]]&lt;500000,"Affordable",IF(Table1[[#This Row],[Price2]]&lt;1000000,"Mid range","Luxury"))</f>
        <v>Mid range</v>
      </c>
    </row>
    <row r="1322" spans="1:20" x14ac:dyDescent="0.35">
      <c r="A1322" s="3">
        <v>735604</v>
      </c>
      <c r="B1322" s="2" t="s">
        <v>17</v>
      </c>
      <c r="C1322">
        <v>57102</v>
      </c>
      <c r="D1322" s="2" t="s">
        <v>29</v>
      </c>
      <c r="E1322">
        <v>2</v>
      </c>
      <c r="F1322">
        <v>3</v>
      </c>
      <c r="G1322" s="4">
        <f>VALUE(SUBSTITUTE(SUBSTITUTE(Table1[[#This Row],[Price]],"$",""),",",""))</f>
        <v>735604</v>
      </c>
      <c r="H1322" s="1">
        <f>Table1[[#This Row],[Price2]]/Table1[[#This Row],[Area]]</f>
        <v>186.18172614527967</v>
      </c>
      <c r="I1322">
        <v>3951</v>
      </c>
      <c r="J1322">
        <v>1983</v>
      </c>
      <c r="K1322">
        <v>9</v>
      </c>
      <c r="L1322" t="s">
        <v>52</v>
      </c>
      <c r="M1322" t="s">
        <v>288</v>
      </c>
      <c r="N1322" s="2" t="s">
        <v>3027</v>
      </c>
      <c r="O1322" t="s">
        <v>3028</v>
      </c>
      <c r="P1322" t="s">
        <v>16</v>
      </c>
      <c r="Q1322">
        <v>186.18172614527967</v>
      </c>
      <c r="R1322">
        <f ca="1">YEAR(TODAY())-Table1[[#This Row],[Year Built]]</f>
        <v>43</v>
      </c>
      <c r="S1322" t="str">
        <f>IF(Table1[[#This Row],[Days on Market]] &lt; 30,"Fast",IF(Table1[[#This Row],[Days on Market]]&lt;= 90,"Average", "Slow"))</f>
        <v>Fast</v>
      </c>
      <c r="T1322" t="str">
        <f>IF(Table1[[#This Row],[Price2]]&lt;500000,"Affordable",IF(Table1[[#This Row],[Price2]]&lt;1000000,"Mid range","Luxury"))</f>
        <v>Mid range</v>
      </c>
    </row>
    <row r="1323" spans="1:20" x14ac:dyDescent="0.35">
      <c r="A1323" s="3">
        <v>735605</v>
      </c>
      <c r="B1323" s="2" t="s">
        <v>12</v>
      </c>
      <c r="C1323">
        <v>59855</v>
      </c>
      <c r="D1323" s="2" t="s">
        <v>23</v>
      </c>
      <c r="E1323">
        <v>2</v>
      </c>
      <c r="F1323">
        <v>2</v>
      </c>
      <c r="G1323" s="4">
        <f>VALUE(SUBSTITUTE(SUBSTITUTE(Table1[[#This Row],[Price]],"$",""),",",""))</f>
        <v>735605</v>
      </c>
      <c r="H1323" s="1">
        <f>Table1[[#This Row],[Price2]]/Table1[[#This Row],[Area]]</f>
        <v>452.68</v>
      </c>
      <c r="I1323">
        <v>1625</v>
      </c>
      <c r="J1323">
        <v>2000</v>
      </c>
      <c r="K1323">
        <v>93</v>
      </c>
      <c r="L1323" t="s">
        <v>40</v>
      </c>
      <c r="M1323" t="s">
        <v>1764</v>
      </c>
      <c r="N1323" s="2" t="s">
        <v>3035</v>
      </c>
      <c r="O1323" t="s">
        <v>3036</v>
      </c>
      <c r="P1323" t="s">
        <v>26</v>
      </c>
      <c r="Q1323">
        <v>452.68</v>
      </c>
      <c r="R1323">
        <f ca="1">YEAR(TODAY())-Table1[[#This Row],[Year Built]]</f>
        <v>26</v>
      </c>
      <c r="S1323" t="str">
        <f>IF(Table1[[#This Row],[Days on Market]] &lt; 30,"Fast",IF(Table1[[#This Row],[Days on Market]]&lt;= 90,"Average", "Slow"))</f>
        <v>Slow</v>
      </c>
      <c r="T1323" t="str">
        <f>IF(Table1[[#This Row],[Price2]]&lt;500000,"Affordable",IF(Table1[[#This Row],[Price2]]&lt;1000000,"Mid range","Luxury"))</f>
        <v>Mid range</v>
      </c>
    </row>
    <row r="1324" spans="1:20" x14ac:dyDescent="0.35">
      <c r="A1324" s="3">
        <v>735817</v>
      </c>
      <c r="B1324" s="2" t="s">
        <v>22</v>
      </c>
      <c r="C1324">
        <v>89405</v>
      </c>
      <c r="D1324" s="2" t="s">
        <v>13</v>
      </c>
      <c r="E1324">
        <v>6</v>
      </c>
      <c r="F1324">
        <v>3</v>
      </c>
      <c r="G1324" s="4">
        <f>VALUE(SUBSTITUTE(SUBSTITUTE(Table1[[#This Row],[Price]],"$",""),",",""))</f>
        <v>735817</v>
      </c>
      <c r="H1324" s="1">
        <f>Table1[[#This Row],[Price2]]/Table1[[#This Row],[Area]]</f>
        <v>196.74251336898396</v>
      </c>
      <c r="I1324">
        <v>3740</v>
      </c>
      <c r="J1324">
        <v>2017</v>
      </c>
      <c r="K1324">
        <v>104</v>
      </c>
      <c r="L1324" t="s">
        <v>14</v>
      </c>
      <c r="M1324" t="s">
        <v>685</v>
      </c>
      <c r="N1324" s="2" t="s">
        <v>3031</v>
      </c>
      <c r="O1324" t="s">
        <v>3032</v>
      </c>
      <c r="P1324" t="s">
        <v>16</v>
      </c>
      <c r="Q1324">
        <v>196.74251336898396</v>
      </c>
      <c r="R1324">
        <f ca="1">YEAR(TODAY())-Table1[[#This Row],[Year Built]]</f>
        <v>9</v>
      </c>
      <c r="S1324" t="str">
        <f>IF(Table1[[#This Row],[Days on Market]] &lt; 30,"Fast",IF(Table1[[#This Row],[Days on Market]]&lt;= 90,"Average", "Slow"))</f>
        <v>Slow</v>
      </c>
      <c r="T1324" t="str">
        <f>IF(Table1[[#This Row],[Price2]]&lt;500000,"Affordable",IF(Table1[[#This Row],[Price2]]&lt;1000000,"Mid range","Luxury"))</f>
        <v>Mid range</v>
      </c>
    </row>
    <row r="1325" spans="1:20" x14ac:dyDescent="0.35">
      <c r="A1325" s="3">
        <v>736337</v>
      </c>
      <c r="B1325" s="2" t="s">
        <v>34</v>
      </c>
      <c r="C1325">
        <v>28779</v>
      </c>
      <c r="D1325" s="2" t="s">
        <v>35</v>
      </c>
      <c r="E1325">
        <v>5</v>
      </c>
      <c r="F1325">
        <v>2</v>
      </c>
      <c r="G1325" s="4">
        <f>VALUE(SUBSTITUTE(SUBSTITUTE(Table1[[#This Row],[Price]],"$",""),",",""))</f>
        <v>736337</v>
      </c>
      <c r="H1325" s="1">
        <f>Table1[[#This Row],[Price2]]/Table1[[#This Row],[Area]]</f>
        <v>318.48486159169551</v>
      </c>
      <c r="I1325">
        <v>2312</v>
      </c>
      <c r="J1325">
        <v>1987</v>
      </c>
      <c r="K1325">
        <v>39</v>
      </c>
      <c r="L1325" t="s">
        <v>19</v>
      </c>
      <c r="M1325" t="s">
        <v>2700</v>
      </c>
      <c r="N1325" s="2" t="s">
        <v>3029</v>
      </c>
      <c r="O1325" t="s">
        <v>3030</v>
      </c>
      <c r="P1325" t="s">
        <v>16</v>
      </c>
      <c r="Q1325">
        <v>318.48486159169551</v>
      </c>
      <c r="R1325">
        <f ca="1">YEAR(TODAY())-Table1[[#This Row],[Year Built]]</f>
        <v>39</v>
      </c>
      <c r="S1325" t="str">
        <f>IF(Table1[[#This Row],[Days on Market]] &lt; 30,"Fast",IF(Table1[[#This Row],[Days on Market]]&lt;= 90,"Average", "Slow"))</f>
        <v>Average</v>
      </c>
      <c r="T1325" t="str">
        <f>IF(Table1[[#This Row],[Price2]]&lt;500000,"Affordable",IF(Table1[[#This Row],[Price2]]&lt;1000000,"Mid range","Luxury"))</f>
        <v>Mid range</v>
      </c>
    </row>
    <row r="1326" spans="1:20" x14ac:dyDescent="0.35">
      <c r="A1326" s="3">
        <v>736810</v>
      </c>
      <c r="B1326" s="2" t="s">
        <v>34</v>
      </c>
      <c r="C1326">
        <v>13831</v>
      </c>
      <c r="D1326" s="2" t="s">
        <v>35</v>
      </c>
      <c r="E1326">
        <v>6</v>
      </c>
      <c r="F1326">
        <v>2</v>
      </c>
      <c r="G1326" s="4">
        <f>VALUE(SUBSTITUTE(SUBSTITUTE(Table1[[#This Row],[Price]],"$",""),",",""))</f>
        <v>736810</v>
      </c>
      <c r="H1326" s="1">
        <f>Table1[[#This Row],[Price2]]/Table1[[#This Row],[Area]]</f>
        <v>1045.1205673758866</v>
      </c>
      <c r="I1326">
        <v>705</v>
      </c>
      <c r="J1326">
        <v>1993</v>
      </c>
      <c r="K1326">
        <v>53</v>
      </c>
      <c r="L1326" t="s">
        <v>19</v>
      </c>
      <c r="M1326" t="s">
        <v>1482</v>
      </c>
      <c r="N1326" s="2" t="s">
        <v>3029</v>
      </c>
      <c r="O1326" t="s">
        <v>3030</v>
      </c>
      <c r="P1326" t="s">
        <v>26</v>
      </c>
      <c r="Q1326">
        <v>1045.1205673758866</v>
      </c>
      <c r="R1326">
        <f ca="1">YEAR(TODAY())-Table1[[#This Row],[Year Built]]</f>
        <v>33</v>
      </c>
      <c r="S1326" t="str">
        <f>IF(Table1[[#This Row],[Days on Market]] &lt; 30,"Fast",IF(Table1[[#This Row],[Days on Market]]&lt;= 90,"Average", "Slow"))</f>
        <v>Average</v>
      </c>
      <c r="T1326" t="str">
        <f>IF(Table1[[#This Row],[Price2]]&lt;500000,"Affordable",IF(Table1[[#This Row],[Price2]]&lt;1000000,"Mid range","Luxury"))</f>
        <v>Mid range</v>
      </c>
    </row>
    <row r="1327" spans="1:20" x14ac:dyDescent="0.35">
      <c r="A1327" s="3">
        <v>737325</v>
      </c>
      <c r="B1327" s="2" t="s">
        <v>22</v>
      </c>
      <c r="C1327">
        <v>50963</v>
      </c>
      <c r="D1327" s="2" t="s">
        <v>18</v>
      </c>
      <c r="E1327">
        <v>1</v>
      </c>
      <c r="F1327">
        <v>4</v>
      </c>
      <c r="G1327" s="4">
        <f>VALUE(SUBSTITUTE(SUBSTITUTE(Table1[[#This Row],[Price]],"$",""),",",""))</f>
        <v>737325</v>
      </c>
      <c r="H1327" s="1">
        <f>Table1[[#This Row],[Price2]]/Table1[[#This Row],[Area]]</f>
        <v>487.64880952380952</v>
      </c>
      <c r="I1327">
        <v>1512</v>
      </c>
      <c r="J1327">
        <v>1990</v>
      </c>
      <c r="K1327">
        <v>6</v>
      </c>
      <c r="L1327" t="s">
        <v>14</v>
      </c>
      <c r="M1327" t="s">
        <v>2652</v>
      </c>
      <c r="N1327" s="2" t="s">
        <v>3033</v>
      </c>
      <c r="O1327" t="s">
        <v>3034</v>
      </c>
      <c r="P1327" t="s">
        <v>16</v>
      </c>
      <c r="Q1327">
        <v>487.64880952380952</v>
      </c>
      <c r="R1327">
        <f ca="1">YEAR(TODAY())-Table1[[#This Row],[Year Built]]</f>
        <v>36</v>
      </c>
      <c r="S1327" t="str">
        <f>IF(Table1[[#This Row],[Days on Market]] &lt; 30,"Fast",IF(Table1[[#This Row],[Days on Market]]&lt;= 90,"Average", "Slow"))</f>
        <v>Fast</v>
      </c>
      <c r="T1327" t="str">
        <f>IF(Table1[[#This Row],[Price2]]&lt;500000,"Affordable",IF(Table1[[#This Row],[Price2]]&lt;1000000,"Mid range","Luxury"))</f>
        <v>Mid range</v>
      </c>
    </row>
    <row r="1328" spans="1:20" x14ac:dyDescent="0.35">
      <c r="A1328" s="3">
        <v>737510</v>
      </c>
      <c r="B1328" s="2" t="s">
        <v>17</v>
      </c>
      <c r="C1328">
        <v>24387</v>
      </c>
      <c r="D1328" s="2" t="s">
        <v>23</v>
      </c>
      <c r="E1328">
        <v>2</v>
      </c>
      <c r="F1328">
        <v>4</v>
      </c>
      <c r="G1328" s="4">
        <f>VALUE(SUBSTITUTE(SUBSTITUTE(Table1[[#This Row],[Price]],"$",""),",",""))</f>
        <v>737510</v>
      </c>
      <c r="H1328" s="1">
        <f>Table1[[#This Row],[Price2]]/Table1[[#This Row],[Area]]</f>
        <v>206.18115739446463</v>
      </c>
      <c r="I1328">
        <v>3577</v>
      </c>
      <c r="J1328">
        <v>2022</v>
      </c>
      <c r="K1328">
        <v>17</v>
      </c>
      <c r="L1328" t="s">
        <v>19</v>
      </c>
      <c r="M1328" t="s">
        <v>2688</v>
      </c>
      <c r="N1328" s="2" t="s">
        <v>3027</v>
      </c>
      <c r="O1328" t="s">
        <v>3028</v>
      </c>
      <c r="P1328" t="s">
        <v>16</v>
      </c>
      <c r="Q1328">
        <v>206.18115739446463</v>
      </c>
      <c r="R1328">
        <f ca="1">YEAR(TODAY())-Table1[[#This Row],[Year Built]]</f>
        <v>4</v>
      </c>
      <c r="S1328" t="str">
        <f>IF(Table1[[#This Row],[Days on Market]] &lt; 30,"Fast",IF(Table1[[#This Row],[Days on Market]]&lt;= 90,"Average", "Slow"))</f>
        <v>Fast</v>
      </c>
      <c r="T1328" t="str">
        <f>IF(Table1[[#This Row],[Price2]]&lt;500000,"Affordable",IF(Table1[[#This Row],[Price2]]&lt;1000000,"Mid range","Luxury"))</f>
        <v>Mid range</v>
      </c>
    </row>
    <row r="1329" spans="1:20" x14ac:dyDescent="0.35">
      <c r="A1329" s="3">
        <v>738248</v>
      </c>
      <c r="B1329" s="2" t="s">
        <v>27</v>
      </c>
      <c r="C1329">
        <v>58293</v>
      </c>
      <c r="D1329" s="2" t="s">
        <v>13</v>
      </c>
      <c r="E1329">
        <v>1</v>
      </c>
      <c r="F1329">
        <v>3</v>
      </c>
      <c r="G1329" s="4">
        <f>VALUE(SUBSTITUTE(SUBSTITUTE(Table1[[#This Row],[Price]],"$",""),",",""))</f>
        <v>738248</v>
      </c>
      <c r="H1329" s="1">
        <f>Table1[[#This Row],[Price2]]/Table1[[#This Row],[Area]]</f>
        <v>682.93061979648473</v>
      </c>
      <c r="I1329">
        <v>1081</v>
      </c>
      <c r="J1329">
        <v>1960</v>
      </c>
      <c r="K1329">
        <v>98</v>
      </c>
      <c r="L1329" t="s">
        <v>40</v>
      </c>
      <c r="M1329" t="s">
        <v>268</v>
      </c>
      <c r="N1329" s="2" t="s">
        <v>3029</v>
      </c>
      <c r="O1329" t="s">
        <v>3030</v>
      </c>
      <c r="P1329" t="s">
        <v>16</v>
      </c>
      <c r="Q1329">
        <v>682.93061979648473</v>
      </c>
      <c r="R1329">
        <f ca="1">YEAR(TODAY())-Table1[[#This Row],[Year Built]]</f>
        <v>66</v>
      </c>
      <c r="S1329" t="str">
        <f>IF(Table1[[#This Row],[Days on Market]] &lt; 30,"Fast",IF(Table1[[#This Row],[Days on Market]]&lt;= 90,"Average", "Slow"))</f>
        <v>Slow</v>
      </c>
      <c r="T1329" t="str">
        <f>IF(Table1[[#This Row],[Price2]]&lt;500000,"Affordable",IF(Table1[[#This Row],[Price2]]&lt;1000000,"Mid range","Luxury"))</f>
        <v>Mid range</v>
      </c>
    </row>
    <row r="1330" spans="1:20" x14ac:dyDescent="0.35">
      <c r="A1330" s="3">
        <v>738309</v>
      </c>
      <c r="B1330" s="2" t="s">
        <v>27</v>
      </c>
      <c r="C1330">
        <v>72696</v>
      </c>
      <c r="D1330" s="2" t="s">
        <v>29</v>
      </c>
      <c r="E1330">
        <v>5</v>
      </c>
      <c r="F1330">
        <v>4</v>
      </c>
      <c r="G1330" s="4">
        <f>VALUE(SUBSTITUTE(SUBSTITUTE(Table1[[#This Row],[Price]],"$",""),",",""))</f>
        <v>738309</v>
      </c>
      <c r="H1330" s="1">
        <f>Table1[[#This Row],[Price2]]/Table1[[#This Row],[Area]]</f>
        <v>396.51396348012889</v>
      </c>
      <c r="I1330">
        <v>1862</v>
      </c>
      <c r="J1330">
        <v>2021</v>
      </c>
      <c r="K1330">
        <v>87</v>
      </c>
      <c r="L1330" t="s">
        <v>19</v>
      </c>
      <c r="M1330" t="s">
        <v>3017</v>
      </c>
      <c r="N1330" s="2" t="s">
        <v>3029</v>
      </c>
      <c r="O1330" t="s">
        <v>3030</v>
      </c>
      <c r="P1330" t="s">
        <v>16</v>
      </c>
      <c r="Q1330">
        <v>396.51396348012889</v>
      </c>
      <c r="R1330">
        <f ca="1">YEAR(TODAY())-Table1[[#This Row],[Year Built]]</f>
        <v>5</v>
      </c>
      <c r="S1330" t="str">
        <f>IF(Table1[[#This Row],[Days on Market]] &lt; 30,"Fast",IF(Table1[[#This Row],[Days on Market]]&lt;= 90,"Average", "Slow"))</f>
        <v>Average</v>
      </c>
      <c r="T1330" t="str">
        <f>IF(Table1[[#This Row],[Price2]]&lt;500000,"Affordable",IF(Table1[[#This Row],[Price2]]&lt;1000000,"Mid range","Luxury"))</f>
        <v>Mid range</v>
      </c>
    </row>
    <row r="1331" spans="1:20" x14ac:dyDescent="0.35">
      <c r="A1331" s="3">
        <v>738357</v>
      </c>
      <c r="B1331" s="2" t="s">
        <v>22</v>
      </c>
      <c r="C1331">
        <v>71318</v>
      </c>
      <c r="D1331" s="2" t="s">
        <v>29</v>
      </c>
      <c r="E1331">
        <v>5</v>
      </c>
      <c r="F1331">
        <v>3</v>
      </c>
      <c r="G1331" s="4">
        <f>VALUE(SUBSTITUTE(SUBSTITUTE(Table1[[#This Row],[Price]],"$",""),",",""))</f>
        <v>738357</v>
      </c>
      <c r="H1331" s="1">
        <f>Table1[[#This Row],[Price2]]/Table1[[#This Row],[Area]]</f>
        <v>627.32115548003401</v>
      </c>
      <c r="I1331">
        <v>1177</v>
      </c>
      <c r="J1331">
        <v>2015</v>
      </c>
      <c r="K1331">
        <v>35</v>
      </c>
      <c r="L1331" t="s">
        <v>30</v>
      </c>
      <c r="M1331" t="s">
        <v>31</v>
      </c>
      <c r="N1331" s="2" t="s">
        <v>3035</v>
      </c>
      <c r="O1331" t="s">
        <v>3036</v>
      </c>
      <c r="P1331" t="s">
        <v>26</v>
      </c>
      <c r="Q1331">
        <v>627.32115548003401</v>
      </c>
      <c r="R1331">
        <f ca="1">YEAR(TODAY())-Table1[[#This Row],[Year Built]]</f>
        <v>11</v>
      </c>
      <c r="S1331" t="str">
        <f>IF(Table1[[#This Row],[Days on Market]] &lt; 30,"Fast",IF(Table1[[#This Row],[Days on Market]]&lt;= 90,"Average", "Slow"))</f>
        <v>Average</v>
      </c>
      <c r="T1331" t="str">
        <f>IF(Table1[[#This Row],[Price2]]&lt;500000,"Affordable",IF(Table1[[#This Row],[Price2]]&lt;1000000,"Mid range","Luxury"))</f>
        <v>Mid range</v>
      </c>
    </row>
    <row r="1332" spans="1:20" x14ac:dyDescent="0.35">
      <c r="A1332" s="3">
        <v>738847</v>
      </c>
      <c r="B1332" s="2" t="s">
        <v>17</v>
      </c>
      <c r="C1332">
        <v>36357</v>
      </c>
      <c r="D1332" s="2" t="s">
        <v>13</v>
      </c>
      <c r="E1332">
        <v>4</v>
      </c>
      <c r="F1332">
        <v>4</v>
      </c>
      <c r="G1332" s="4">
        <f>VALUE(SUBSTITUTE(SUBSTITUTE(Table1[[#This Row],[Price]],"$",""),",",""))</f>
        <v>738847</v>
      </c>
      <c r="H1332" s="1">
        <f>Table1[[#This Row],[Price2]]/Table1[[#This Row],[Area]]</f>
        <v>318.74331320103539</v>
      </c>
      <c r="I1332">
        <v>2318</v>
      </c>
      <c r="J1332">
        <v>1977</v>
      </c>
      <c r="K1332">
        <v>26</v>
      </c>
      <c r="L1332" t="s">
        <v>19</v>
      </c>
      <c r="M1332" t="s">
        <v>406</v>
      </c>
      <c r="N1332" s="2" t="s">
        <v>3029</v>
      </c>
      <c r="O1332" t="s">
        <v>3030</v>
      </c>
      <c r="P1332" t="s">
        <v>21</v>
      </c>
      <c r="Q1332">
        <v>318.74331320103539</v>
      </c>
      <c r="R1332">
        <f ca="1">YEAR(TODAY())-Table1[[#This Row],[Year Built]]</f>
        <v>49</v>
      </c>
      <c r="S1332" t="str">
        <f>IF(Table1[[#This Row],[Days on Market]] &lt; 30,"Fast",IF(Table1[[#This Row],[Days on Market]]&lt;= 90,"Average", "Slow"))</f>
        <v>Fast</v>
      </c>
      <c r="T1332" t="str">
        <f>IF(Table1[[#This Row],[Price2]]&lt;500000,"Affordable",IF(Table1[[#This Row],[Price2]]&lt;1000000,"Mid range","Luxury"))</f>
        <v>Mid range</v>
      </c>
    </row>
    <row r="1333" spans="1:20" x14ac:dyDescent="0.35">
      <c r="A1333" s="3">
        <v>739335</v>
      </c>
      <c r="B1333" s="2" t="s">
        <v>27</v>
      </c>
      <c r="C1333">
        <v>39553</v>
      </c>
      <c r="D1333" s="2" t="s">
        <v>13</v>
      </c>
      <c r="E1333">
        <v>5</v>
      </c>
      <c r="F1333">
        <v>4</v>
      </c>
      <c r="G1333" s="4">
        <f>VALUE(SUBSTITUTE(SUBSTITUTE(Table1[[#This Row],[Price]],"$",""),",",""))</f>
        <v>739335</v>
      </c>
      <c r="H1333" s="1">
        <f>Table1[[#This Row],[Price2]]/Table1[[#This Row],[Area]]</f>
        <v>267.10079479768785</v>
      </c>
      <c r="I1333">
        <v>2768</v>
      </c>
      <c r="J1333">
        <v>2003</v>
      </c>
      <c r="K1333">
        <v>9</v>
      </c>
      <c r="L1333" t="s">
        <v>14</v>
      </c>
      <c r="M1333" t="s">
        <v>2350</v>
      </c>
      <c r="N1333" s="2" t="s">
        <v>3035</v>
      </c>
      <c r="O1333" t="s">
        <v>3036</v>
      </c>
      <c r="P1333" t="s">
        <v>16</v>
      </c>
      <c r="Q1333">
        <v>267.10079479768785</v>
      </c>
      <c r="R1333">
        <f ca="1">YEAR(TODAY())-Table1[[#This Row],[Year Built]]</f>
        <v>23</v>
      </c>
      <c r="S1333" t="str">
        <f>IF(Table1[[#This Row],[Days on Market]] &lt; 30,"Fast",IF(Table1[[#This Row],[Days on Market]]&lt;= 90,"Average", "Slow"))</f>
        <v>Fast</v>
      </c>
      <c r="T1333" t="str">
        <f>IF(Table1[[#This Row],[Price2]]&lt;500000,"Affordable",IF(Table1[[#This Row],[Price2]]&lt;1000000,"Mid range","Luxury"))</f>
        <v>Mid range</v>
      </c>
    </row>
    <row r="1334" spans="1:20" x14ac:dyDescent="0.35">
      <c r="A1334" s="3">
        <v>739866</v>
      </c>
      <c r="B1334" s="2" t="s">
        <v>12</v>
      </c>
      <c r="C1334">
        <v>11839</v>
      </c>
      <c r="D1334" s="2" t="s">
        <v>13</v>
      </c>
      <c r="E1334">
        <v>6</v>
      </c>
      <c r="F1334">
        <v>4</v>
      </c>
      <c r="G1334" s="4">
        <f>VALUE(SUBSTITUTE(SUBSTITUTE(Table1[[#This Row],[Price]],"$",""),",",""))</f>
        <v>739866</v>
      </c>
      <c r="H1334" s="1">
        <f>Table1[[#This Row],[Price2]]/Table1[[#This Row],[Area]]</f>
        <v>522.1354975299929</v>
      </c>
      <c r="I1334">
        <v>1417</v>
      </c>
      <c r="J1334">
        <v>1955</v>
      </c>
      <c r="K1334">
        <v>15</v>
      </c>
      <c r="L1334" t="s">
        <v>52</v>
      </c>
      <c r="M1334" t="s">
        <v>2829</v>
      </c>
      <c r="N1334" s="2" t="s">
        <v>3029</v>
      </c>
      <c r="O1334" t="s">
        <v>3030</v>
      </c>
      <c r="P1334" t="s">
        <v>21</v>
      </c>
      <c r="Q1334">
        <v>522.1354975299929</v>
      </c>
      <c r="R1334">
        <f ca="1">YEAR(TODAY())-Table1[[#This Row],[Year Built]]</f>
        <v>71</v>
      </c>
      <c r="S1334" t="str">
        <f>IF(Table1[[#This Row],[Days on Market]] &lt; 30,"Fast",IF(Table1[[#This Row],[Days on Market]]&lt;= 90,"Average", "Slow"))</f>
        <v>Fast</v>
      </c>
      <c r="T1334" t="str">
        <f>IF(Table1[[#This Row],[Price2]]&lt;500000,"Affordable",IF(Table1[[#This Row],[Price2]]&lt;1000000,"Mid range","Luxury"))</f>
        <v>Mid range</v>
      </c>
    </row>
    <row r="1335" spans="1:20" x14ac:dyDescent="0.35">
      <c r="A1335" s="3">
        <v>740207</v>
      </c>
      <c r="B1335" s="2" t="s">
        <v>34</v>
      </c>
      <c r="C1335">
        <v>68470</v>
      </c>
      <c r="D1335" s="2" t="s">
        <v>18</v>
      </c>
      <c r="E1335">
        <v>6</v>
      </c>
      <c r="F1335">
        <v>3</v>
      </c>
      <c r="G1335" s="4">
        <f>VALUE(SUBSTITUTE(SUBSTITUTE(Table1[[#This Row],[Price]],"$",""),",",""))</f>
        <v>740207</v>
      </c>
      <c r="H1335" s="1">
        <f>Table1[[#This Row],[Price2]]/Table1[[#This Row],[Area]]</f>
        <v>186.30933803171408</v>
      </c>
      <c r="I1335">
        <v>3973</v>
      </c>
      <c r="J1335">
        <v>1969</v>
      </c>
      <c r="K1335">
        <v>118</v>
      </c>
      <c r="L1335" t="s">
        <v>14</v>
      </c>
      <c r="M1335" t="s">
        <v>2244</v>
      </c>
      <c r="N1335" s="2" t="s">
        <v>3029</v>
      </c>
      <c r="O1335" t="s">
        <v>3030</v>
      </c>
      <c r="P1335" t="s">
        <v>21</v>
      </c>
      <c r="Q1335">
        <v>186.30933803171408</v>
      </c>
      <c r="R1335">
        <f ca="1">YEAR(TODAY())-Table1[[#This Row],[Year Built]]</f>
        <v>57</v>
      </c>
      <c r="S1335" t="str">
        <f>IF(Table1[[#This Row],[Days on Market]] &lt; 30,"Fast",IF(Table1[[#This Row],[Days on Market]]&lt;= 90,"Average", "Slow"))</f>
        <v>Slow</v>
      </c>
      <c r="T1335" t="str">
        <f>IF(Table1[[#This Row],[Price2]]&lt;500000,"Affordable",IF(Table1[[#This Row],[Price2]]&lt;1000000,"Mid range","Luxury"))</f>
        <v>Mid range</v>
      </c>
    </row>
    <row r="1336" spans="1:20" x14ac:dyDescent="0.35">
      <c r="A1336" s="3">
        <v>740412</v>
      </c>
      <c r="B1336" s="2" t="s">
        <v>12</v>
      </c>
      <c r="C1336">
        <v>68978</v>
      </c>
      <c r="D1336" s="2" t="s">
        <v>13</v>
      </c>
      <c r="E1336">
        <v>1</v>
      </c>
      <c r="F1336">
        <v>1</v>
      </c>
      <c r="G1336" s="4">
        <f>VALUE(SUBSTITUTE(SUBSTITUTE(Table1[[#This Row],[Price]],"$",""),",",""))</f>
        <v>740412</v>
      </c>
      <c r="H1336" s="1">
        <f>Table1[[#This Row],[Price2]]/Table1[[#This Row],[Area]]</f>
        <v>496.92080536912749</v>
      </c>
      <c r="I1336">
        <v>1490</v>
      </c>
      <c r="J1336">
        <v>1958</v>
      </c>
      <c r="K1336">
        <v>63</v>
      </c>
      <c r="L1336" t="s">
        <v>52</v>
      </c>
      <c r="M1336" t="s">
        <v>2083</v>
      </c>
      <c r="N1336" s="2" t="s">
        <v>3031</v>
      </c>
      <c r="O1336" t="s">
        <v>3032</v>
      </c>
      <c r="P1336" t="s">
        <v>26</v>
      </c>
      <c r="Q1336">
        <v>496.92080536912749</v>
      </c>
      <c r="R1336">
        <f ca="1">YEAR(TODAY())-Table1[[#This Row],[Year Built]]</f>
        <v>68</v>
      </c>
      <c r="S1336" t="str">
        <f>IF(Table1[[#This Row],[Days on Market]] &lt; 30,"Fast",IF(Table1[[#This Row],[Days on Market]]&lt;= 90,"Average", "Slow"))</f>
        <v>Average</v>
      </c>
      <c r="T1336" t="str">
        <f>IF(Table1[[#This Row],[Price2]]&lt;500000,"Affordable",IF(Table1[[#This Row],[Price2]]&lt;1000000,"Mid range","Luxury"))</f>
        <v>Mid range</v>
      </c>
    </row>
    <row r="1337" spans="1:20" x14ac:dyDescent="0.35">
      <c r="A1337" s="3">
        <v>740701</v>
      </c>
      <c r="B1337" s="2" t="s">
        <v>34</v>
      </c>
      <c r="C1337">
        <v>37026</v>
      </c>
      <c r="D1337" s="2" t="s">
        <v>35</v>
      </c>
      <c r="E1337">
        <v>2</v>
      </c>
      <c r="F1337">
        <v>2</v>
      </c>
      <c r="G1337" s="4">
        <f>VALUE(SUBSTITUTE(SUBSTITUTE(Table1[[#This Row],[Price]],"$",""),",",""))</f>
        <v>740701</v>
      </c>
      <c r="H1337" s="1">
        <f>Table1[[#This Row],[Price2]]/Table1[[#This Row],[Area]]</f>
        <v>220.05377302436125</v>
      </c>
      <c r="I1337">
        <v>3366</v>
      </c>
      <c r="J1337">
        <v>1988</v>
      </c>
      <c r="K1337">
        <v>41</v>
      </c>
      <c r="L1337" t="s">
        <v>19</v>
      </c>
      <c r="M1337" t="s">
        <v>1247</v>
      </c>
      <c r="N1337" s="2" t="s">
        <v>3035</v>
      </c>
      <c r="O1337" t="s">
        <v>3036</v>
      </c>
      <c r="P1337" t="s">
        <v>16</v>
      </c>
      <c r="Q1337">
        <v>220.05377302436125</v>
      </c>
      <c r="R1337">
        <f ca="1">YEAR(TODAY())-Table1[[#This Row],[Year Built]]</f>
        <v>38</v>
      </c>
      <c r="S1337" t="str">
        <f>IF(Table1[[#This Row],[Days on Market]] &lt; 30,"Fast",IF(Table1[[#This Row],[Days on Market]]&lt;= 90,"Average", "Slow"))</f>
        <v>Average</v>
      </c>
      <c r="T1337" t="str">
        <f>IF(Table1[[#This Row],[Price2]]&lt;500000,"Affordable",IF(Table1[[#This Row],[Price2]]&lt;1000000,"Mid range","Luxury"))</f>
        <v>Mid range</v>
      </c>
    </row>
    <row r="1338" spans="1:20" x14ac:dyDescent="0.35">
      <c r="A1338" s="3">
        <v>741445</v>
      </c>
      <c r="B1338" s="2" t="s">
        <v>34</v>
      </c>
      <c r="C1338">
        <v>71889</v>
      </c>
      <c r="D1338" s="2" t="s">
        <v>18</v>
      </c>
      <c r="E1338">
        <v>3</v>
      </c>
      <c r="F1338">
        <v>3</v>
      </c>
      <c r="G1338" s="4">
        <f>VALUE(SUBSTITUTE(SUBSTITUTE(Table1[[#This Row],[Price]],"$",""),",",""))</f>
        <v>741445</v>
      </c>
      <c r="H1338" s="1">
        <f>Table1[[#This Row],[Price2]]/Table1[[#This Row],[Area]]</f>
        <v>342.46882217090069</v>
      </c>
      <c r="I1338">
        <v>2165</v>
      </c>
      <c r="J1338">
        <v>2013</v>
      </c>
      <c r="K1338">
        <v>112</v>
      </c>
      <c r="L1338" t="s">
        <v>52</v>
      </c>
      <c r="M1338" t="s">
        <v>1215</v>
      </c>
      <c r="N1338" s="2" t="s">
        <v>3033</v>
      </c>
      <c r="O1338" t="s">
        <v>3034</v>
      </c>
      <c r="P1338" t="s">
        <v>26</v>
      </c>
      <c r="Q1338">
        <v>342.46882217090069</v>
      </c>
      <c r="R1338">
        <f ca="1">YEAR(TODAY())-Table1[[#This Row],[Year Built]]</f>
        <v>13</v>
      </c>
      <c r="S1338" t="str">
        <f>IF(Table1[[#This Row],[Days on Market]] &lt; 30,"Fast",IF(Table1[[#This Row],[Days on Market]]&lt;= 90,"Average", "Slow"))</f>
        <v>Slow</v>
      </c>
      <c r="T1338" t="str">
        <f>IF(Table1[[#This Row],[Price2]]&lt;500000,"Affordable",IF(Table1[[#This Row],[Price2]]&lt;1000000,"Mid range","Luxury"))</f>
        <v>Mid range</v>
      </c>
    </row>
    <row r="1339" spans="1:20" x14ac:dyDescent="0.35">
      <c r="A1339" s="3">
        <v>741530</v>
      </c>
      <c r="B1339" s="2" t="s">
        <v>17</v>
      </c>
      <c r="C1339">
        <v>75011</v>
      </c>
      <c r="D1339" s="2" t="s">
        <v>23</v>
      </c>
      <c r="E1339">
        <v>5</v>
      </c>
      <c r="F1339">
        <v>2</v>
      </c>
      <c r="G1339" s="4">
        <f>VALUE(SUBSTITUTE(SUBSTITUTE(Table1[[#This Row],[Price]],"$",""),",",""))</f>
        <v>741530</v>
      </c>
      <c r="H1339" s="1">
        <f>Table1[[#This Row],[Price2]]/Table1[[#This Row],[Area]]</f>
        <v>664.45340501792111</v>
      </c>
      <c r="I1339">
        <v>1116</v>
      </c>
      <c r="J1339">
        <v>2015</v>
      </c>
      <c r="K1339">
        <v>83</v>
      </c>
      <c r="L1339" t="s">
        <v>52</v>
      </c>
      <c r="M1339" t="s">
        <v>2911</v>
      </c>
      <c r="N1339" s="2" t="s">
        <v>3031</v>
      </c>
      <c r="O1339" t="s">
        <v>3032</v>
      </c>
      <c r="P1339" t="s">
        <v>16</v>
      </c>
      <c r="Q1339">
        <v>664.45340501792111</v>
      </c>
      <c r="R1339">
        <f ca="1">YEAR(TODAY())-Table1[[#This Row],[Year Built]]</f>
        <v>11</v>
      </c>
      <c r="S1339" t="str">
        <f>IF(Table1[[#This Row],[Days on Market]] &lt; 30,"Fast",IF(Table1[[#This Row],[Days on Market]]&lt;= 90,"Average", "Slow"))</f>
        <v>Average</v>
      </c>
      <c r="T1339" t="str">
        <f>IF(Table1[[#This Row],[Price2]]&lt;500000,"Affordable",IF(Table1[[#This Row],[Price2]]&lt;1000000,"Mid range","Luxury"))</f>
        <v>Mid range</v>
      </c>
    </row>
    <row r="1340" spans="1:20" x14ac:dyDescent="0.35">
      <c r="A1340" s="3">
        <v>741663</v>
      </c>
      <c r="B1340" s="2" t="s">
        <v>27</v>
      </c>
      <c r="C1340">
        <v>67671</v>
      </c>
      <c r="D1340" s="2" t="s">
        <v>35</v>
      </c>
      <c r="E1340">
        <v>1</v>
      </c>
      <c r="F1340">
        <v>2</v>
      </c>
      <c r="G1340" s="4">
        <f>VALUE(SUBSTITUTE(SUBSTITUTE(Table1[[#This Row],[Price]],"$",""),",",""))</f>
        <v>741663</v>
      </c>
      <c r="H1340" s="1">
        <f>Table1[[#This Row],[Price2]]/Table1[[#This Row],[Area]]</f>
        <v>298.69633507853405</v>
      </c>
      <c r="I1340">
        <v>2483</v>
      </c>
      <c r="J1340">
        <v>1998</v>
      </c>
      <c r="K1340">
        <v>70</v>
      </c>
      <c r="L1340" t="s">
        <v>40</v>
      </c>
      <c r="M1340" t="s">
        <v>1163</v>
      </c>
      <c r="N1340" s="2" t="s">
        <v>3027</v>
      </c>
      <c r="O1340" t="s">
        <v>3028</v>
      </c>
      <c r="P1340" t="s">
        <v>16</v>
      </c>
      <c r="Q1340">
        <v>298.69633507853405</v>
      </c>
      <c r="R1340">
        <f ca="1">YEAR(TODAY())-Table1[[#This Row],[Year Built]]</f>
        <v>28</v>
      </c>
      <c r="S1340" t="str">
        <f>IF(Table1[[#This Row],[Days on Market]] &lt; 30,"Fast",IF(Table1[[#This Row],[Days on Market]]&lt;= 90,"Average", "Slow"))</f>
        <v>Average</v>
      </c>
      <c r="T1340" t="str">
        <f>IF(Table1[[#This Row],[Price2]]&lt;500000,"Affordable",IF(Table1[[#This Row],[Price2]]&lt;1000000,"Mid range","Luxury"))</f>
        <v>Mid range</v>
      </c>
    </row>
    <row r="1341" spans="1:20" x14ac:dyDescent="0.35">
      <c r="A1341" s="3">
        <v>741710</v>
      </c>
      <c r="B1341" s="2" t="s">
        <v>22</v>
      </c>
      <c r="C1341">
        <v>61514</v>
      </c>
      <c r="D1341" s="2" t="s">
        <v>13</v>
      </c>
      <c r="E1341">
        <v>1</v>
      </c>
      <c r="F1341">
        <v>4</v>
      </c>
      <c r="G1341" s="4">
        <f>VALUE(SUBSTITUTE(SUBSTITUTE(Table1[[#This Row],[Price]],"$",""),",",""))</f>
        <v>741710</v>
      </c>
      <c r="H1341" s="1">
        <f>Table1[[#This Row],[Price2]]/Table1[[#This Row],[Area]]</f>
        <v>605.97222222222217</v>
      </c>
      <c r="I1341">
        <v>1224</v>
      </c>
      <c r="J1341">
        <v>2001</v>
      </c>
      <c r="K1341">
        <v>27</v>
      </c>
      <c r="L1341" t="s">
        <v>14</v>
      </c>
      <c r="M1341" t="s">
        <v>128</v>
      </c>
      <c r="N1341" s="2" t="s">
        <v>3031</v>
      </c>
      <c r="O1341" t="s">
        <v>3032</v>
      </c>
      <c r="P1341" t="s">
        <v>21</v>
      </c>
      <c r="Q1341">
        <v>605.97222222222217</v>
      </c>
      <c r="R1341">
        <f ca="1">YEAR(TODAY())-Table1[[#This Row],[Year Built]]</f>
        <v>25</v>
      </c>
      <c r="S1341" t="str">
        <f>IF(Table1[[#This Row],[Days on Market]] &lt; 30,"Fast",IF(Table1[[#This Row],[Days on Market]]&lt;= 90,"Average", "Slow"))</f>
        <v>Fast</v>
      </c>
      <c r="T1341" t="str">
        <f>IF(Table1[[#This Row],[Price2]]&lt;500000,"Affordable",IF(Table1[[#This Row],[Price2]]&lt;1000000,"Mid range","Luxury"))</f>
        <v>Mid range</v>
      </c>
    </row>
    <row r="1342" spans="1:20" x14ac:dyDescent="0.35">
      <c r="A1342" s="3">
        <v>742169</v>
      </c>
      <c r="B1342" s="2" t="s">
        <v>12</v>
      </c>
      <c r="C1342">
        <v>10416</v>
      </c>
      <c r="D1342" s="2" t="s">
        <v>35</v>
      </c>
      <c r="E1342">
        <v>3</v>
      </c>
      <c r="F1342">
        <v>3</v>
      </c>
      <c r="G1342" s="4">
        <f>VALUE(SUBSTITUTE(SUBSTITUTE(Table1[[#This Row],[Price]],"$",""),",",""))</f>
        <v>742169</v>
      </c>
      <c r="H1342" s="1">
        <f>Table1[[#This Row],[Price2]]/Table1[[#This Row],[Area]]</f>
        <v>229.63149752475246</v>
      </c>
      <c r="I1342">
        <v>3232</v>
      </c>
      <c r="J1342">
        <v>1967</v>
      </c>
      <c r="K1342">
        <v>115</v>
      </c>
      <c r="L1342" t="s">
        <v>14</v>
      </c>
      <c r="M1342" t="s">
        <v>1702</v>
      </c>
      <c r="N1342" s="2" t="s">
        <v>3027</v>
      </c>
      <c r="O1342" t="s">
        <v>3028</v>
      </c>
      <c r="P1342" t="s">
        <v>16</v>
      </c>
      <c r="Q1342">
        <v>229.63149752475246</v>
      </c>
      <c r="R1342">
        <f ca="1">YEAR(TODAY())-Table1[[#This Row],[Year Built]]</f>
        <v>59</v>
      </c>
      <c r="S1342" t="str">
        <f>IF(Table1[[#This Row],[Days on Market]] &lt; 30,"Fast",IF(Table1[[#This Row],[Days on Market]]&lt;= 90,"Average", "Slow"))</f>
        <v>Slow</v>
      </c>
      <c r="T1342" t="str">
        <f>IF(Table1[[#This Row],[Price2]]&lt;500000,"Affordable",IF(Table1[[#This Row],[Price2]]&lt;1000000,"Mid range","Luxury"))</f>
        <v>Mid range</v>
      </c>
    </row>
    <row r="1343" spans="1:20" x14ac:dyDescent="0.35">
      <c r="A1343" s="3">
        <v>742536</v>
      </c>
      <c r="B1343" s="2" t="s">
        <v>34</v>
      </c>
      <c r="C1343">
        <v>97889</v>
      </c>
      <c r="D1343" s="2" t="s">
        <v>35</v>
      </c>
      <c r="E1343">
        <v>3</v>
      </c>
      <c r="F1343">
        <v>4</v>
      </c>
      <c r="G1343" s="4">
        <f>VALUE(SUBSTITUTE(SUBSTITUTE(Table1[[#This Row],[Price]],"$",""),",",""))</f>
        <v>742536</v>
      </c>
      <c r="H1343" s="1">
        <f>Table1[[#This Row],[Price2]]/Table1[[#This Row],[Area]]</f>
        <v>1068.3971223021583</v>
      </c>
      <c r="I1343">
        <v>695</v>
      </c>
      <c r="J1343">
        <v>1971</v>
      </c>
      <c r="K1343">
        <v>58</v>
      </c>
      <c r="L1343" t="s">
        <v>14</v>
      </c>
      <c r="M1343" t="s">
        <v>943</v>
      </c>
      <c r="N1343" s="2" t="s">
        <v>3033</v>
      </c>
      <c r="O1343" t="s">
        <v>3034</v>
      </c>
      <c r="P1343" t="s">
        <v>16</v>
      </c>
      <c r="Q1343">
        <v>1068.3971223021583</v>
      </c>
      <c r="R1343">
        <f ca="1">YEAR(TODAY())-Table1[[#This Row],[Year Built]]</f>
        <v>55</v>
      </c>
      <c r="S1343" t="str">
        <f>IF(Table1[[#This Row],[Days on Market]] &lt; 30,"Fast",IF(Table1[[#This Row],[Days on Market]]&lt;= 90,"Average", "Slow"))</f>
        <v>Average</v>
      </c>
      <c r="T1343" t="str">
        <f>IF(Table1[[#This Row],[Price2]]&lt;500000,"Affordable",IF(Table1[[#This Row],[Price2]]&lt;1000000,"Mid range","Luxury"))</f>
        <v>Mid range</v>
      </c>
    </row>
    <row r="1344" spans="1:20" x14ac:dyDescent="0.35">
      <c r="A1344" s="3">
        <v>742610</v>
      </c>
      <c r="B1344" s="2" t="s">
        <v>27</v>
      </c>
      <c r="C1344">
        <v>93006</v>
      </c>
      <c r="D1344" s="2" t="s">
        <v>23</v>
      </c>
      <c r="E1344">
        <v>3</v>
      </c>
      <c r="F1344">
        <v>2</v>
      </c>
      <c r="G1344" s="4">
        <f>VALUE(SUBSTITUTE(SUBSTITUTE(Table1[[#This Row],[Price]],"$",""),",",""))</f>
        <v>742610</v>
      </c>
      <c r="H1344" s="1">
        <f>Table1[[#This Row],[Price2]]/Table1[[#This Row],[Area]]</f>
        <v>267.70367700072097</v>
      </c>
      <c r="I1344">
        <v>2774</v>
      </c>
      <c r="J1344">
        <v>1978</v>
      </c>
      <c r="K1344">
        <v>78</v>
      </c>
      <c r="L1344" t="s">
        <v>14</v>
      </c>
      <c r="M1344" t="s">
        <v>2515</v>
      </c>
      <c r="N1344" s="2" t="s">
        <v>3031</v>
      </c>
      <c r="O1344" t="s">
        <v>3032</v>
      </c>
      <c r="P1344" t="s">
        <v>21</v>
      </c>
      <c r="Q1344">
        <v>267.70367700072097</v>
      </c>
      <c r="R1344">
        <f ca="1">YEAR(TODAY())-Table1[[#This Row],[Year Built]]</f>
        <v>48</v>
      </c>
      <c r="S1344" t="str">
        <f>IF(Table1[[#This Row],[Days on Market]] &lt; 30,"Fast",IF(Table1[[#This Row],[Days on Market]]&lt;= 90,"Average", "Slow"))</f>
        <v>Average</v>
      </c>
      <c r="T1344" t="str">
        <f>IF(Table1[[#This Row],[Price2]]&lt;500000,"Affordable",IF(Table1[[#This Row],[Price2]]&lt;1000000,"Mid range","Luxury"))</f>
        <v>Mid range</v>
      </c>
    </row>
    <row r="1345" spans="1:20" x14ac:dyDescent="0.35">
      <c r="A1345" s="3">
        <v>742621</v>
      </c>
      <c r="B1345" s="2" t="s">
        <v>12</v>
      </c>
      <c r="C1345">
        <v>89949</v>
      </c>
      <c r="D1345" s="2" t="s">
        <v>23</v>
      </c>
      <c r="E1345">
        <v>2</v>
      </c>
      <c r="F1345">
        <v>1</v>
      </c>
      <c r="G1345" s="4">
        <f>VALUE(SUBSTITUTE(SUBSTITUTE(Table1[[#This Row],[Price]],"$",""),",",""))</f>
        <v>742621</v>
      </c>
      <c r="H1345" s="1">
        <f>Table1[[#This Row],[Price2]]/Table1[[#This Row],[Area]]</f>
        <v>415.56855064353664</v>
      </c>
      <c r="I1345">
        <v>1787</v>
      </c>
      <c r="J1345">
        <v>1988</v>
      </c>
      <c r="K1345">
        <v>18</v>
      </c>
      <c r="L1345" t="s">
        <v>40</v>
      </c>
      <c r="M1345" t="s">
        <v>2585</v>
      </c>
      <c r="N1345" s="2" t="s">
        <v>3031</v>
      </c>
      <c r="O1345" t="s">
        <v>3032</v>
      </c>
      <c r="P1345" t="s">
        <v>26</v>
      </c>
      <c r="Q1345">
        <v>415.56855064353664</v>
      </c>
      <c r="R1345">
        <f ca="1">YEAR(TODAY())-Table1[[#This Row],[Year Built]]</f>
        <v>38</v>
      </c>
      <c r="S1345" t="str">
        <f>IF(Table1[[#This Row],[Days on Market]] &lt; 30,"Fast",IF(Table1[[#This Row],[Days on Market]]&lt;= 90,"Average", "Slow"))</f>
        <v>Fast</v>
      </c>
      <c r="T1345" t="str">
        <f>IF(Table1[[#This Row],[Price2]]&lt;500000,"Affordable",IF(Table1[[#This Row],[Price2]]&lt;1000000,"Mid range","Luxury"))</f>
        <v>Mid range</v>
      </c>
    </row>
    <row r="1346" spans="1:20" x14ac:dyDescent="0.35">
      <c r="A1346" s="3">
        <v>743014</v>
      </c>
      <c r="B1346" s="2" t="s">
        <v>27</v>
      </c>
      <c r="C1346">
        <v>42337</v>
      </c>
      <c r="D1346" s="2" t="s">
        <v>29</v>
      </c>
      <c r="E1346">
        <v>5</v>
      </c>
      <c r="F1346">
        <v>4</v>
      </c>
      <c r="G1346" s="4">
        <f>VALUE(SUBSTITUTE(SUBSTITUTE(Table1[[#This Row],[Price]],"$",""),",",""))</f>
        <v>743014</v>
      </c>
      <c r="H1346" s="1">
        <f>Table1[[#This Row],[Price2]]/Table1[[#This Row],[Area]]</f>
        <v>493.04180491041802</v>
      </c>
      <c r="I1346">
        <v>1507</v>
      </c>
      <c r="J1346">
        <v>1983</v>
      </c>
      <c r="K1346">
        <v>112</v>
      </c>
      <c r="L1346" t="s">
        <v>30</v>
      </c>
      <c r="M1346" t="s">
        <v>496</v>
      </c>
      <c r="N1346" s="2" t="s">
        <v>3035</v>
      </c>
      <c r="O1346" t="s">
        <v>3036</v>
      </c>
      <c r="P1346" t="s">
        <v>21</v>
      </c>
      <c r="Q1346">
        <v>493.04180491041802</v>
      </c>
      <c r="R1346">
        <f ca="1">YEAR(TODAY())-Table1[[#This Row],[Year Built]]</f>
        <v>43</v>
      </c>
      <c r="S1346" t="str">
        <f>IF(Table1[[#This Row],[Days on Market]] &lt; 30,"Fast",IF(Table1[[#This Row],[Days on Market]]&lt;= 90,"Average", "Slow"))</f>
        <v>Slow</v>
      </c>
      <c r="T1346" t="str">
        <f>IF(Table1[[#This Row],[Price2]]&lt;500000,"Affordable",IF(Table1[[#This Row],[Price2]]&lt;1000000,"Mid range","Luxury"))</f>
        <v>Mid range</v>
      </c>
    </row>
    <row r="1347" spans="1:20" x14ac:dyDescent="0.35">
      <c r="A1347" s="3">
        <v>743513</v>
      </c>
      <c r="B1347" s="2" t="s">
        <v>17</v>
      </c>
      <c r="C1347">
        <v>62804</v>
      </c>
      <c r="D1347" s="2" t="s">
        <v>23</v>
      </c>
      <c r="E1347">
        <v>4</v>
      </c>
      <c r="F1347">
        <v>3</v>
      </c>
      <c r="G1347" s="4">
        <f>VALUE(SUBSTITUTE(SUBSTITUTE(Table1[[#This Row],[Price]],"$",""),",",""))</f>
        <v>743513</v>
      </c>
      <c r="H1347" s="1">
        <f>Table1[[#This Row],[Price2]]/Table1[[#This Row],[Area]]</f>
        <v>254.54056829852789</v>
      </c>
      <c r="I1347">
        <v>2921</v>
      </c>
      <c r="J1347">
        <v>2005</v>
      </c>
      <c r="K1347">
        <v>48</v>
      </c>
      <c r="L1347" t="s">
        <v>30</v>
      </c>
      <c r="M1347" t="s">
        <v>3024</v>
      </c>
      <c r="N1347" s="2" t="s">
        <v>3035</v>
      </c>
      <c r="O1347" t="s">
        <v>3036</v>
      </c>
      <c r="P1347" t="s">
        <v>21</v>
      </c>
      <c r="Q1347">
        <v>254.54056829852789</v>
      </c>
      <c r="R1347">
        <f ca="1">YEAR(TODAY())-Table1[[#This Row],[Year Built]]</f>
        <v>21</v>
      </c>
      <c r="S1347" t="str">
        <f>IF(Table1[[#This Row],[Days on Market]] &lt; 30,"Fast",IF(Table1[[#This Row],[Days on Market]]&lt;= 90,"Average", "Slow"))</f>
        <v>Average</v>
      </c>
      <c r="T1347" t="str">
        <f>IF(Table1[[#This Row],[Price2]]&lt;500000,"Affordable",IF(Table1[[#This Row],[Price2]]&lt;1000000,"Mid range","Luxury"))</f>
        <v>Mid range</v>
      </c>
    </row>
    <row r="1348" spans="1:20" x14ac:dyDescent="0.35">
      <c r="A1348" s="3">
        <v>744075</v>
      </c>
      <c r="B1348" s="2" t="s">
        <v>22</v>
      </c>
      <c r="C1348">
        <v>19965</v>
      </c>
      <c r="D1348" s="2" t="s">
        <v>35</v>
      </c>
      <c r="E1348">
        <v>3</v>
      </c>
      <c r="F1348">
        <v>3</v>
      </c>
      <c r="G1348" s="4">
        <f>VALUE(SUBSTITUTE(SUBSTITUTE(Table1[[#This Row],[Price]],"$",""),",",""))</f>
        <v>744075</v>
      </c>
      <c r="H1348" s="1">
        <f>Table1[[#This Row],[Price2]]/Table1[[#This Row],[Area]]</f>
        <v>398.75401929260448</v>
      </c>
      <c r="I1348">
        <v>1866</v>
      </c>
      <c r="J1348">
        <v>2002</v>
      </c>
      <c r="K1348">
        <v>116</v>
      </c>
      <c r="L1348" t="s">
        <v>19</v>
      </c>
      <c r="M1348" t="s">
        <v>2252</v>
      </c>
      <c r="N1348" s="2" t="s">
        <v>3027</v>
      </c>
      <c r="O1348" t="s">
        <v>3028</v>
      </c>
      <c r="P1348" t="s">
        <v>26</v>
      </c>
      <c r="Q1348">
        <v>398.75401929260448</v>
      </c>
      <c r="R1348">
        <f ca="1">YEAR(TODAY())-Table1[[#This Row],[Year Built]]</f>
        <v>24</v>
      </c>
      <c r="S1348" t="str">
        <f>IF(Table1[[#This Row],[Days on Market]] &lt; 30,"Fast",IF(Table1[[#This Row],[Days on Market]]&lt;= 90,"Average", "Slow"))</f>
        <v>Slow</v>
      </c>
      <c r="T1348" t="str">
        <f>IF(Table1[[#This Row],[Price2]]&lt;500000,"Affordable",IF(Table1[[#This Row],[Price2]]&lt;1000000,"Mid range","Luxury"))</f>
        <v>Mid range</v>
      </c>
    </row>
    <row r="1349" spans="1:20" x14ac:dyDescent="0.35">
      <c r="A1349" s="3">
        <v>744974</v>
      </c>
      <c r="B1349" s="2" t="s">
        <v>17</v>
      </c>
      <c r="C1349">
        <v>93761</v>
      </c>
      <c r="D1349" s="2" t="s">
        <v>13</v>
      </c>
      <c r="E1349">
        <v>5</v>
      </c>
      <c r="F1349">
        <v>2</v>
      </c>
      <c r="G1349" s="4">
        <f>VALUE(SUBSTITUTE(SUBSTITUTE(Table1[[#This Row],[Price]],"$",""),",",""))</f>
        <v>744974</v>
      </c>
      <c r="H1349" s="1">
        <f>Table1[[#This Row],[Price2]]/Table1[[#This Row],[Area]]</f>
        <v>659.26902654867251</v>
      </c>
      <c r="I1349">
        <v>1130</v>
      </c>
      <c r="J1349">
        <v>2018</v>
      </c>
      <c r="K1349">
        <v>77</v>
      </c>
      <c r="L1349" t="s">
        <v>52</v>
      </c>
      <c r="M1349" t="s">
        <v>2348</v>
      </c>
      <c r="N1349" s="2" t="s">
        <v>3031</v>
      </c>
      <c r="O1349" t="s">
        <v>3032</v>
      </c>
      <c r="P1349" t="s">
        <v>16</v>
      </c>
      <c r="Q1349">
        <v>659.26902654867251</v>
      </c>
      <c r="R1349">
        <f ca="1">YEAR(TODAY())-Table1[[#This Row],[Year Built]]</f>
        <v>8</v>
      </c>
      <c r="S1349" t="str">
        <f>IF(Table1[[#This Row],[Days on Market]] &lt; 30,"Fast",IF(Table1[[#This Row],[Days on Market]]&lt;= 90,"Average", "Slow"))</f>
        <v>Average</v>
      </c>
      <c r="T1349" t="str">
        <f>IF(Table1[[#This Row],[Price2]]&lt;500000,"Affordable",IF(Table1[[#This Row],[Price2]]&lt;1000000,"Mid range","Luxury"))</f>
        <v>Mid range</v>
      </c>
    </row>
    <row r="1350" spans="1:20" x14ac:dyDescent="0.35">
      <c r="A1350" s="3">
        <v>745190</v>
      </c>
      <c r="B1350" s="2" t="s">
        <v>27</v>
      </c>
      <c r="C1350">
        <v>95808</v>
      </c>
      <c r="D1350" s="2" t="s">
        <v>23</v>
      </c>
      <c r="E1350">
        <v>2</v>
      </c>
      <c r="F1350">
        <v>4</v>
      </c>
      <c r="G1350" s="4">
        <f>VALUE(SUBSTITUTE(SUBSTITUTE(Table1[[#This Row],[Price]],"$",""),",",""))</f>
        <v>745190</v>
      </c>
      <c r="H1350" s="1">
        <f>Table1[[#This Row],[Price2]]/Table1[[#This Row],[Area]]</f>
        <v>289.7317262830482</v>
      </c>
      <c r="I1350">
        <v>2572</v>
      </c>
      <c r="J1350">
        <v>1959</v>
      </c>
      <c r="K1350">
        <v>91</v>
      </c>
      <c r="L1350" t="s">
        <v>19</v>
      </c>
      <c r="M1350" t="s">
        <v>860</v>
      </c>
      <c r="N1350" s="2" t="s">
        <v>3031</v>
      </c>
      <c r="O1350" t="s">
        <v>3032</v>
      </c>
      <c r="P1350" t="s">
        <v>21</v>
      </c>
      <c r="Q1350">
        <v>289.7317262830482</v>
      </c>
      <c r="R1350">
        <f ca="1">YEAR(TODAY())-Table1[[#This Row],[Year Built]]</f>
        <v>67</v>
      </c>
      <c r="S1350" t="str">
        <f>IF(Table1[[#This Row],[Days on Market]] &lt; 30,"Fast",IF(Table1[[#This Row],[Days on Market]]&lt;= 90,"Average", "Slow"))</f>
        <v>Slow</v>
      </c>
      <c r="T1350" t="str">
        <f>IF(Table1[[#This Row],[Price2]]&lt;500000,"Affordable",IF(Table1[[#This Row],[Price2]]&lt;1000000,"Mid range","Luxury"))</f>
        <v>Mid range</v>
      </c>
    </row>
    <row r="1351" spans="1:20" x14ac:dyDescent="0.35">
      <c r="A1351" s="3">
        <v>745278</v>
      </c>
      <c r="B1351" s="2" t="s">
        <v>17</v>
      </c>
      <c r="C1351">
        <v>63254</v>
      </c>
      <c r="D1351" s="2" t="s">
        <v>29</v>
      </c>
      <c r="E1351">
        <v>5</v>
      </c>
      <c r="F1351">
        <v>2</v>
      </c>
      <c r="G1351" s="4">
        <f>VALUE(SUBSTITUTE(SUBSTITUTE(Table1[[#This Row],[Price]],"$",""),",",""))</f>
        <v>745278</v>
      </c>
      <c r="H1351" s="1">
        <f>Table1[[#This Row],[Price2]]/Table1[[#This Row],[Area]]</f>
        <v>393.70206022187006</v>
      </c>
      <c r="I1351">
        <v>1893</v>
      </c>
      <c r="J1351">
        <v>1975</v>
      </c>
      <c r="K1351">
        <v>95</v>
      </c>
      <c r="L1351" t="s">
        <v>52</v>
      </c>
      <c r="M1351" t="s">
        <v>2260</v>
      </c>
      <c r="N1351" s="2" t="s">
        <v>3029</v>
      </c>
      <c r="O1351" t="s">
        <v>3030</v>
      </c>
      <c r="P1351" t="s">
        <v>21</v>
      </c>
      <c r="Q1351">
        <v>393.70206022187006</v>
      </c>
      <c r="R1351">
        <f ca="1">YEAR(TODAY())-Table1[[#This Row],[Year Built]]</f>
        <v>51</v>
      </c>
      <c r="S1351" t="str">
        <f>IF(Table1[[#This Row],[Days on Market]] &lt; 30,"Fast",IF(Table1[[#This Row],[Days on Market]]&lt;= 90,"Average", "Slow"))</f>
        <v>Slow</v>
      </c>
      <c r="T1351" t="str">
        <f>IF(Table1[[#This Row],[Price2]]&lt;500000,"Affordable",IF(Table1[[#This Row],[Price2]]&lt;1000000,"Mid range","Luxury"))</f>
        <v>Mid range</v>
      </c>
    </row>
    <row r="1352" spans="1:20" x14ac:dyDescent="0.35">
      <c r="A1352" s="3">
        <v>745289</v>
      </c>
      <c r="B1352" s="2" t="s">
        <v>12</v>
      </c>
      <c r="C1352">
        <v>23788</v>
      </c>
      <c r="D1352" s="2" t="s">
        <v>13</v>
      </c>
      <c r="E1352">
        <v>4</v>
      </c>
      <c r="F1352">
        <v>2</v>
      </c>
      <c r="G1352" s="4">
        <f>VALUE(SUBSTITUTE(SUBSTITUTE(Table1[[#This Row],[Price]],"$",""),",",""))</f>
        <v>745289</v>
      </c>
      <c r="H1352" s="1">
        <f>Table1[[#This Row],[Price2]]/Table1[[#This Row],[Area]]</f>
        <v>709.79904761904766</v>
      </c>
      <c r="I1352">
        <v>1050</v>
      </c>
      <c r="J1352">
        <v>1975</v>
      </c>
      <c r="K1352">
        <v>64</v>
      </c>
      <c r="L1352" t="s">
        <v>14</v>
      </c>
      <c r="M1352" t="s">
        <v>864</v>
      </c>
      <c r="N1352" s="2" t="s">
        <v>3033</v>
      </c>
      <c r="O1352" t="s">
        <v>3034</v>
      </c>
      <c r="P1352" t="s">
        <v>26</v>
      </c>
      <c r="Q1352">
        <v>709.79904761904766</v>
      </c>
      <c r="R1352">
        <f ca="1">YEAR(TODAY())-Table1[[#This Row],[Year Built]]</f>
        <v>51</v>
      </c>
      <c r="S1352" t="str">
        <f>IF(Table1[[#This Row],[Days on Market]] &lt; 30,"Fast",IF(Table1[[#This Row],[Days on Market]]&lt;= 90,"Average", "Slow"))</f>
        <v>Average</v>
      </c>
      <c r="T1352" t="str">
        <f>IF(Table1[[#This Row],[Price2]]&lt;500000,"Affordable",IF(Table1[[#This Row],[Price2]]&lt;1000000,"Mid range","Luxury"))</f>
        <v>Mid range</v>
      </c>
    </row>
    <row r="1353" spans="1:20" x14ac:dyDescent="0.35">
      <c r="A1353" s="3">
        <v>745415</v>
      </c>
      <c r="B1353" s="2" t="s">
        <v>17</v>
      </c>
      <c r="C1353">
        <v>38628</v>
      </c>
      <c r="D1353" s="2" t="s">
        <v>35</v>
      </c>
      <c r="E1353">
        <v>2</v>
      </c>
      <c r="F1353">
        <v>1</v>
      </c>
      <c r="G1353" s="4">
        <f>VALUE(SUBSTITUTE(SUBSTITUTE(Table1[[#This Row],[Price]],"$",""),",",""))</f>
        <v>745415</v>
      </c>
      <c r="H1353" s="1">
        <f>Table1[[#This Row],[Price2]]/Table1[[#This Row],[Area]]</f>
        <v>623.77824267782432</v>
      </c>
      <c r="I1353">
        <v>1195</v>
      </c>
      <c r="J1353">
        <v>1955</v>
      </c>
      <c r="K1353">
        <v>48</v>
      </c>
      <c r="L1353" t="s">
        <v>40</v>
      </c>
      <c r="M1353" t="s">
        <v>2377</v>
      </c>
      <c r="N1353" s="2" t="s">
        <v>3027</v>
      </c>
      <c r="O1353" t="s">
        <v>3028</v>
      </c>
      <c r="P1353" t="s">
        <v>16</v>
      </c>
      <c r="Q1353">
        <v>623.77824267782432</v>
      </c>
      <c r="R1353">
        <f ca="1">YEAR(TODAY())-Table1[[#This Row],[Year Built]]</f>
        <v>71</v>
      </c>
      <c r="S1353" t="str">
        <f>IF(Table1[[#This Row],[Days on Market]] &lt; 30,"Fast",IF(Table1[[#This Row],[Days on Market]]&lt;= 90,"Average", "Slow"))</f>
        <v>Average</v>
      </c>
      <c r="T1353" t="str">
        <f>IF(Table1[[#This Row],[Price2]]&lt;500000,"Affordable",IF(Table1[[#This Row],[Price2]]&lt;1000000,"Mid range","Luxury"))</f>
        <v>Mid range</v>
      </c>
    </row>
    <row r="1354" spans="1:20" x14ac:dyDescent="0.35">
      <c r="A1354" s="3">
        <v>745730</v>
      </c>
      <c r="B1354" s="2" t="s">
        <v>17</v>
      </c>
      <c r="C1354">
        <v>16001</v>
      </c>
      <c r="D1354" s="2" t="s">
        <v>23</v>
      </c>
      <c r="E1354">
        <v>1</v>
      </c>
      <c r="F1354">
        <v>1</v>
      </c>
      <c r="G1354" s="4">
        <f>VALUE(SUBSTITUTE(SUBSTITUTE(Table1[[#This Row],[Price]],"$",""),",",""))</f>
        <v>745730</v>
      </c>
      <c r="H1354" s="1">
        <f>Table1[[#This Row],[Price2]]/Table1[[#This Row],[Area]]</f>
        <v>248.74249499666445</v>
      </c>
      <c r="I1354">
        <v>2998</v>
      </c>
      <c r="J1354">
        <v>1992</v>
      </c>
      <c r="K1354">
        <v>38</v>
      </c>
      <c r="L1354" t="s">
        <v>40</v>
      </c>
      <c r="M1354" t="s">
        <v>1190</v>
      </c>
      <c r="N1354" s="2" t="s">
        <v>3029</v>
      </c>
      <c r="O1354" t="s">
        <v>3030</v>
      </c>
      <c r="P1354" t="s">
        <v>26</v>
      </c>
      <c r="Q1354">
        <v>248.74249499666445</v>
      </c>
      <c r="R1354">
        <f ca="1">YEAR(TODAY())-Table1[[#This Row],[Year Built]]</f>
        <v>34</v>
      </c>
      <c r="S1354" t="str">
        <f>IF(Table1[[#This Row],[Days on Market]] &lt; 30,"Fast",IF(Table1[[#This Row],[Days on Market]]&lt;= 90,"Average", "Slow"))</f>
        <v>Average</v>
      </c>
      <c r="T1354" t="str">
        <f>IF(Table1[[#This Row],[Price2]]&lt;500000,"Affordable",IF(Table1[[#This Row],[Price2]]&lt;1000000,"Mid range","Luxury"))</f>
        <v>Mid range</v>
      </c>
    </row>
    <row r="1355" spans="1:20" x14ac:dyDescent="0.35">
      <c r="A1355" s="3">
        <v>745981</v>
      </c>
      <c r="B1355" s="2" t="s">
        <v>34</v>
      </c>
      <c r="C1355">
        <v>21233</v>
      </c>
      <c r="D1355" s="2" t="s">
        <v>35</v>
      </c>
      <c r="E1355">
        <v>4</v>
      </c>
      <c r="F1355">
        <v>2</v>
      </c>
      <c r="G1355" s="4">
        <f>VALUE(SUBSTITUTE(SUBSTITUTE(Table1[[#This Row],[Price]],"$",""),",",""))</f>
        <v>745981</v>
      </c>
      <c r="H1355" s="1">
        <f>Table1[[#This Row],[Price2]]/Table1[[#This Row],[Area]]</f>
        <v>1014.9401360544217</v>
      </c>
      <c r="I1355">
        <v>735</v>
      </c>
      <c r="J1355">
        <v>1992</v>
      </c>
      <c r="K1355">
        <v>69</v>
      </c>
      <c r="L1355" t="s">
        <v>19</v>
      </c>
      <c r="M1355" t="s">
        <v>2411</v>
      </c>
      <c r="N1355" s="2" t="s">
        <v>3029</v>
      </c>
      <c r="O1355" t="s">
        <v>3030</v>
      </c>
      <c r="P1355" t="s">
        <v>26</v>
      </c>
      <c r="Q1355">
        <v>1014.9401360544217</v>
      </c>
      <c r="R1355">
        <f ca="1">YEAR(TODAY())-Table1[[#This Row],[Year Built]]</f>
        <v>34</v>
      </c>
      <c r="S1355" t="str">
        <f>IF(Table1[[#This Row],[Days on Market]] &lt; 30,"Fast",IF(Table1[[#This Row],[Days on Market]]&lt;= 90,"Average", "Slow"))</f>
        <v>Average</v>
      </c>
      <c r="T1355" t="str">
        <f>IF(Table1[[#This Row],[Price2]]&lt;500000,"Affordable",IF(Table1[[#This Row],[Price2]]&lt;1000000,"Mid range","Luxury"))</f>
        <v>Mid range</v>
      </c>
    </row>
    <row r="1356" spans="1:20" x14ac:dyDescent="0.35">
      <c r="A1356" s="3">
        <v>746966</v>
      </c>
      <c r="B1356" s="2" t="s">
        <v>17</v>
      </c>
      <c r="C1356">
        <v>33519</v>
      </c>
      <c r="D1356" s="2" t="s">
        <v>23</v>
      </c>
      <c r="E1356">
        <v>4</v>
      </c>
      <c r="F1356">
        <v>2</v>
      </c>
      <c r="G1356" s="4">
        <f>VALUE(SUBSTITUTE(SUBSTITUTE(Table1[[#This Row],[Price]],"$",""),",",""))</f>
        <v>746966</v>
      </c>
      <c r="H1356" s="1">
        <f>Table1[[#This Row],[Price2]]/Table1[[#This Row],[Area]]</f>
        <v>435.80280046674443</v>
      </c>
      <c r="I1356">
        <v>1714</v>
      </c>
      <c r="J1356">
        <v>2022</v>
      </c>
      <c r="K1356">
        <v>102</v>
      </c>
      <c r="L1356" t="s">
        <v>40</v>
      </c>
      <c r="M1356" t="s">
        <v>350</v>
      </c>
      <c r="N1356" s="2" t="s">
        <v>3027</v>
      </c>
      <c r="O1356" t="s">
        <v>3028</v>
      </c>
      <c r="P1356" t="s">
        <v>21</v>
      </c>
      <c r="Q1356">
        <v>435.80280046674443</v>
      </c>
      <c r="R1356">
        <f ca="1">YEAR(TODAY())-Table1[[#This Row],[Year Built]]</f>
        <v>4</v>
      </c>
      <c r="S1356" t="str">
        <f>IF(Table1[[#This Row],[Days on Market]] &lt; 30,"Fast",IF(Table1[[#This Row],[Days on Market]]&lt;= 90,"Average", "Slow"))</f>
        <v>Slow</v>
      </c>
      <c r="T1356" t="str">
        <f>IF(Table1[[#This Row],[Price2]]&lt;500000,"Affordable",IF(Table1[[#This Row],[Price2]]&lt;1000000,"Mid range","Luxury"))</f>
        <v>Mid range</v>
      </c>
    </row>
    <row r="1357" spans="1:20" x14ac:dyDescent="0.35">
      <c r="A1357" s="3">
        <v>747218</v>
      </c>
      <c r="B1357" s="2" t="s">
        <v>12</v>
      </c>
      <c r="C1357">
        <v>58001</v>
      </c>
      <c r="D1357" s="2" t="s">
        <v>13</v>
      </c>
      <c r="E1357">
        <v>3</v>
      </c>
      <c r="F1357">
        <v>4</v>
      </c>
      <c r="G1357" s="4">
        <f>VALUE(SUBSTITUTE(SUBSTITUTE(Table1[[#This Row],[Price]],"$",""),",",""))</f>
        <v>747218</v>
      </c>
      <c r="H1357" s="1">
        <f>Table1[[#This Row],[Price2]]/Table1[[#This Row],[Area]]</f>
        <v>284.87152115897828</v>
      </c>
      <c r="I1357">
        <v>2623</v>
      </c>
      <c r="J1357">
        <v>2020</v>
      </c>
      <c r="K1357">
        <v>44</v>
      </c>
      <c r="L1357" t="s">
        <v>40</v>
      </c>
      <c r="M1357" t="s">
        <v>236</v>
      </c>
      <c r="N1357" s="2" t="s">
        <v>3029</v>
      </c>
      <c r="O1357" t="s">
        <v>3030</v>
      </c>
      <c r="P1357" t="s">
        <v>16</v>
      </c>
      <c r="Q1357">
        <v>284.87152115897828</v>
      </c>
      <c r="R1357">
        <f ca="1">YEAR(TODAY())-Table1[[#This Row],[Year Built]]</f>
        <v>6</v>
      </c>
      <c r="S1357" t="str">
        <f>IF(Table1[[#This Row],[Days on Market]] &lt; 30,"Fast",IF(Table1[[#This Row],[Days on Market]]&lt;= 90,"Average", "Slow"))</f>
        <v>Average</v>
      </c>
      <c r="T1357" t="str">
        <f>IF(Table1[[#This Row],[Price2]]&lt;500000,"Affordable",IF(Table1[[#This Row],[Price2]]&lt;1000000,"Mid range","Luxury"))</f>
        <v>Mid range</v>
      </c>
    </row>
    <row r="1358" spans="1:20" x14ac:dyDescent="0.35">
      <c r="A1358" s="3">
        <v>748347</v>
      </c>
      <c r="B1358" s="2" t="s">
        <v>22</v>
      </c>
      <c r="C1358">
        <v>60507</v>
      </c>
      <c r="D1358" s="2" t="s">
        <v>35</v>
      </c>
      <c r="E1358">
        <v>3</v>
      </c>
      <c r="F1358">
        <v>3</v>
      </c>
      <c r="G1358" s="4">
        <f>VALUE(SUBSTITUTE(SUBSTITUTE(Table1[[#This Row],[Price]],"$",""),",",""))</f>
        <v>748347</v>
      </c>
      <c r="H1358" s="1">
        <f>Table1[[#This Row],[Price2]]/Table1[[#This Row],[Area]]</f>
        <v>295.7893280632411</v>
      </c>
      <c r="I1358">
        <v>2530</v>
      </c>
      <c r="J1358">
        <v>1976</v>
      </c>
      <c r="K1358">
        <v>100</v>
      </c>
      <c r="L1358" t="s">
        <v>19</v>
      </c>
      <c r="M1358" t="s">
        <v>2120</v>
      </c>
      <c r="N1358" s="2" t="s">
        <v>3033</v>
      </c>
      <c r="O1358" t="s">
        <v>3034</v>
      </c>
      <c r="P1358" t="s">
        <v>26</v>
      </c>
      <c r="Q1358">
        <v>295.7893280632411</v>
      </c>
      <c r="R1358">
        <f ca="1">YEAR(TODAY())-Table1[[#This Row],[Year Built]]</f>
        <v>50</v>
      </c>
      <c r="S1358" t="str">
        <f>IF(Table1[[#This Row],[Days on Market]] &lt; 30,"Fast",IF(Table1[[#This Row],[Days on Market]]&lt;= 90,"Average", "Slow"))</f>
        <v>Slow</v>
      </c>
      <c r="T1358" t="str">
        <f>IF(Table1[[#This Row],[Price2]]&lt;500000,"Affordable",IF(Table1[[#This Row],[Price2]]&lt;1000000,"Mid range","Luxury"))</f>
        <v>Mid range</v>
      </c>
    </row>
    <row r="1359" spans="1:20" x14ac:dyDescent="0.35">
      <c r="A1359" s="3">
        <v>748777</v>
      </c>
      <c r="B1359" s="2" t="s">
        <v>22</v>
      </c>
      <c r="C1359">
        <v>21455</v>
      </c>
      <c r="D1359" s="2" t="s">
        <v>18</v>
      </c>
      <c r="E1359">
        <v>2</v>
      </c>
      <c r="F1359">
        <v>1</v>
      </c>
      <c r="G1359" s="4">
        <f>VALUE(SUBSTITUTE(SUBSTITUTE(Table1[[#This Row],[Price]],"$",""),",",""))</f>
        <v>748777</v>
      </c>
      <c r="H1359" s="1">
        <f>Table1[[#This Row],[Price2]]/Table1[[#This Row],[Area]]</f>
        <v>259.45148995148998</v>
      </c>
      <c r="I1359">
        <v>2886</v>
      </c>
      <c r="J1359">
        <v>1975</v>
      </c>
      <c r="K1359">
        <v>9</v>
      </c>
      <c r="L1359" t="s">
        <v>19</v>
      </c>
      <c r="M1359" t="s">
        <v>1518</v>
      </c>
      <c r="N1359" s="2" t="s">
        <v>3031</v>
      </c>
      <c r="O1359" t="s">
        <v>3032</v>
      </c>
      <c r="P1359" t="s">
        <v>26</v>
      </c>
      <c r="Q1359">
        <v>259.45148995148998</v>
      </c>
      <c r="R1359">
        <f ca="1">YEAR(TODAY())-Table1[[#This Row],[Year Built]]</f>
        <v>51</v>
      </c>
      <c r="S1359" t="str">
        <f>IF(Table1[[#This Row],[Days on Market]] &lt; 30,"Fast",IF(Table1[[#This Row],[Days on Market]]&lt;= 90,"Average", "Slow"))</f>
        <v>Fast</v>
      </c>
      <c r="T1359" t="str">
        <f>IF(Table1[[#This Row],[Price2]]&lt;500000,"Affordable",IF(Table1[[#This Row],[Price2]]&lt;1000000,"Mid range","Luxury"))</f>
        <v>Mid range</v>
      </c>
    </row>
    <row r="1360" spans="1:20" x14ac:dyDescent="0.35">
      <c r="A1360" s="3">
        <v>749601</v>
      </c>
      <c r="B1360" s="2" t="s">
        <v>17</v>
      </c>
      <c r="C1360">
        <v>83413</v>
      </c>
      <c r="D1360" s="2" t="s">
        <v>29</v>
      </c>
      <c r="E1360">
        <v>4</v>
      </c>
      <c r="F1360">
        <v>4</v>
      </c>
      <c r="G1360" s="4">
        <f>VALUE(SUBSTITUTE(SUBSTITUTE(Table1[[#This Row],[Price]],"$",""),",",""))</f>
        <v>749601</v>
      </c>
      <c r="H1360" s="1">
        <f>Table1[[#This Row],[Price2]]/Table1[[#This Row],[Area]]</f>
        <v>314.56189676877887</v>
      </c>
      <c r="I1360">
        <v>2383</v>
      </c>
      <c r="J1360">
        <v>1988</v>
      </c>
      <c r="K1360">
        <v>11</v>
      </c>
      <c r="L1360" t="s">
        <v>40</v>
      </c>
      <c r="M1360" t="s">
        <v>2090</v>
      </c>
      <c r="N1360" s="2" t="s">
        <v>3027</v>
      </c>
      <c r="O1360" t="s">
        <v>3028</v>
      </c>
      <c r="P1360" t="s">
        <v>26</v>
      </c>
      <c r="Q1360">
        <v>314.56189676877887</v>
      </c>
      <c r="R1360">
        <f ca="1">YEAR(TODAY())-Table1[[#This Row],[Year Built]]</f>
        <v>38</v>
      </c>
      <c r="S1360" t="str">
        <f>IF(Table1[[#This Row],[Days on Market]] &lt; 30,"Fast",IF(Table1[[#This Row],[Days on Market]]&lt;= 90,"Average", "Slow"))</f>
        <v>Fast</v>
      </c>
      <c r="T1360" t="str">
        <f>IF(Table1[[#This Row],[Price2]]&lt;500000,"Affordable",IF(Table1[[#This Row],[Price2]]&lt;1000000,"Mid range","Luxury"))</f>
        <v>Mid range</v>
      </c>
    </row>
    <row r="1361" spans="1:20" x14ac:dyDescent="0.35">
      <c r="A1361" s="3">
        <v>749627</v>
      </c>
      <c r="B1361" s="2" t="s">
        <v>22</v>
      </c>
      <c r="C1361">
        <v>51738</v>
      </c>
      <c r="D1361" s="2" t="s">
        <v>18</v>
      </c>
      <c r="E1361">
        <v>1</v>
      </c>
      <c r="F1361">
        <v>4</v>
      </c>
      <c r="G1361" s="4">
        <f>VALUE(SUBSTITUTE(SUBSTITUTE(Table1[[#This Row],[Price]],"$",""),",",""))</f>
        <v>749627</v>
      </c>
      <c r="H1361" s="1">
        <f>Table1[[#This Row],[Price2]]/Table1[[#This Row],[Area]]</f>
        <v>212.05855728429987</v>
      </c>
      <c r="I1361">
        <v>3535</v>
      </c>
      <c r="J1361">
        <v>1971</v>
      </c>
      <c r="K1361">
        <v>108</v>
      </c>
      <c r="L1361" t="s">
        <v>30</v>
      </c>
      <c r="M1361" t="s">
        <v>2762</v>
      </c>
      <c r="N1361" s="2" t="s">
        <v>3031</v>
      </c>
      <c r="O1361" t="s">
        <v>3032</v>
      </c>
      <c r="P1361" t="s">
        <v>16</v>
      </c>
      <c r="Q1361">
        <v>212.05855728429987</v>
      </c>
      <c r="R1361">
        <f ca="1">YEAR(TODAY())-Table1[[#This Row],[Year Built]]</f>
        <v>55</v>
      </c>
      <c r="S1361" t="str">
        <f>IF(Table1[[#This Row],[Days on Market]] &lt; 30,"Fast",IF(Table1[[#This Row],[Days on Market]]&lt;= 90,"Average", "Slow"))</f>
        <v>Slow</v>
      </c>
      <c r="T1361" t="str">
        <f>IF(Table1[[#This Row],[Price2]]&lt;500000,"Affordable",IF(Table1[[#This Row],[Price2]]&lt;1000000,"Mid range","Luxury"))</f>
        <v>Mid range</v>
      </c>
    </row>
    <row r="1362" spans="1:20" x14ac:dyDescent="0.35">
      <c r="A1362" s="3">
        <v>749878</v>
      </c>
      <c r="B1362" s="2" t="s">
        <v>22</v>
      </c>
      <c r="C1362">
        <v>52085</v>
      </c>
      <c r="D1362" s="2" t="s">
        <v>23</v>
      </c>
      <c r="E1362">
        <v>6</v>
      </c>
      <c r="F1362">
        <v>4</v>
      </c>
      <c r="G1362" s="4">
        <f>VALUE(SUBSTITUTE(SUBSTITUTE(Table1[[#This Row],[Price]],"$",""),",",""))</f>
        <v>749878</v>
      </c>
      <c r="H1362" s="1">
        <f>Table1[[#This Row],[Price2]]/Table1[[#This Row],[Area]]</f>
        <v>711.45920303605317</v>
      </c>
      <c r="I1362">
        <v>1054</v>
      </c>
      <c r="J1362">
        <v>1973</v>
      </c>
      <c r="K1362">
        <v>4</v>
      </c>
      <c r="L1362" t="s">
        <v>52</v>
      </c>
      <c r="M1362" t="s">
        <v>2296</v>
      </c>
      <c r="N1362" s="2" t="s">
        <v>3031</v>
      </c>
      <c r="O1362" t="s">
        <v>3032</v>
      </c>
      <c r="P1362" t="s">
        <v>26</v>
      </c>
      <c r="Q1362">
        <v>711.45920303605317</v>
      </c>
      <c r="R1362">
        <f ca="1">YEAR(TODAY())-Table1[[#This Row],[Year Built]]</f>
        <v>53</v>
      </c>
      <c r="S1362" t="str">
        <f>IF(Table1[[#This Row],[Days on Market]] &lt; 30,"Fast",IF(Table1[[#This Row],[Days on Market]]&lt;= 90,"Average", "Slow"))</f>
        <v>Fast</v>
      </c>
      <c r="T1362" t="str">
        <f>IF(Table1[[#This Row],[Price2]]&lt;500000,"Affordable",IF(Table1[[#This Row],[Price2]]&lt;1000000,"Mid range","Luxury"))</f>
        <v>Mid range</v>
      </c>
    </row>
    <row r="1363" spans="1:20" x14ac:dyDescent="0.35">
      <c r="A1363" s="3">
        <v>750711</v>
      </c>
      <c r="B1363" s="2" t="s">
        <v>27</v>
      </c>
      <c r="C1363">
        <v>33826</v>
      </c>
      <c r="D1363" s="2" t="s">
        <v>29</v>
      </c>
      <c r="E1363">
        <v>2</v>
      </c>
      <c r="F1363">
        <v>4</v>
      </c>
      <c r="G1363" s="4">
        <f>VALUE(SUBSTITUTE(SUBSTITUTE(Table1[[#This Row],[Price]],"$",""),",",""))</f>
        <v>750711</v>
      </c>
      <c r="H1363" s="1">
        <f>Table1[[#This Row],[Price2]]/Table1[[#This Row],[Area]]</f>
        <v>1051.4159663865546</v>
      </c>
      <c r="I1363">
        <v>714</v>
      </c>
      <c r="J1363">
        <v>1959</v>
      </c>
      <c r="K1363">
        <v>98</v>
      </c>
      <c r="L1363" t="s">
        <v>40</v>
      </c>
      <c r="M1363" t="s">
        <v>385</v>
      </c>
      <c r="N1363" s="2" t="s">
        <v>3027</v>
      </c>
      <c r="O1363" t="s">
        <v>3028</v>
      </c>
      <c r="P1363" t="s">
        <v>21</v>
      </c>
      <c r="Q1363">
        <v>1051.4159663865546</v>
      </c>
      <c r="R1363">
        <f ca="1">YEAR(TODAY())-Table1[[#This Row],[Year Built]]</f>
        <v>67</v>
      </c>
      <c r="S1363" t="str">
        <f>IF(Table1[[#This Row],[Days on Market]] &lt; 30,"Fast",IF(Table1[[#This Row],[Days on Market]]&lt;= 90,"Average", "Slow"))</f>
        <v>Slow</v>
      </c>
      <c r="T1363" t="str">
        <f>IF(Table1[[#This Row],[Price2]]&lt;500000,"Affordable",IF(Table1[[#This Row],[Price2]]&lt;1000000,"Mid range","Luxury"))</f>
        <v>Mid range</v>
      </c>
    </row>
    <row r="1364" spans="1:20" x14ac:dyDescent="0.35">
      <c r="A1364" s="3">
        <v>751038</v>
      </c>
      <c r="B1364" s="2" t="s">
        <v>17</v>
      </c>
      <c r="C1364">
        <v>92714</v>
      </c>
      <c r="D1364" s="2" t="s">
        <v>23</v>
      </c>
      <c r="E1364">
        <v>3</v>
      </c>
      <c r="F1364">
        <v>1</v>
      </c>
      <c r="G1364" s="4">
        <f>VALUE(SUBSTITUTE(SUBSTITUTE(Table1[[#This Row],[Price]],"$",""),",",""))</f>
        <v>751038</v>
      </c>
      <c r="H1364" s="1">
        <f>Table1[[#This Row],[Price2]]/Table1[[#This Row],[Area]]</f>
        <v>269.47900968783637</v>
      </c>
      <c r="I1364">
        <v>2787</v>
      </c>
      <c r="J1364">
        <v>1980</v>
      </c>
      <c r="K1364">
        <v>83</v>
      </c>
      <c r="L1364" t="s">
        <v>40</v>
      </c>
      <c r="M1364" t="s">
        <v>1489</v>
      </c>
      <c r="N1364" s="2" t="s">
        <v>3031</v>
      </c>
      <c r="O1364" t="s">
        <v>3032</v>
      </c>
      <c r="P1364" t="s">
        <v>21</v>
      </c>
      <c r="Q1364">
        <v>269.47900968783637</v>
      </c>
      <c r="R1364">
        <f ca="1">YEAR(TODAY())-Table1[[#This Row],[Year Built]]</f>
        <v>46</v>
      </c>
      <c r="S1364" t="str">
        <f>IF(Table1[[#This Row],[Days on Market]] &lt; 30,"Fast",IF(Table1[[#This Row],[Days on Market]]&lt;= 90,"Average", "Slow"))</f>
        <v>Average</v>
      </c>
      <c r="T1364" t="str">
        <f>IF(Table1[[#This Row],[Price2]]&lt;500000,"Affordable",IF(Table1[[#This Row],[Price2]]&lt;1000000,"Mid range","Luxury"))</f>
        <v>Mid range</v>
      </c>
    </row>
    <row r="1365" spans="1:20" x14ac:dyDescent="0.35">
      <c r="A1365" s="3">
        <v>751425</v>
      </c>
      <c r="B1365" s="2" t="s">
        <v>17</v>
      </c>
      <c r="C1365">
        <v>46647</v>
      </c>
      <c r="D1365" s="2" t="s">
        <v>23</v>
      </c>
      <c r="E1365">
        <v>4</v>
      </c>
      <c r="F1365">
        <v>4</v>
      </c>
      <c r="G1365" s="4">
        <f>VALUE(SUBSTITUTE(SUBSTITUTE(Table1[[#This Row],[Price]],"$",""),",",""))</f>
        <v>751425</v>
      </c>
      <c r="H1365" s="1">
        <f>Table1[[#This Row],[Price2]]/Table1[[#This Row],[Area]]</f>
        <v>320.30051150895139</v>
      </c>
      <c r="I1365">
        <v>2346</v>
      </c>
      <c r="J1365">
        <v>2015</v>
      </c>
      <c r="K1365">
        <v>53</v>
      </c>
      <c r="L1365" t="s">
        <v>52</v>
      </c>
      <c r="M1365" t="s">
        <v>778</v>
      </c>
      <c r="N1365" s="2" t="s">
        <v>3029</v>
      </c>
      <c r="O1365" t="s">
        <v>3030</v>
      </c>
      <c r="P1365" t="s">
        <v>16</v>
      </c>
      <c r="Q1365">
        <v>320.30051150895139</v>
      </c>
      <c r="R1365">
        <f ca="1">YEAR(TODAY())-Table1[[#This Row],[Year Built]]</f>
        <v>11</v>
      </c>
      <c r="S1365" t="str">
        <f>IF(Table1[[#This Row],[Days on Market]] &lt; 30,"Fast",IF(Table1[[#This Row],[Days on Market]]&lt;= 90,"Average", "Slow"))</f>
        <v>Average</v>
      </c>
      <c r="T1365" t="str">
        <f>IF(Table1[[#This Row],[Price2]]&lt;500000,"Affordable",IF(Table1[[#This Row],[Price2]]&lt;1000000,"Mid range","Luxury"))</f>
        <v>Mid range</v>
      </c>
    </row>
    <row r="1366" spans="1:20" x14ac:dyDescent="0.35">
      <c r="A1366" s="3">
        <v>751719</v>
      </c>
      <c r="B1366" s="2" t="s">
        <v>34</v>
      </c>
      <c r="C1366">
        <v>87473</v>
      </c>
      <c r="D1366" s="2" t="s">
        <v>18</v>
      </c>
      <c r="E1366">
        <v>6</v>
      </c>
      <c r="F1366">
        <v>3</v>
      </c>
      <c r="G1366" s="4">
        <f>VALUE(SUBSTITUTE(SUBSTITUTE(Table1[[#This Row],[Price]],"$",""),",",""))</f>
        <v>751719</v>
      </c>
      <c r="H1366" s="1">
        <f>Table1[[#This Row],[Price2]]/Table1[[#This Row],[Area]]</f>
        <v>989.10394736842102</v>
      </c>
      <c r="I1366">
        <v>760</v>
      </c>
      <c r="J1366">
        <v>1987</v>
      </c>
      <c r="K1366">
        <v>40</v>
      </c>
      <c r="L1366" t="s">
        <v>19</v>
      </c>
      <c r="M1366" t="s">
        <v>883</v>
      </c>
      <c r="N1366" s="2" t="s">
        <v>3031</v>
      </c>
      <c r="O1366" t="s">
        <v>3032</v>
      </c>
      <c r="P1366" t="s">
        <v>26</v>
      </c>
      <c r="Q1366">
        <v>989.10394736842102</v>
      </c>
      <c r="R1366">
        <f ca="1">YEAR(TODAY())-Table1[[#This Row],[Year Built]]</f>
        <v>39</v>
      </c>
      <c r="S1366" t="str">
        <f>IF(Table1[[#This Row],[Days on Market]] &lt; 30,"Fast",IF(Table1[[#This Row],[Days on Market]]&lt;= 90,"Average", "Slow"))</f>
        <v>Average</v>
      </c>
      <c r="T1366" t="str">
        <f>IF(Table1[[#This Row],[Price2]]&lt;500000,"Affordable",IF(Table1[[#This Row],[Price2]]&lt;1000000,"Mid range","Luxury"))</f>
        <v>Mid range</v>
      </c>
    </row>
    <row r="1367" spans="1:20" x14ac:dyDescent="0.35">
      <c r="A1367" s="3">
        <v>751994</v>
      </c>
      <c r="B1367" s="2" t="s">
        <v>12</v>
      </c>
      <c r="C1367">
        <v>69433</v>
      </c>
      <c r="D1367" s="2" t="s">
        <v>29</v>
      </c>
      <c r="E1367">
        <v>4</v>
      </c>
      <c r="F1367">
        <v>4</v>
      </c>
      <c r="G1367" s="4">
        <f>VALUE(SUBSTITUTE(SUBSTITUTE(Table1[[#This Row],[Price]],"$",""),",",""))</f>
        <v>751994</v>
      </c>
      <c r="H1367" s="1">
        <f>Table1[[#This Row],[Price2]]/Table1[[#This Row],[Area]]</f>
        <v>737.97252208047109</v>
      </c>
      <c r="I1367">
        <v>1019</v>
      </c>
      <c r="J1367">
        <v>2012</v>
      </c>
      <c r="K1367">
        <v>56</v>
      </c>
      <c r="L1367" t="s">
        <v>40</v>
      </c>
      <c r="M1367" t="s">
        <v>2237</v>
      </c>
      <c r="N1367" s="2" t="s">
        <v>3029</v>
      </c>
      <c r="O1367" t="s">
        <v>3030</v>
      </c>
      <c r="P1367" t="s">
        <v>16</v>
      </c>
      <c r="Q1367">
        <v>737.97252208047109</v>
      </c>
      <c r="R1367">
        <f ca="1">YEAR(TODAY())-Table1[[#This Row],[Year Built]]</f>
        <v>14</v>
      </c>
      <c r="S1367" t="str">
        <f>IF(Table1[[#This Row],[Days on Market]] &lt; 30,"Fast",IF(Table1[[#This Row],[Days on Market]]&lt;= 90,"Average", "Slow"))</f>
        <v>Average</v>
      </c>
      <c r="T1367" t="str">
        <f>IF(Table1[[#This Row],[Price2]]&lt;500000,"Affordable",IF(Table1[[#This Row],[Price2]]&lt;1000000,"Mid range","Luxury"))</f>
        <v>Mid range</v>
      </c>
    </row>
    <row r="1368" spans="1:20" x14ac:dyDescent="0.35">
      <c r="A1368" s="3">
        <v>752210</v>
      </c>
      <c r="B1368" s="2" t="s">
        <v>22</v>
      </c>
      <c r="C1368">
        <v>42611</v>
      </c>
      <c r="D1368" s="2" t="s">
        <v>29</v>
      </c>
      <c r="E1368">
        <v>6</v>
      </c>
      <c r="F1368">
        <v>4</v>
      </c>
      <c r="G1368" s="4">
        <f>VALUE(SUBSTITUTE(SUBSTITUTE(Table1[[#This Row],[Price]],"$",""),",",""))</f>
        <v>752210</v>
      </c>
      <c r="H1368" s="1">
        <f>Table1[[#This Row],[Price2]]/Table1[[#This Row],[Area]]</f>
        <v>385.74871794871797</v>
      </c>
      <c r="I1368">
        <v>1950</v>
      </c>
      <c r="J1368">
        <v>1990</v>
      </c>
      <c r="K1368">
        <v>80</v>
      </c>
      <c r="L1368" t="s">
        <v>52</v>
      </c>
      <c r="M1368" t="s">
        <v>2124</v>
      </c>
      <c r="N1368" s="2" t="s">
        <v>3033</v>
      </c>
      <c r="O1368" t="s">
        <v>3034</v>
      </c>
      <c r="P1368" t="s">
        <v>21</v>
      </c>
      <c r="Q1368">
        <v>385.74871794871797</v>
      </c>
      <c r="R1368">
        <f ca="1">YEAR(TODAY())-Table1[[#This Row],[Year Built]]</f>
        <v>36</v>
      </c>
      <c r="S1368" t="str">
        <f>IF(Table1[[#This Row],[Days on Market]] &lt; 30,"Fast",IF(Table1[[#This Row],[Days on Market]]&lt;= 90,"Average", "Slow"))</f>
        <v>Average</v>
      </c>
      <c r="T1368" t="str">
        <f>IF(Table1[[#This Row],[Price2]]&lt;500000,"Affordable",IF(Table1[[#This Row],[Price2]]&lt;1000000,"Mid range","Luxury"))</f>
        <v>Mid range</v>
      </c>
    </row>
    <row r="1369" spans="1:20" x14ac:dyDescent="0.35">
      <c r="A1369" s="3">
        <v>752214</v>
      </c>
      <c r="B1369" s="2" t="s">
        <v>22</v>
      </c>
      <c r="C1369">
        <v>64385</v>
      </c>
      <c r="D1369" s="2" t="s">
        <v>29</v>
      </c>
      <c r="E1369">
        <v>1</v>
      </c>
      <c r="F1369">
        <v>1</v>
      </c>
      <c r="G1369" s="4">
        <f>VALUE(SUBSTITUTE(SUBSTITUTE(Table1[[#This Row],[Price]],"$",""),",",""))</f>
        <v>752214</v>
      </c>
      <c r="H1369" s="1">
        <f>Table1[[#This Row],[Price2]]/Table1[[#This Row],[Area]]</f>
        <v>391.5741801145237</v>
      </c>
      <c r="I1369">
        <v>1921</v>
      </c>
      <c r="J1369">
        <v>1956</v>
      </c>
      <c r="K1369">
        <v>5</v>
      </c>
      <c r="L1369" t="s">
        <v>14</v>
      </c>
      <c r="M1369" t="s">
        <v>2638</v>
      </c>
      <c r="N1369" s="2" t="s">
        <v>3029</v>
      </c>
      <c r="O1369" t="s">
        <v>3030</v>
      </c>
      <c r="P1369" t="s">
        <v>26</v>
      </c>
      <c r="Q1369">
        <v>391.5741801145237</v>
      </c>
      <c r="R1369">
        <f ca="1">YEAR(TODAY())-Table1[[#This Row],[Year Built]]</f>
        <v>70</v>
      </c>
      <c r="S1369" t="str">
        <f>IF(Table1[[#This Row],[Days on Market]] &lt; 30,"Fast",IF(Table1[[#This Row],[Days on Market]]&lt;= 90,"Average", "Slow"))</f>
        <v>Fast</v>
      </c>
      <c r="T1369" t="str">
        <f>IF(Table1[[#This Row],[Price2]]&lt;500000,"Affordable",IF(Table1[[#This Row],[Price2]]&lt;1000000,"Mid range","Luxury"))</f>
        <v>Mid range</v>
      </c>
    </row>
    <row r="1370" spans="1:20" x14ac:dyDescent="0.35">
      <c r="A1370" s="3">
        <v>752795</v>
      </c>
      <c r="B1370" s="2" t="s">
        <v>17</v>
      </c>
      <c r="C1370">
        <v>71418</v>
      </c>
      <c r="D1370" s="2" t="s">
        <v>29</v>
      </c>
      <c r="E1370">
        <v>1</v>
      </c>
      <c r="F1370">
        <v>1</v>
      </c>
      <c r="G1370" s="4">
        <f>VALUE(SUBSTITUTE(SUBSTITUTE(Table1[[#This Row],[Price]],"$",""),",",""))</f>
        <v>752795</v>
      </c>
      <c r="H1370" s="1">
        <f>Table1[[#This Row],[Price2]]/Table1[[#This Row],[Area]]</f>
        <v>310.43092783505153</v>
      </c>
      <c r="I1370">
        <v>2425</v>
      </c>
      <c r="J1370">
        <v>2010</v>
      </c>
      <c r="K1370">
        <v>41</v>
      </c>
      <c r="L1370" t="s">
        <v>52</v>
      </c>
      <c r="M1370" t="s">
        <v>2477</v>
      </c>
      <c r="N1370" s="2" t="s">
        <v>3035</v>
      </c>
      <c r="O1370" t="s">
        <v>3036</v>
      </c>
      <c r="P1370" t="s">
        <v>21</v>
      </c>
      <c r="Q1370">
        <v>310.43092783505153</v>
      </c>
      <c r="R1370">
        <f ca="1">YEAR(TODAY())-Table1[[#This Row],[Year Built]]</f>
        <v>16</v>
      </c>
      <c r="S1370" t="str">
        <f>IF(Table1[[#This Row],[Days on Market]] &lt; 30,"Fast",IF(Table1[[#This Row],[Days on Market]]&lt;= 90,"Average", "Slow"))</f>
        <v>Average</v>
      </c>
      <c r="T1370" t="str">
        <f>IF(Table1[[#This Row],[Price2]]&lt;500000,"Affordable",IF(Table1[[#This Row],[Price2]]&lt;1000000,"Mid range","Luxury"))</f>
        <v>Mid range</v>
      </c>
    </row>
    <row r="1371" spans="1:20" x14ac:dyDescent="0.35">
      <c r="A1371" s="3">
        <v>754257</v>
      </c>
      <c r="B1371" s="2" t="s">
        <v>22</v>
      </c>
      <c r="C1371">
        <v>79263</v>
      </c>
      <c r="D1371" s="2" t="s">
        <v>13</v>
      </c>
      <c r="E1371">
        <v>3</v>
      </c>
      <c r="F1371">
        <v>3</v>
      </c>
      <c r="G1371" s="4">
        <f>VALUE(SUBSTITUTE(SUBSTITUTE(Table1[[#This Row],[Price]],"$",""),",",""))</f>
        <v>754257</v>
      </c>
      <c r="H1371" s="1">
        <f>Table1[[#This Row],[Price2]]/Table1[[#This Row],[Area]]</f>
        <v>190.61334344200151</v>
      </c>
      <c r="I1371">
        <v>3957</v>
      </c>
      <c r="J1371">
        <v>1957</v>
      </c>
      <c r="K1371">
        <v>70</v>
      </c>
      <c r="L1371" t="s">
        <v>52</v>
      </c>
      <c r="M1371" t="s">
        <v>936</v>
      </c>
      <c r="N1371" s="2" t="s">
        <v>3033</v>
      </c>
      <c r="O1371" t="s">
        <v>3034</v>
      </c>
      <c r="P1371" t="s">
        <v>21</v>
      </c>
      <c r="Q1371">
        <v>190.61334344200151</v>
      </c>
      <c r="R1371">
        <f ca="1">YEAR(TODAY())-Table1[[#This Row],[Year Built]]</f>
        <v>69</v>
      </c>
      <c r="S1371" t="str">
        <f>IF(Table1[[#This Row],[Days on Market]] &lt; 30,"Fast",IF(Table1[[#This Row],[Days on Market]]&lt;= 90,"Average", "Slow"))</f>
        <v>Average</v>
      </c>
      <c r="T1371" t="str">
        <f>IF(Table1[[#This Row],[Price2]]&lt;500000,"Affordable",IF(Table1[[#This Row],[Price2]]&lt;1000000,"Mid range","Luxury"))</f>
        <v>Mid range</v>
      </c>
    </row>
    <row r="1372" spans="1:20" x14ac:dyDescent="0.35">
      <c r="A1372" s="3">
        <v>754480</v>
      </c>
      <c r="B1372" s="2" t="s">
        <v>12</v>
      </c>
      <c r="C1372">
        <v>83545</v>
      </c>
      <c r="D1372" s="2" t="s">
        <v>18</v>
      </c>
      <c r="E1372">
        <v>1</v>
      </c>
      <c r="F1372">
        <v>4</v>
      </c>
      <c r="G1372" s="4">
        <f>VALUE(SUBSTITUTE(SUBSTITUTE(Table1[[#This Row],[Price]],"$",""),",",""))</f>
        <v>754480</v>
      </c>
      <c r="H1372" s="1">
        <f>Table1[[#This Row],[Price2]]/Table1[[#This Row],[Area]]</f>
        <v>369.48090107737511</v>
      </c>
      <c r="I1372">
        <v>2042</v>
      </c>
      <c r="J1372">
        <v>1958</v>
      </c>
      <c r="K1372">
        <v>120</v>
      </c>
      <c r="L1372" t="s">
        <v>30</v>
      </c>
      <c r="M1372" t="s">
        <v>105</v>
      </c>
      <c r="N1372" s="2" t="s">
        <v>3027</v>
      </c>
      <c r="O1372" t="s">
        <v>3028</v>
      </c>
      <c r="P1372" t="s">
        <v>26</v>
      </c>
      <c r="Q1372">
        <v>369.48090107737511</v>
      </c>
      <c r="R1372">
        <f ca="1">YEAR(TODAY())-Table1[[#This Row],[Year Built]]</f>
        <v>68</v>
      </c>
      <c r="S1372" t="str">
        <f>IF(Table1[[#This Row],[Days on Market]] &lt; 30,"Fast",IF(Table1[[#This Row],[Days on Market]]&lt;= 90,"Average", "Slow"))</f>
        <v>Slow</v>
      </c>
      <c r="T1372" t="str">
        <f>IF(Table1[[#This Row],[Price2]]&lt;500000,"Affordable",IF(Table1[[#This Row],[Price2]]&lt;1000000,"Mid range","Luxury"))</f>
        <v>Mid range</v>
      </c>
    </row>
    <row r="1373" spans="1:20" x14ac:dyDescent="0.35">
      <c r="A1373" s="3">
        <v>754651</v>
      </c>
      <c r="B1373" s="2" t="s">
        <v>17</v>
      </c>
      <c r="C1373">
        <v>45750</v>
      </c>
      <c r="D1373" s="2" t="s">
        <v>13</v>
      </c>
      <c r="E1373">
        <v>1</v>
      </c>
      <c r="F1373">
        <v>3</v>
      </c>
      <c r="G1373" s="4">
        <f>VALUE(SUBSTITUTE(SUBSTITUTE(Table1[[#This Row],[Price]],"$",""),",",""))</f>
        <v>754651</v>
      </c>
      <c r="H1373" s="1">
        <f>Table1[[#This Row],[Price2]]/Table1[[#This Row],[Area]]</f>
        <v>594.21338582677163</v>
      </c>
      <c r="I1373">
        <v>1270</v>
      </c>
      <c r="J1373">
        <v>2002</v>
      </c>
      <c r="K1373">
        <v>118</v>
      </c>
      <c r="L1373" t="s">
        <v>40</v>
      </c>
      <c r="M1373" t="s">
        <v>1277</v>
      </c>
      <c r="N1373" s="2" t="s">
        <v>3031</v>
      </c>
      <c r="O1373" t="s">
        <v>3032</v>
      </c>
      <c r="P1373" t="s">
        <v>26</v>
      </c>
      <c r="Q1373">
        <v>594.21338582677163</v>
      </c>
      <c r="R1373">
        <f ca="1">YEAR(TODAY())-Table1[[#This Row],[Year Built]]</f>
        <v>24</v>
      </c>
      <c r="S1373" t="str">
        <f>IF(Table1[[#This Row],[Days on Market]] &lt; 30,"Fast",IF(Table1[[#This Row],[Days on Market]]&lt;= 90,"Average", "Slow"))</f>
        <v>Slow</v>
      </c>
      <c r="T1373" t="str">
        <f>IF(Table1[[#This Row],[Price2]]&lt;500000,"Affordable",IF(Table1[[#This Row],[Price2]]&lt;1000000,"Mid range","Luxury"))</f>
        <v>Mid range</v>
      </c>
    </row>
    <row r="1374" spans="1:20" x14ac:dyDescent="0.35">
      <c r="A1374" s="3">
        <v>756025</v>
      </c>
      <c r="B1374" s="2" t="s">
        <v>17</v>
      </c>
      <c r="C1374">
        <v>39619</v>
      </c>
      <c r="D1374" s="2" t="s">
        <v>23</v>
      </c>
      <c r="E1374">
        <v>3</v>
      </c>
      <c r="F1374">
        <v>4</v>
      </c>
      <c r="G1374" s="4">
        <f>VALUE(SUBSTITUTE(SUBSTITUTE(Table1[[#This Row],[Price]],"$",""),",",""))</f>
        <v>756025</v>
      </c>
      <c r="H1374" s="1">
        <f>Table1[[#This Row],[Price2]]/Table1[[#This Row],[Area]]</f>
        <v>414.48739035087721</v>
      </c>
      <c r="I1374">
        <v>1824</v>
      </c>
      <c r="J1374">
        <v>1970</v>
      </c>
      <c r="K1374">
        <v>14</v>
      </c>
      <c r="L1374" t="s">
        <v>19</v>
      </c>
      <c r="M1374" t="s">
        <v>2598</v>
      </c>
      <c r="N1374" s="2" t="s">
        <v>3035</v>
      </c>
      <c r="O1374" t="s">
        <v>3036</v>
      </c>
      <c r="P1374" t="s">
        <v>21</v>
      </c>
      <c r="Q1374">
        <v>414.48739035087721</v>
      </c>
      <c r="R1374">
        <f ca="1">YEAR(TODAY())-Table1[[#This Row],[Year Built]]</f>
        <v>56</v>
      </c>
      <c r="S1374" t="str">
        <f>IF(Table1[[#This Row],[Days on Market]] &lt; 30,"Fast",IF(Table1[[#This Row],[Days on Market]]&lt;= 90,"Average", "Slow"))</f>
        <v>Fast</v>
      </c>
      <c r="T1374" t="str">
        <f>IF(Table1[[#This Row],[Price2]]&lt;500000,"Affordable",IF(Table1[[#This Row],[Price2]]&lt;1000000,"Mid range","Luxury"))</f>
        <v>Mid range</v>
      </c>
    </row>
    <row r="1375" spans="1:20" x14ac:dyDescent="0.35">
      <c r="A1375" s="3">
        <v>756933</v>
      </c>
      <c r="B1375" s="2" t="s">
        <v>27</v>
      </c>
      <c r="C1375">
        <v>38900</v>
      </c>
      <c r="D1375" s="2" t="s">
        <v>23</v>
      </c>
      <c r="E1375">
        <v>4</v>
      </c>
      <c r="F1375">
        <v>3</v>
      </c>
      <c r="G1375" s="4">
        <f>VALUE(SUBSTITUTE(SUBSTITUTE(Table1[[#This Row],[Price]],"$",""),",",""))</f>
        <v>756933</v>
      </c>
      <c r="H1375" s="1">
        <f>Table1[[#This Row],[Price2]]/Table1[[#This Row],[Area]]</f>
        <v>231.7614819350888</v>
      </c>
      <c r="I1375">
        <v>3266</v>
      </c>
      <c r="J1375">
        <v>1977</v>
      </c>
      <c r="K1375">
        <v>27</v>
      </c>
      <c r="L1375" t="s">
        <v>14</v>
      </c>
      <c r="M1375" t="s">
        <v>1098</v>
      </c>
      <c r="N1375" s="2" t="s">
        <v>3033</v>
      </c>
      <c r="O1375" t="s">
        <v>3034</v>
      </c>
      <c r="P1375" t="s">
        <v>16</v>
      </c>
      <c r="Q1375">
        <v>231.7614819350888</v>
      </c>
      <c r="R1375">
        <f ca="1">YEAR(TODAY())-Table1[[#This Row],[Year Built]]</f>
        <v>49</v>
      </c>
      <c r="S1375" t="str">
        <f>IF(Table1[[#This Row],[Days on Market]] &lt; 30,"Fast",IF(Table1[[#This Row],[Days on Market]]&lt;= 90,"Average", "Slow"))</f>
        <v>Fast</v>
      </c>
      <c r="T1375" t="str">
        <f>IF(Table1[[#This Row],[Price2]]&lt;500000,"Affordable",IF(Table1[[#This Row],[Price2]]&lt;1000000,"Mid range","Luxury"))</f>
        <v>Mid range</v>
      </c>
    </row>
    <row r="1376" spans="1:20" x14ac:dyDescent="0.35">
      <c r="A1376" s="3">
        <v>757183</v>
      </c>
      <c r="B1376" s="2" t="s">
        <v>12</v>
      </c>
      <c r="C1376">
        <v>43557</v>
      </c>
      <c r="D1376" s="2" t="s">
        <v>23</v>
      </c>
      <c r="E1376">
        <v>6</v>
      </c>
      <c r="F1376">
        <v>2</v>
      </c>
      <c r="G1376" s="4">
        <f>VALUE(SUBSTITUTE(SUBSTITUTE(Table1[[#This Row],[Price]],"$",""),",",""))</f>
        <v>757183</v>
      </c>
      <c r="H1376" s="1">
        <f>Table1[[#This Row],[Price2]]/Table1[[#This Row],[Area]]</f>
        <v>363.85535800096108</v>
      </c>
      <c r="I1376">
        <v>2081</v>
      </c>
      <c r="J1376">
        <v>2017</v>
      </c>
      <c r="K1376">
        <v>74</v>
      </c>
      <c r="L1376" t="s">
        <v>14</v>
      </c>
      <c r="M1376" t="s">
        <v>563</v>
      </c>
      <c r="N1376" s="2" t="s">
        <v>3035</v>
      </c>
      <c r="O1376" t="s">
        <v>3036</v>
      </c>
      <c r="P1376" t="s">
        <v>26</v>
      </c>
      <c r="Q1376">
        <v>363.85535800096108</v>
      </c>
      <c r="R1376">
        <f ca="1">YEAR(TODAY())-Table1[[#This Row],[Year Built]]</f>
        <v>9</v>
      </c>
      <c r="S1376" t="str">
        <f>IF(Table1[[#This Row],[Days on Market]] &lt; 30,"Fast",IF(Table1[[#This Row],[Days on Market]]&lt;= 90,"Average", "Slow"))</f>
        <v>Average</v>
      </c>
      <c r="T1376" t="str">
        <f>IF(Table1[[#This Row],[Price2]]&lt;500000,"Affordable",IF(Table1[[#This Row],[Price2]]&lt;1000000,"Mid range","Luxury"))</f>
        <v>Mid range</v>
      </c>
    </row>
    <row r="1377" spans="1:20" x14ac:dyDescent="0.35">
      <c r="A1377" s="3">
        <v>757274</v>
      </c>
      <c r="B1377" s="2" t="s">
        <v>17</v>
      </c>
      <c r="C1377">
        <v>88709</v>
      </c>
      <c r="D1377" s="2" t="s">
        <v>23</v>
      </c>
      <c r="E1377">
        <v>2</v>
      </c>
      <c r="F1377">
        <v>4</v>
      </c>
      <c r="G1377" s="4">
        <f>VALUE(SUBSTITUTE(SUBSTITUTE(Table1[[#This Row],[Price]],"$",""),",",""))</f>
        <v>757274</v>
      </c>
      <c r="H1377" s="1">
        <f>Table1[[#This Row],[Price2]]/Table1[[#This Row],[Area]]</f>
        <v>211.58815311539536</v>
      </c>
      <c r="I1377">
        <v>3579</v>
      </c>
      <c r="J1377">
        <v>1956</v>
      </c>
      <c r="K1377">
        <v>23</v>
      </c>
      <c r="L1377" t="s">
        <v>14</v>
      </c>
      <c r="M1377" t="s">
        <v>2827</v>
      </c>
      <c r="N1377" s="2" t="s">
        <v>3033</v>
      </c>
      <c r="O1377" t="s">
        <v>3034</v>
      </c>
      <c r="P1377" t="s">
        <v>26</v>
      </c>
      <c r="Q1377">
        <v>211.58815311539536</v>
      </c>
      <c r="R1377">
        <f ca="1">YEAR(TODAY())-Table1[[#This Row],[Year Built]]</f>
        <v>70</v>
      </c>
      <c r="S1377" t="str">
        <f>IF(Table1[[#This Row],[Days on Market]] &lt; 30,"Fast",IF(Table1[[#This Row],[Days on Market]]&lt;= 90,"Average", "Slow"))</f>
        <v>Fast</v>
      </c>
      <c r="T1377" t="str">
        <f>IF(Table1[[#This Row],[Price2]]&lt;500000,"Affordable",IF(Table1[[#This Row],[Price2]]&lt;1000000,"Mid range","Luxury"))</f>
        <v>Mid range</v>
      </c>
    </row>
    <row r="1378" spans="1:20" x14ac:dyDescent="0.35">
      <c r="A1378" s="3">
        <v>757948</v>
      </c>
      <c r="B1378" s="2" t="s">
        <v>27</v>
      </c>
      <c r="C1378">
        <v>25777</v>
      </c>
      <c r="D1378" s="2" t="s">
        <v>18</v>
      </c>
      <c r="E1378">
        <v>3</v>
      </c>
      <c r="F1378">
        <v>1</v>
      </c>
      <c r="G1378" s="4">
        <f>VALUE(SUBSTITUTE(SUBSTITUTE(Table1[[#This Row],[Price]],"$",""),",",""))</f>
        <v>757948</v>
      </c>
      <c r="H1378" s="1">
        <f>Table1[[#This Row],[Price2]]/Table1[[#This Row],[Area]]</f>
        <v>679.16487455197137</v>
      </c>
      <c r="I1378">
        <v>1116</v>
      </c>
      <c r="J1378">
        <v>1959</v>
      </c>
      <c r="K1378">
        <v>52</v>
      </c>
      <c r="L1378" t="s">
        <v>14</v>
      </c>
      <c r="M1378" t="s">
        <v>559</v>
      </c>
      <c r="N1378" s="2" t="s">
        <v>3029</v>
      </c>
      <c r="O1378" t="s">
        <v>3030</v>
      </c>
      <c r="P1378" t="s">
        <v>21</v>
      </c>
      <c r="Q1378">
        <v>679.16487455197137</v>
      </c>
      <c r="R1378">
        <f ca="1">YEAR(TODAY())-Table1[[#This Row],[Year Built]]</f>
        <v>67</v>
      </c>
      <c r="S1378" t="str">
        <f>IF(Table1[[#This Row],[Days on Market]] &lt; 30,"Fast",IF(Table1[[#This Row],[Days on Market]]&lt;= 90,"Average", "Slow"))</f>
        <v>Average</v>
      </c>
      <c r="T1378" t="str">
        <f>IF(Table1[[#This Row],[Price2]]&lt;500000,"Affordable",IF(Table1[[#This Row],[Price2]]&lt;1000000,"Mid range","Luxury"))</f>
        <v>Mid range</v>
      </c>
    </row>
    <row r="1379" spans="1:20" x14ac:dyDescent="0.35">
      <c r="A1379" s="3">
        <v>760732</v>
      </c>
      <c r="B1379" s="2" t="s">
        <v>22</v>
      </c>
      <c r="C1379">
        <v>24915</v>
      </c>
      <c r="D1379" s="2" t="s">
        <v>29</v>
      </c>
      <c r="E1379">
        <v>1</v>
      </c>
      <c r="F1379">
        <v>4</v>
      </c>
      <c r="G1379" s="4">
        <f>VALUE(SUBSTITUTE(SUBSTITUTE(Table1[[#This Row],[Price]],"$",""),",",""))</f>
        <v>760732</v>
      </c>
      <c r="H1379" s="1">
        <f>Table1[[#This Row],[Price2]]/Table1[[#This Row],[Area]]</f>
        <v>446.70111567821493</v>
      </c>
      <c r="I1379">
        <v>1703</v>
      </c>
      <c r="J1379">
        <v>1986</v>
      </c>
      <c r="K1379">
        <v>10</v>
      </c>
      <c r="L1379" t="s">
        <v>52</v>
      </c>
      <c r="M1379" t="s">
        <v>2386</v>
      </c>
      <c r="N1379" s="2" t="s">
        <v>3033</v>
      </c>
      <c r="O1379" t="s">
        <v>3034</v>
      </c>
      <c r="P1379" t="s">
        <v>21</v>
      </c>
      <c r="Q1379">
        <v>446.70111567821493</v>
      </c>
      <c r="R1379">
        <f ca="1">YEAR(TODAY())-Table1[[#This Row],[Year Built]]</f>
        <v>40</v>
      </c>
      <c r="S1379" t="str">
        <f>IF(Table1[[#This Row],[Days on Market]] &lt; 30,"Fast",IF(Table1[[#This Row],[Days on Market]]&lt;= 90,"Average", "Slow"))</f>
        <v>Fast</v>
      </c>
      <c r="T1379" t="str">
        <f>IF(Table1[[#This Row],[Price2]]&lt;500000,"Affordable",IF(Table1[[#This Row],[Price2]]&lt;1000000,"Mid range","Luxury"))</f>
        <v>Mid range</v>
      </c>
    </row>
    <row r="1380" spans="1:20" x14ac:dyDescent="0.35">
      <c r="A1380" s="3">
        <v>761218</v>
      </c>
      <c r="B1380" s="2" t="s">
        <v>27</v>
      </c>
      <c r="C1380">
        <v>10450</v>
      </c>
      <c r="D1380" s="2" t="s">
        <v>23</v>
      </c>
      <c r="E1380">
        <v>5</v>
      </c>
      <c r="F1380">
        <v>2</v>
      </c>
      <c r="G1380" s="4">
        <f>VALUE(SUBSTITUTE(SUBSTITUTE(Table1[[#This Row],[Price]],"$",""),",",""))</f>
        <v>761218</v>
      </c>
      <c r="H1380" s="1">
        <f>Table1[[#This Row],[Price2]]/Table1[[#This Row],[Area]]</f>
        <v>618.37367993501221</v>
      </c>
      <c r="I1380">
        <v>1231</v>
      </c>
      <c r="J1380">
        <v>1953</v>
      </c>
      <c r="K1380">
        <v>110</v>
      </c>
      <c r="L1380" t="s">
        <v>14</v>
      </c>
      <c r="M1380" t="s">
        <v>2782</v>
      </c>
      <c r="N1380" s="2" t="s">
        <v>3027</v>
      </c>
      <c r="O1380" t="s">
        <v>3028</v>
      </c>
      <c r="P1380" t="s">
        <v>16</v>
      </c>
      <c r="Q1380">
        <v>618.37367993501221</v>
      </c>
      <c r="R1380">
        <f ca="1">YEAR(TODAY())-Table1[[#This Row],[Year Built]]</f>
        <v>73</v>
      </c>
      <c r="S1380" t="str">
        <f>IF(Table1[[#This Row],[Days on Market]] &lt; 30,"Fast",IF(Table1[[#This Row],[Days on Market]]&lt;= 90,"Average", "Slow"))</f>
        <v>Slow</v>
      </c>
      <c r="T1380" t="str">
        <f>IF(Table1[[#This Row],[Price2]]&lt;500000,"Affordable",IF(Table1[[#This Row],[Price2]]&lt;1000000,"Mid range","Luxury"))</f>
        <v>Mid range</v>
      </c>
    </row>
    <row r="1381" spans="1:20" x14ac:dyDescent="0.35">
      <c r="A1381" s="3">
        <v>761374</v>
      </c>
      <c r="B1381" s="2" t="s">
        <v>22</v>
      </c>
      <c r="C1381">
        <v>55641</v>
      </c>
      <c r="D1381" s="2" t="s">
        <v>18</v>
      </c>
      <c r="E1381">
        <v>6</v>
      </c>
      <c r="F1381">
        <v>1</v>
      </c>
      <c r="G1381" s="4">
        <f>VALUE(SUBSTITUTE(SUBSTITUTE(Table1[[#This Row],[Price]],"$",""),",",""))</f>
        <v>761374</v>
      </c>
      <c r="H1381" s="1">
        <f>Table1[[#This Row],[Price2]]/Table1[[#This Row],[Area]]</f>
        <v>283.98881014546811</v>
      </c>
      <c r="I1381">
        <v>2681</v>
      </c>
      <c r="J1381">
        <v>2013</v>
      </c>
      <c r="K1381">
        <v>115</v>
      </c>
      <c r="L1381" t="s">
        <v>14</v>
      </c>
      <c r="M1381" t="s">
        <v>1975</v>
      </c>
      <c r="N1381" s="2" t="s">
        <v>3035</v>
      </c>
      <c r="O1381" t="s">
        <v>3036</v>
      </c>
      <c r="P1381" t="s">
        <v>21</v>
      </c>
      <c r="Q1381">
        <v>283.98881014546811</v>
      </c>
      <c r="R1381">
        <f ca="1">YEAR(TODAY())-Table1[[#This Row],[Year Built]]</f>
        <v>13</v>
      </c>
      <c r="S1381" t="str">
        <f>IF(Table1[[#This Row],[Days on Market]] &lt; 30,"Fast",IF(Table1[[#This Row],[Days on Market]]&lt;= 90,"Average", "Slow"))</f>
        <v>Slow</v>
      </c>
      <c r="T1381" t="str">
        <f>IF(Table1[[#This Row],[Price2]]&lt;500000,"Affordable",IF(Table1[[#This Row],[Price2]]&lt;1000000,"Mid range","Luxury"))</f>
        <v>Mid range</v>
      </c>
    </row>
    <row r="1382" spans="1:20" x14ac:dyDescent="0.35">
      <c r="A1382" s="3">
        <v>761390</v>
      </c>
      <c r="B1382" s="2" t="s">
        <v>17</v>
      </c>
      <c r="C1382">
        <v>63752</v>
      </c>
      <c r="D1382" s="2" t="s">
        <v>29</v>
      </c>
      <c r="E1382">
        <v>5</v>
      </c>
      <c r="F1382">
        <v>2</v>
      </c>
      <c r="G1382" s="4">
        <f>VALUE(SUBSTITUTE(SUBSTITUTE(Table1[[#This Row],[Price]],"$",""),",",""))</f>
        <v>761390</v>
      </c>
      <c r="H1382" s="1">
        <f>Table1[[#This Row],[Price2]]/Table1[[#This Row],[Area]]</f>
        <v>229.88828502415458</v>
      </c>
      <c r="I1382">
        <v>3312</v>
      </c>
      <c r="J1382">
        <v>1984</v>
      </c>
      <c r="K1382">
        <v>17</v>
      </c>
      <c r="L1382" t="s">
        <v>40</v>
      </c>
      <c r="M1382" t="s">
        <v>1059</v>
      </c>
      <c r="N1382" s="2" t="s">
        <v>3029</v>
      </c>
      <c r="O1382" t="s">
        <v>3030</v>
      </c>
      <c r="P1382" t="s">
        <v>21</v>
      </c>
      <c r="Q1382">
        <v>229.88828502415458</v>
      </c>
      <c r="R1382">
        <f ca="1">YEAR(TODAY())-Table1[[#This Row],[Year Built]]</f>
        <v>42</v>
      </c>
      <c r="S1382" t="str">
        <f>IF(Table1[[#This Row],[Days on Market]] &lt; 30,"Fast",IF(Table1[[#This Row],[Days on Market]]&lt;= 90,"Average", "Slow"))</f>
        <v>Fast</v>
      </c>
      <c r="T1382" t="str">
        <f>IF(Table1[[#This Row],[Price2]]&lt;500000,"Affordable",IF(Table1[[#This Row],[Price2]]&lt;1000000,"Mid range","Luxury"))</f>
        <v>Mid range</v>
      </c>
    </row>
    <row r="1383" spans="1:20" x14ac:dyDescent="0.35">
      <c r="A1383" s="3">
        <v>761495</v>
      </c>
      <c r="B1383" s="2" t="s">
        <v>12</v>
      </c>
      <c r="C1383">
        <v>85988</v>
      </c>
      <c r="D1383" s="2" t="s">
        <v>23</v>
      </c>
      <c r="E1383">
        <v>5</v>
      </c>
      <c r="F1383">
        <v>3</v>
      </c>
      <c r="G1383" s="4">
        <f>VALUE(SUBSTITUTE(SUBSTITUTE(Table1[[#This Row],[Price]],"$",""),",",""))</f>
        <v>761495</v>
      </c>
      <c r="H1383" s="1">
        <f>Table1[[#This Row],[Price2]]/Table1[[#This Row],[Area]]</f>
        <v>204.75799946222102</v>
      </c>
      <c r="I1383">
        <v>3719</v>
      </c>
      <c r="J1383">
        <v>1959</v>
      </c>
      <c r="K1383">
        <v>52</v>
      </c>
      <c r="L1383" t="s">
        <v>30</v>
      </c>
      <c r="M1383" t="s">
        <v>2288</v>
      </c>
      <c r="N1383" s="2" t="s">
        <v>3033</v>
      </c>
      <c r="O1383" t="s">
        <v>3034</v>
      </c>
      <c r="P1383" t="s">
        <v>21</v>
      </c>
      <c r="Q1383">
        <v>204.75799946222102</v>
      </c>
      <c r="R1383">
        <f ca="1">YEAR(TODAY())-Table1[[#This Row],[Year Built]]</f>
        <v>67</v>
      </c>
      <c r="S1383" t="str">
        <f>IF(Table1[[#This Row],[Days on Market]] &lt; 30,"Fast",IF(Table1[[#This Row],[Days on Market]]&lt;= 90,"Average", "Slow"))</f>
        <v>Average</v>
      </c>
      <c r="T1383" t="str">
        <f>IF(Table1[[#This Row],[Price2]]&lt;500000,"Affordable",IF(Table1[[#This Row],[Price2]]&lt;1000000,"Mid range","Luxury"))</f>
        <v>Mid range</v>
      </c>
    </row>
    <row r="1384" spans="1:20" x14ac:dyDescent="0.35">
      <c r="A1384" s="3">
        <v>761820</v>
      </c>
      <c r="B1384" s="2" t="s">
        <v>17</v>
      </c>
      <c r="C1384">
        <v>15369</v>
      </c>
      <c r="D1384" s="2" t="s">
        <v>29</v>
      </c>
      <c r="E1384">
        <v>5</v>
      </c>
      <c r="F1384">
        <v>1</v>
      </c>
      <c r="G1384" s="4">
        <f>VALUE(SUBSTITUTE(SUBSTITUTE(Table1[[#This Row],[Price]],"$",""),",",""))</f>
        <v>761820</v>
      </c>
      <c r="H1384" s="1">
        <f>Table1[[#This Row],[Price2]]/Table1[[#This Row],[Area]]</f>
        <v>249.04217064400132</v>
      </c>
      <c r="I1384">
        <v>3059</v>
      </c>
      <c r="J1384">
        <v>1975</v>
      </c>
      <c r="K1384">
        <v>15</v>
      </c>
      <c r="L1384" t="s">
        <v>30</v>
      </c>
      <c r="M1384" t="s">
        <v>1142</v>
      </c>
      <c r="N1384" s="2" t="s">
        <v>3029</v>
      </c>
      <c r="O1384" t="s">
        <v>3030</v>
      </c>
      <c r="P1384" t="s">
        <v>21</v>
      </c>
      <c r="Q1384">
        <v>249.04217064400132</v>
      </c>
      <c r="R1384">
        <f ca="1">YEAR(TODAY())-Table1[[#This Row],[Year Built]]</f>
        <v>51</v>
      </c>
      <c r="S1384" t="str">
        <f>IF(Table1[[#This Row],[Days on Market]] &lt; 30,"Fast",IF(Table1[[#This Row],[Days on Market]]&lt;= 90,"Average", "Slow"))</f>
        <v>Fast</v>
      </c>
      <c r="T1384" t="str">
        <f>IF(Table1[[#This Row],[Price2]]&lt;500000,"Affordable",IF(Table1[[#This Row],[Price2]]&lt;1000000,"Mid range","Luxury"))</f>
        <v>Mid range</v>
      </c>
    </row>
    <row r="1385" spans="1:20" x14ac:dyDescent="0.35">
      <c r="A1385" s="3">
        <v>762080</v>
      </c>
      <c r="B1385" s="2" t="s">
        <v>27</v>
      </c>
      <c r="C1385">
        <v>53835</v>
      </c>
      <c r="D1385" s="2" t="s">
        <v>13</v>
      </c>
      <c r="E1385">
        <v>4</v>
      </c>
      <c r="F1385">
        <v>4</v>
      </c>
      <c r="G1385" s="4">
        <f>VALUE(SUBSTITUTE(SUBSTITUTE(Table1[[#This Row],[Price]],"$",""),",",""))</f>
        <v>762080</v>
      </c>
      <c r="H1385" s="1">
        <f>Table1[[#This Row],[Price2]]/Table1[[#This Row],[Area]]</f>
        <v>482.02403542061984</v>
      </c>
      <c r="I1385">
        <v>1581</v>
      </c>
      <c r="J1385">
        <v>1997</v>
      </c>
      <c r="K1385">
        <v>9</v>
      </c>
      <c r="L1385" t="s">
        <v>19</v>
      </c>
      <c r="M1385" t="s">
        <v>2269</v>
      </c>
      <c r="N1385" s="2" t="s">
        <v>3027</v>
      </c>
      <c r="O1385" t="s">
        <v>3028</v>
      </c>
      <c r="P1385" t="s">
        <v>16</v>
      </c>
      <c r="Q1385">
        <v>482.02403542061984</v>
      </c>
      <c r="R1385">
        <f ca="1">YEAR(TODAY())-Table1[[#This Row],[Year Built]]</f>
        <v>29</v>
      </c>
      <c r="S1385" t="str">
        <f>IF(Table1[[#This Row],[Days on Market]] &lt; 30,"Fast",IF(Table1[[#This Row],[Days on Market]]&lt;= 90,"Average", "Slow"))</f>
        <v>Fast</v>
      </c>
      <c r="T1385" t="str">
        <f>IF(Table1[[#This Row],[Price2]]&lt;500000,"Affordable",IF(Table1[[#This Row],[Price2]]&lt;1000000,"Mid range","Luxury"))</f>
        <v>Mid range</v>
      </c>
    </row>
    <row r="1386" spans="1:20" x14ac:dyDescent="0.35">
      <c r="A1386" s="3">
        <v>762346</v>
      </c>
      <c r="B1386" s="2" t="s">
        <v>27</v>
      </c>
      <c r="C1386">
        <v>55662</v>
      </c>
      <c r="D1386" s="2" t="s">
        <v>23</v>
      </c>
      <c r="E1386">
        <v>5</v>
      </c>
      <c r="F1386">
        <v>4</v>
      </c>
      <c r="G1386" s="4">
        <f>VALUE(SUBSTITUTE(SUBSTITUTE(Table1[[#This Row],[Price]],"$",""),",",""))</f>
        <v>762346</v>
      </c>
      <c r="H1386" s="1">
        <f>Table1[[#This Row],[Price2]]/Table1[[#This Row],[Area]]</f>
        <v>663.48651000870325</v>
      </c>
      <c r="I1386">
        <v>1149</v>
      </c>
      <c r="J1386">
        <v>1957</v>
      </c>
      <c r="K1386">
        <v>51</v>
      </c>
      <c r="L1386" t="s">
        <v>40</v>
      </c>
      <c r="M1386" t="s">
        <v>947</v>
      </c>
      <c r="N1386" s="2" t="s">
        <v>3033</v>
      </c>
      <c r="O1386" t="s">
        <v>3034</v>
      </c>
      <c r="P1386" t="s">
        <v>21</v>
      </c>
      <c r="Q1386">
        <v>663.48651000870325</v>
      </c>
      <c r="R1386">
        <f ca="1">YEAR(TODAY())-Table1[[#This Row],[Year Built]]</f>
        <v>69</v>
      </c>
      <c r="S1386" t="str">
        <f>IF(Table1[[#This Row],[Days on Market]] &lt; 30,"Fast",IF(Table1[[#This Row],[Days on Market]]&lt;= 90,"Average", "Slow"))</f>
        <v>Average</v>
      </c>
      <c r="T1386" t="str">
        <f>IF(Table1[[#This Row],[Price2]]&lt;500000,"Affordable",IF(Table1[[#This Row],[Price2]]&lt;1000000,"Mid range","Luxury"))</f>
        <v>Mid range</v>
      </c>
    </row>
    <row r="1387" spans="1:20" x14ac:dyDescent="0.35">
      <c r="A1387" s="3">
        <v>764186</v>
      </c>
      <c r="B1387" s="2" t="s">
        <v>34</v>
      </c>
      <c r="C1387">
        <v>87865</v>
      </c>
      <c r="D1387" s="2" t="s">
        <v>23</v>
      </c>
      <c r="E1387">
        <v>3</v>
      </c>
      <c r="F1387">
        <v>2</v>
      </c>
      <c r="G1387" s="4">
        <f>VALUE(SUBSTITUTE(SUBSTITUTE(Table1[[#This Row],[Price]],"$",""),",",""))</f>
        <v>764186</v>
      </c>
      <c r="H1387" s="1">
        <f>Table1[[#This Row],[Price2]]/Table1[[#This Row],[Area]]</f>
        <v>283.55695732838592</v>
      </c>
      <c r="I1387">
        <v>2695</v>
      </c>
      <c r="J1387">
        <v>1995</v>
      </c>
      <c r="K1387">
        <v>95</v>
      </c>
      <c r="L1387" t="s">
        <v>52</v>
      </c>
      <c r="M1387" t="s">
        <v>1690</v>
      </c>
      <c r="N1387" s="2" t="s">
        <v>3029</v>
      </c>
      <c r="O1387" t="s">
        <v>3030</v>
      </c>
      <c r="P1387" t="s">
        <v>26</v>
      </c>
      <c r="Q1387">
        <v>283.55695732838592</v>
      </c>
      <c r="R1387">
        <f ca="1">YEAR(TODAY())-Table1[[#This Row],[Year Built]]</f>
        <v>31</v>
      </c>
      <c r="S1387" t="str">
        <f>IF(Table1[[#This Row],[Days on Market]] &lt; 30,"Fast",IF(Table1[[#This Row],[Days on Market]]&lt;= 90,"Average", "Slow"))</f>
        <v>Slow</v>
      </c>
      <c r="T1387" t="str">
        <f>IF(Table1[[#This Row],[Price2]]&lt;500000,"Affordable",IF(Table1[[#This Row],[Price2]]&lt;1000000,"Mid range","Luxury"))</f>
        <v>Mid range</v>
      </c>
    </row>
    <row r="1388" spans="1:20" x14ac:dyDescent="0.35">
      <c r="A1388" s="3">
        <v>764241</v>
      </c>
      <c r="B1388" s="2" t="s">
        <v>34</v>
      </c>
      <c r="C1388">
        <v>63040</v>
      </c>
      <c r="D1388" s="2" t="s">
        <v>13</v>
      </c>
      <c r="E1388">
        <v>2</v>
      </c>
      <c r="F1388">
        <v>2</v>
      </c>
      <c r="G1388" s="4">
        <f>VALUE(SUBSTITUTE(SUBSTITUTE(Table1[[#This Row],[Price]],"$",""),",",""))</f>
        <v>764241</v>
      </c>
      <c r="H1388" s="1">
        <f>Table1[[#This Row],[Price2]]/Table1[[#This Row],[Area]]</f>
        <v>354.96562935438925</v>
      </c>
      <c r="I1388">
        <v>2153</v>
      </c>
      <c r="J1388">
        <v>2015</v>
      </c>
      <c r="K1388">
        <v>53</v>
      </c>
      <c r="L1388" t="s">
        <v>40</v>
      </c>
      <c r="M1388" t="s">
        <v>963</v>
      </c>
      <c r="N1388" s="2" t="s">
        <v>3033</v>
      </c>
      <c r="O1388" t="s">
        <v>3034</v>
      </c>
      <c r="P1388" t="s">
        <v>26</v>
      </c>
      <c r="Q1388">
        <v>354.96562935438925</v>
      </c>
      <c r="R1388">
        <f ca="1">YEAR(TODAY())-Table1[[#This Row],[Year Built]]</f>
        <v>11</v>
      </c>
      <c r="S1388" t="str">
        <f>IF(Table1[[#This Row],[Days on Market]] &lt; 30,"Fast",IF(Table1[[#This Row],[Days on Market]]&lt;= 90,"Average", "Slow"))</f>
        <v>Average</v>
      </c>
      <c r="T1388" t="str">
        <f>IF(Table1[[#This Row],[Price2]]&lt;500000,"Affordable",IF(Table1[[#This Row],[Price2]]&lt;1000000,"Mid range","Luxury"))</f>
        <v>Mid range</v>
      </c>
    </row>
    <row r="1389" spans="1:20" x14ac:dyDescent="0.35">
      <c r="A1389" s="3">
        <v>765124</v>
      </c>
      <c r="B1389" s="2" t="s">
        <v>17</v>
      </c>
      <c r="C1389">
        <v>45404</v>
      </c>
      <c r="D1389" s="2" t="s">
        <v>23</v>
      </c>
      <c r="E1389">
        <v>6</v>
      </c>
      <c r="F1389">
        <v>4</v>
      </c>
      <c r="G1389" s="4">
        <f>VALUE(SUBSTITUTE(SUBSTITUTE(Table1[[#This Row],[Price]],"$",""),",",""))</f>
        <v>765124</v>
      </c>
      <c r="H1389" s="1">
        <f>Table1[[#This Row],[Price2]]/Table1[[#This Row],[Area]]</f>
        <v>334.69991251093614</v>
      </c>
      <c r="I1389">
        <v>2286</v>
      </c>
      <c r="J1389">
        <v>1962</v>
      </c>
      <c r="K1389">
        <v>67</v>
      </c>
      <c r="L1389" t="s">
        <v>40</v>
      </c>
      <c r="M1389" t="s">
        <v>2401</v>
      </c>
      <c r="N1389" s="2" t="s">
        <v>3033</v>
      </c>
      <c r="O1389" t="s">
        <v>3034</v>
      </c>
      <c r="P1389" t="s">
        <v>16</v>
      </c>
      <c r="Q1389">
        <v>334.69991251093614</v>
      </c>
      <c r="R1389">
        <f ca="1">YEAR(TODAY())-Table1[[#This Row],[Year Built]]</f>
        <v>64</v>
      </c>
      <c r="S1389" t="str">
        <f>IF(Table1[[#This Row],[Days on Market]] &lt; 30,"Fast",IF(Table1[[#This Row],[Days on Market]]&lt;= 90,"Average", "Slow"))</f>
        <v>Average</v>
      </c>
      <c r="T1389" t="str">
        <f>IF(Table1[[#This Row],[Price2]]&lt;500000,"Affordable",IF(Table1[[#This Row],[Price2]]&lt;1000000,"Mid range","Luxury"))</f>
        <v>Mid range</v>
      </c>
    </row>
    <row r="1390" spans="1:20" x14ac:dyDescent="0.35">
      <c r="A1390" s="3">
        <v>765276</v>
      </c>
      <c r="B1390" s="2" t="s">
        <v>17</v>
      </c>
      <c r="C1390">
        <v>55038</v>
      </c>
      <c r="D1390" s="2" t="s">
        <v>23</v>
      </c>
      <c r="E1390">
        <v>5</v>
      </c>
      <c r="F1390">
        <v>2</v>
      </c>
      <c r="G1390" s="4">
        <f>VALUE(SUBSTITUTE(SUBSTITUTE(Table1[[#This Row],[Price]],"$",""),",",""))</f>
        <v>765276</v>
      </c>
      <c r="H1390" s="1">
        <f>Table1[[#This Row],[Price2]]/Table1[[#This Row],[Area]]</f>
        <v>316.88447204968946</v>
      </c>
      <c r="I1390">
        <v>2415</v>
      </c>
      <c r="J1390">
        <v>1950</v>
      </c>
      <c r="K1390">
        <v>50</v>
      </c>
      <c r="L1390" t="s">
        <v>52</v>
      </c>
      <c r="M1390" t="s">
        <v>117</v>
      </c>
      <c r="N1390" s="2" t="s">
        <v>3029</v>
      </c>
      <c r="O1390" t="s">
        <v>3030</v>
      </c>
      <c r="P1390" t="s">
        <v>26</v>
      </c>
      <c r="Q1390">
        <v>316.88447204968946</v>
      </c>
      <c r="R1390">
        <f ca="1">YEAR(TODAY())-Table1[[#This Row],[Year Built]]</f>
        <v>76</v>
      </c>
      <c r="S1390" t="str">
        <f>IF(Table1[[#This Row],[Days on Market]] &lt; 30,"Fast",IF(Table1[[#This Row],[Days on Market]]&lt;= 90,"Average", "Slow"))</f>
        <v>Average</v>
      </c>
      <c r="T1390" t="str">
        <f>IF(Table1[[#This Row],[Price2]]&lt;500000,"Affordable",IF(Table1[[#This Row],[Price2]]&lt;1000000,"Mid range","Luxury"))</f>
        <v>Mid range</v>
      </c>
    </row>
    <row r="1391" spans="1:20" x14ac:dyDescent="0.35">
      <c r="A1391" s="3">
        <v>765341</v>
      </c>
      <c r="B1391" s="2" t="s">
        <v>12</v>
      </c>
      <c r="C1391">
        <v>39821</v>
      </c>
      <c r="D1391" s="2" t="s">
        <v>18</v>
      </c>
      <c r="E1391">
        <v>2</v>
      </c>
      <c r="F1391">
        <v>2</v>
      </c>
      <c r="G1391" s="4">
        <f>VALUE(SUBSTITUTE(SUBSTITUTE(Table1[[#This Row],[Price]],"$",""),",",""))</f>
        <v>765341</v>
      </c>
      <c r="H1391" s="1">
        <f>Table1[[#This Row],[Price2]]/Table1[[#This Row],[Area]]</f>
        <v>789.01134020618554</v>
      </c>
      <c r="I1391">
        <v>970</v>
      </c>
      <c r="J1391">
        <v>1969</v>
      </c>
      <c r="K1391">
        <v>62</v>
      </c>
      <c r="L1391" t="s">
        <v>14</v>
      </c>
      <c r="M1391" t="s">
        <v>1242</v>
      </c>
      <c r="N1391" s="2" t="s">
        <v>3031</v>
      </c>
      <c r="O1391" t="s">
        <v>3032</v>
      </c>
      <c r="P1391" t="s">
        <v>21</v>
      </c>
      <c r="Q1391">
        <v>789.01134020618554</v>
      </c>
      <c r="R1391">
        <f ca="1">YEAR(TODAY())-Table1[[#This Row],[Year Built]]</f>
        <v>57</v>
      </c>
      <c r="S1391" t="str">
        <f>IF(Table1[[#This Row],[Days on Market]] &lt; 30,"Fast",IF(Table1[[#This Row],[Days on Market]]&lt;= 90,"Average", "Slow"))</f>
        <v>Average</v>
      </c>
      <c r="T1391" t="str">
        <f>IF(Table1[[#This Row],[Price2]]&lt;500000,"Affordable",IF(Table1[[#This Row],[Price2]]&lt;1000000,"Mid range","Luxury"))</f>
        <v>Mid range</v>
      </c>
    </row>
    <row r="1392" spans="1:20" x14ac:dyDescent="0.35">
      <c r="A1392" s="3">
        <v>765584</v>
      </c>
      <c r="B1392" s="2" t="s">
        <v>12</v>
      </c>
      <c r="C1392">
        <v>60212</v>
      </c>
      <c r="D1392" s="2" t="s">
        <v>29</v>
      </c>
      <c r="E1392">
        <v>5</v>
      </c>
      <c r="F1392">
        <v>4</v>
      </c>
      <c r="G1392" s="4">
        <f>VALUE(SUBSTITUTE(SUBSTITUTE(Table1[[#This Row],[Price]],"$",""),",",""))</f>
        <v>765584</v>
      </c>
      <c r="H1392" s="1">
        <f>Table1[[#This Row],[Price2]]/Table1[[#This Row],[Area]]</f>
        <v>842.22662266226621</v>
      </c>
      <c r="I1392">
        <v>909</v>
      </c>
      <c r="J1392">
        <v>1953</v>
      </c>
      <c r="K1392">
        <v>70</v>
      </c>
      <c r="L1392" t="s">
        <v>52</v>
      </c>
      <c r="M1392" t="s">
        <v>2305</v>
      </c>
      <c r="N1392" s="2" t="s">
        <v>3027</v>
      </c>
      <c r="O1392" t="s">
        <v>3028</v>
      </c>
      <c r="P1392" t="s">
        <v>26</v>
      </c>
      <c r="Q1392">
        <v>842.22662266226621</v>
      </c>
      <c r="R1392">
        <f ca="1">YEAR(TODAY())-Table1[[#This Row],[Year Built]]</f>
        <v>73</v>
      </c>
      <c r="S1392" t="str">
        <f>IF(Table1[[#This Row],[Days on Market]] &lt; 30,"Fast",IF(Table1[[#This Row],[Days on Market]]&lt;= 90,"Average", "Slow"))</f>
        <v>Average</v>
      </c>
      <c r="T1392" t="str">
        <f>IF(Table1[[#This Row],[Price2]]&lt;500000,"Affordable",IF(Table1[[#This Row],[Price2]]&lt;1000000,"Mid range","Luxury"))</f>
        <v>Mid range</v>
      </c>
    </row>
    <row r="1393" spans="1:20" x14ac:dyDescent="0.35">
      <c r="A1393" s="3">
        <v>765589</v>
      </c>
      <c r="B1393" s="2" t="s">
        <v>22</v>
      </c>
      <c r="C1393">
        <v>79873</v>
      </c>
      <c r="D1393" s="2" t="s">
        <v>13</v>
      </c>
      <c r="E1393">
        <v>6</v>
      </c>
      <c r="F1393">
        <v>3</v>
      </c>
      <c r="G1393" s="4">
        <f>VALUE(SUBSTITUTE(SUBSTITUTE(Table1[[#This Row],[Price]],"$",""),",",""))</f>
        <v>765589</v>
      </c>
      <c r="H1393" s="1">
        <f>Table1[[#This Row],[Price2]]/Table1[[#This Row],[Area]]</f>
        <v>226.43862762496303</v>
      </c>
      <c r="I1393">
        <v>3381</v>
      </c>
      <c r="J1393">
        <v>2019</v>
      </c>
      <c r="K1393">
        <v>27</v>
      </c>
      <c r="L1393" t="s">
        <v>52</v>
      </c>
      <c r="M1393" t="s">
        <v>1758</v>
      </c>
      <c r="N1393" s="2" t="s">
        <v>3031</v>
      </c>
      <c r="O1393" t="s">
        <v>3032</v>
      </c>
      <c r="P1393" t="s">
        <v>21</v>
      </c>
      <c r="Q1393">
        <v>226.43862762496303</v>
      </c>
      <c r="R1393">
        <f ca="1">YEAR(TODAY())-Table1[[#This Row],[Year Built]]</f>
        <v>7</v>
      </c>
      <c r="S1393" t="str">
        <f>IF(Table1[[#This Row],[Days on Market]] &lt; 30,"Fast",IF(Table1[[#This Row],[Days on Market]]&lt;= 90,"Average", "Slow"))</f>
        <v>Fast</v>
      </c>
      <c r="T1393" t="str">
        <f>IF(Table1[[#This Row],[Price2]]&lt;500000,"Affordable",IF(Table1[[#This Row],[Price2]]&lt;1000000,"Mid range","Luxury"))</f>
        <v>Mid range</v>
      </c>
    </row>
    <row r="1394" spans="1:20" x14ac:dyDescent="0.35">
      <c r="A1394" s="3">
        <v>765739</v>
      </c>
      <c r="B1394" s="2" t="s">
        <v>22</v>
      </c>
      <c r="C1394">
        <v>90056</v>
      </c>
      <c r="D1394" s="2" t="s">
        <v>13</v>
      </c>
      <c r="E1394">
        <v>6</v>
      </c>
      <c r="F1394">
        <v>1</v>
      </c>
      <c r="G1394" s="4">
        <f>VALUE(SUBSTITUTE(SUBSTITUTE(Table1[[#This Row],[Price]],"$",""),",",""))</f>
        <v>765739</v>
      </c>
      <c r="H1394" s="1">
        <f>Table1[[#This Row],[Price2]]/Table1[[#This Row],[Area]]</f>
        <v>200.56024096385542</v>
      </c>
      <c r="I1394">
        <v>3818</v>
      </c>
      <c r="J1394">
        <v>2001</v>
      </c>
      <c r="K1394">
        <v>14</v>
      </c>
      <c r="L1394" t="s">
        <v>40</v>
      </c>
      <c r="M1394" t="s">
        <v>1073</v>
      </c>
      <c r="N1394" s="2" t="s">
        <v>3029</v>
      </c>
      <c r="O1394" t="s">
        <v>3030</v>
      </c>
      <c r="P1394" t="s">
        <v>21</v>
      </c>
      <c r="Q1394">
        <v>200.56024096385542</v>
      </c>
      <c r="R1394">
        <f ca="1">YEAR(TODAY())-Table1[[#This Row],[Year Built]]</f>
        <v>25</v>
      </c>
      <c r="S1394" t="str">
        <f>IF(Table1[[#This Row],[Days on Market]] &lt; 30,"Fast",IF(Table1[[#This Row],[Days on Market]]&lt;= 90,"Average", "Slow"))</f>
        <v>Fast</v>
      </c>
      <c r="T1394" t="str">
        <f>IF(Table1[[#This Row],[Price2]]&lt;500000,"Affordable",IF(Table1[[#This Row],[Price2]]&lt;1000000,"Mid range","Luxury"))</f>
        <v>Mid range</v>
      </c>
    </row>
    <row r="1395" spans="1:20" x14ac:dyDescent="0.35">
      <c r="A1395" s="3">
        <v>765764</v>
      </c>
      <c r="B1395" s="2" t="s">
        <v>22</v>
      </c>
      <c r="C1395">
        <v>54203</v>
      </c>
      <c r="D1395" s="2" t="s">
        <v>35</v>
      </c>
      <c r="E1395">
        <v>4</v>
      </c>
      <c r="F1395">
        <v>2</v>
      </c>
      <c r="G1395" s="4">
        <f>VALUE(SUBSTITUTE(SUBSTITUTE(Table1[[#This Row],[Price]],"$",""),",",""))</f>
        <v>765764</v>
      </c>
      <c r="H1395" s="1">
        <f>Table1[[#This Row],[Price2]]/Table1[[#This Row],[Area]]</f>
        <v>268.59487898982815</v>
      </c>
      <c r="I1395">
        <v>2851</v>
      </c>
      <c r="J1395">
        <v>1988</v>
      </c>
      <c r="K1395">
        <v>109</v>
      </c>
      <c r="L1395" t="s">
        <v>52</v>
      </c>
      <c r="M1395" t="s">
        <v>2516</v>
      </c>
      <c r="N1395" s="2" t="s">
        <v>3035</v>
      </c>
      <c r="O1395" t="s">
        <v>3036</v>
      </c>
      <c r="P1395" t="s">
        <v>21</v>
      </c>
      <c r="Q1395">
        <v>268.59487898982815</v>
      </c>
      <c r="R1395">
        <f ca="1">YEAR(TODAY())-Table1[[#This Row],[Year Built]]</f>
        <v>38</v>
      </c>
      <c r="S1395" t="str">
        <f>IF(Table1[[#This Row],[Days on Market]] &lt; 30,"Fast",IF(Table1[[#This Row],[Days on Market]]&lt;= 90,"Average", "Slow"))</f>
        <v>Slow</v>
      </c>
      <c r="T1395" t="str">
        <f>IF(Table1[[#This Row],[Price2]]&lt;500000,"Affordable",IF(Table1[[#This Row],[Price2]]&lt;1000000,"Mid range","Luxury"))</f>
        <v>Mid range</v>
      </c>
    </row>
    <row r="1396" spans="1:20" x14ac:dyDescent="0.35">
      <c r="A1396" s="3">
        <v>765935</v>
      </c>
      <c r="B1396" s="2" t="s">
        <v>27</v>
      </c>
      <c r="C1396">
        <v>83809</v>
      </c>
      <c r="D1396" s="2" t="s">
        <v>23</v>
      </c>
      <c r="E1396">
        <v>2</v>
      </c>
      <c r="F1396">
        <v>2</v>
      </c>
      <c r="G1396" s="4">
        <f>VALUE(SUBSTITUTE(SUBSTITUTE(Table1[[#This Row],[Price]],"$",""),",",""))</f>
        <v>765935</v>
      </c>
      <c r="H1396" s="1">
        <f>Table1[[#This Row],[Price2]]/Table1[[#This Row],[Area]]</f>
        <v>217.16331159625744</v>
      </c>
      <c r="I1396">
        <v>3527</v>
      </c>
      <c r="J1396">
        <v>2013</v>
      </c>
      <c r="K1396">
        <v>56</v>
      </c>
      <c r="L1396" t="s">
        <v>14</v>
      </c>
      <c r="M1396" t="s">
        <v>2329</v>
      </c>
      <c r="N1396" s="2" t="s">
        <v>3029</v>
      </c>
      <c r="O1396" t="s">
        <v>3030</v>
      </c>
      <c r="P1396" t="s">
        <v>21</v>
      </c>
      <c r="Q1396">
        <v>217.16331159625744</v>
      </c>
      <c r="R1396">
        <f ca="1">YEAR(TODAY())-Table1[[#This Row],[Year Built]]</f>
        <v>13</v>
      </c>
      <c r="S1396" t="str">
        <f>IF(Table1[[#This Row],[Days on Market]] &lt; 30,"Fast",IF(Table1[[#This Row],[Days on Market]]&lt;= 90,"Average", "Slow"))</f>
        <v>Average</v>
      </c>
      <c r="T1396" t="str">
        <f>IF(Table1[[#This Row],[Price2]]&lt;500000,"Affordable",IF(Table1[[#This Row],[Price2]]&lt;1000000,"Mid range","Luxury"))</f>
        <v>Mid range</v>
      </c>
    </row>
    <row r="1397" spans="1:20" x14ac:dyDescent="0.35">
      <c r="A1397" s="3">
        <v>766154</v>
      </c>
      <c r="B1397" s="2" t="s">
        <v>17</v>
      </c>
      <c r="C1397">
        <v>41583</v>
      </c>
      <c r="D1397" s="2" t="s">
        <v>29</v>
      </c>
      <c r="E1397">
        <v>2</v>
      </c>
      <c r="F1397">
        <v>1</v>
      </c>
      <c r="G1397" s="4">
        <f>VALUE(SUBSTITUTE(SUBSTITUTE(Table1[[#This Row],[Price]],"$",""),",",""))</f>
        <v>766154</v>
      </c>
      <c r="H1397" s="1">
        <f>Table1[[#This Row],[Price2]]/Table1[[#This Row],[Area]]</f>
        <v>866.69004524886873</v>
      </c>
      <c r="I1397">
        <v>884</v>
      </c>
      <c r="J1397">
        <v>1953</v>
      </c>
      <c r="K1397">
        <v>12</v>
      </c>
      <c r="L1397" t="s">
        <v>14</v>
      </c>
      <c r="M1397" t="s">
        <v>1922</v>
      </c>
      <c r="N1397" s="2" t="s">
        <v>3029</v>
      </c>
      <c r="O1397" t="s">
        <v>3030</v>
      </c>
      <c r="P1397" t="s">
        <v>21</v>
      </c>
      <c r="Q1397">
        <v>866.69004524886873</v>
      </c>
      <c r="R1397">
        <f ca="1">YEAR(TODAY())-Table1[[#This Row],[Year Built]]</f>
        <v>73</v>
      </c>
      <c r="S1397" t="str">
        <f>IF(Table1[[#This Row],[Days on Market]] &lt; 30,"Fast",IF(Table1[[#This Row],[Days on Market]]&lt;= 90,"Average", "Slow"))</f>
        <v>Fast</v>
      </c>
      <c r="T1397" t="str">
        <f>IF(Table1[[#This Row],[Price2]]&lt;500000,"Affordable",IF(Table1[[#This Row],[Price2]]&lt;1000000,"Mid range","Luxury"))</f>
        <v>Mid range</v>
      </c>
    </row>
    <row r="1398" spans="1:20" x14ac:dyDescent="0.35">
      <c r="A1398" s="3">
        <v>766178</v>
      </c>
      <c r="B1398" s="2" t="s">
        <v>22</v>
      </c>
      <c r="C1398">
        <v>82125</v>
      </c>
      <c r="D1398" s="2" t="s">
        <v>13</v>
      </c>
      <c r="E1398">
        <v>3</v>
      </c>
      <c r="F1398">
        <v>3</v>
      </c>
      <c r="G1398" s="4">
        <f>VALUE(SUBSTITUTE(SUBSTITUTE(Table1[[#This Row],[Price]],"$",""),",",""))</f>
        <v>766178</v>
      </c>
      <c r="H1398" s="1">
        <f>Table1[[#This Row],[Price2]]/Table1[[#This Row],[Area]]</f>
        <v>250.95905666557485</v>
      </c>
      <c r="I1398">
        <v>3053</v>
      </c>
      <c r="J1398">
        <v>2018</v>
      </c>
      <c r="K1398">
        <v>9</v>
      </c>
      <c r="L1398" t="s">
        <v>30</v>
      </c>
      <c r="M1398" t="s">
        <v>2183</v>
      </c>
      <c r="N1398" s="2" t="s">
        <v>3033</v>
      </c>
      <c r="O1398" t="s">
        <v>3034</v>
      </c>
      <c r="P1398" t="s">
        <v>26</v>
      </c>
      <c r="Q1398">
        <v>250.95905666557485</v>
      </c>
      <c r="R1398">
        <f ca="1">YEAR(TODAY())-Table1[[#This Row],[Year Built]]</f>
        <v>8</v>
      </c>
      <c r="S1398" t="str">
        <f>IF(Table1[[#This Row],[Days on Market]] &lt; 30,"Fast",IF(Table1[[#This Row],[Days on Market]]&lt;= 90,"Average", "Slow"))</f>
        <v>Fast</v>
      </c>
      <c r="T1398" t="str">
        <f>IF(Table1[[#This Row],[Price2]]&lt;500000,"Affordable",IF(Table1[[#This Row],[Price2]]&lt;1000000,"Mid range","Luxury"))</f>
        <v>Mid range</v>
      </c>
    </row>
    <row r="1399" spans="1:20" x14ac:dyDescent="0.35">
      <c r="A1399" s="3">
        <v>767118</v>
      </c>
      <c r="B1399" s="2" t="s">
        <v>34</v>
      </c>
      <c r="C1399">
        <v>35549</v>
      </c>
      <c r="D1399" s="2" t="s">
        <v>18</v>
      </c>
      <c r="E1399">
        <v>5</v>
      </c>
      <c r="F1399">
        <v>3</v>
      </c>
      <c r="G1399" s="4">
        <f>VALUE(SUBSTITUTE(SUBSTITUTE(Table1[[#This Row],[Price]],"$",""),",",""))</f>
        <v>767118</v>
      </c>
      <c r="H1399" s="1">
        <f>Table1[[#This Row],[Price2]]/Table1[[#This Row],[Area]]</f>
        <v>866.8</v>
      </c>
      <c r="I1399">
        <v>885</v>
      </c>
      <c r="J1399">
        <v>1957</v>
      </c>
      <c r="K1399">
        <v>89</v>
      </c>
      <c r="L1399" t="s">
        <v>52</v>
      </c>
      <c r="M1399" t="s">
        <v>2206</v>
      </c>
      <c r="N1399" s="2" t="s">
        <v>3031</v>
      </c>
      <c r="O1399" t="s">
        <v>3032</v>
      </c>
      <c r="P1399" t="s">
        <v>21</v>
      </c>
      <c r="Q1399">
        <v>866.8</v>
      </c>
      <c r="R1399">
        <f ca="1">YEAR(TODAY())-Table1[[#This Row],[Year Built]]</f>
        <v>69</v>
      </c>
      <c r="S1399" t="str">
        <f>IF(Table1[[#This Row],[Days on Market]] &lt; 30,"Fast",IF(Table1[[#This Row],[Days on Market]]&lt;= 90,"Average", "Slow"))</f>
        <v>Average</v>
      </c>
      <c r="T1399" t="str">
        <f>IF(Table1[[#This Row],[Price2]]&lt;500000,"Affordable",IF(Table1[[#This Row],[Price2]]&lt;1000000,"Mid range","Luxury"))</f>
        <v>Mid range</v>
      </c>
    </row>
    <row r="1400" spans="1:20" x14ac:dyDescent="0.35">
      <c r="A1400" s="3">
        <v>768400</v>
      </c>
      <c r="B1400" s="2" t="s">
        <v>27</v>
      </c>
      <c r="C1400">
        <v>13028</v>
      </c>
      <c r="D1400" s="2" t="s">
        <v>29</v>
      </c>
      <c r="E1400">
        <v>4</v>
      </c>
      <c r="F1400">
        <v>3</v>
      </c>
      <c r="G1400" s="4">
        <f>VALUE(SUBSTITUTE(SUBSTITUTE(Table1[[#This Row],[Price]],"$",""),",",""))</f>
        <v>768400</v>
      </c>
      <c r="H1400" s="1">
        <f>Table1[[#This Row],[Price2]]/Table1[[#This Row],[Area]]</f>
        <v>297.48354626403409</v>
      </c>
      <c r="I1400">
        <v>2583</v>
      </c>
      <c r="J1400">
        <v>1988</v>
      </c>
      <c r="K1400">
        <v>105</v>
      </c>
      <c r="L1400" t="s">
        <v>52</v>
      </c>
      <c r="M1400" t="s">
        <v>2487</v>
      </c>
      <c r="N1400" s="2" t="s">
        <v>3029</v>
      </c>
      <c r="O1400" t="s">
        <v>3030</v>
      </c>
      <c r="P1400" t="s">
        <v>21</v>
      </c>
      <c r="Q1400">
        <v>297.48354626403409</v>
      </c>
      <c r="R1400">
        <f ca="1">YEAR(TODAY())-Table1[[#This Row],[Year Built]]</f>
        <v>38</v>
      </c>
      <c r="S1400" t="str">
        <f>IF(Table1[[#This Row],[Days on Market]] &lt; 30,"Fast",IF(Table1[[#This Row],[Days on Market]]&lt;= 90,"Average", "Slow"))</f>
        <v>Slow</v>
      </c>
      <c r="T1400" t="str">
        <f>IF(Table1[[#This Row],[Price2]]&lt;500000,"Affordable",IF(Table1[[#This Row],[Price2]]&lt;1000000,"Mid range","Luxury"))</f>
        <v>Mid range</v>
      </c>
    </row>
    <row r="1401" spans="1:20" x14ac:dyDescent="0.35">
      <c r="A1401" s="3">
        <v>769259</v>
      </c>
      <c r="B1401" s="2" t="s">
        <v>34</v>
      </c>
      <c r="C1401">
        <v>67894</v>
      </c>
      <c r="D1401" s="2" t="s">
        <v>13</v>
      </c>
      <c r="E1401">
        <v>1</v>
      </c>
      <c r="F1401">
        <v>4</v>
      </c>
      <c r="G1401" s="4">
        <f>VALUE(SUBSTITUTE(SUBSTITUTE(Table1[[#This Row],[Price]],"$",""),",",""))</f>
        <v>769259</v>
      </c>
      <c r="H1401" s="1">
        <f>Table1[[#This Row],[Price2]]/Table1[[#This Row],[Area]]</f>
        <v>788.98358974358973</v>
      </c>
      <c r="I1401">
        <v>975</v>
      </c>
      <c r="J1401">
        <v>1992</v>
      </c>
      <c r="K1401">
        <v>57</v>
      </c>
      <c r="L1401" t="s">
        <v>52</v>
      </c>
      <c r="M1401" t="s">
        <v>1639</v>
      </c>
      <c r="N1401" s="2" t="s">
        <v>3027</v>
      </c>
      <c r="O1401" t="s">
        <v>3028</v>
      </c>
      <c r="P1401" t="s">
        <v>26</v>
      </c>
      <c r="Q1401">
        <v>788.98358974358973</v>
      </c>
      <c r="R1401">
        <f ca="1">YEAR(TODAY())-Table1[[#This Row],[Year Built]]</f>
        <v>34</v>
      </c>
      <c r="S1401" t="str">
        <f>IF(Table1[[#This Row],[Days on Market]] &lt; 30,"Fast",IF(Table1[[#This Row],[Days on Market]]&lt;= 90,"Average", "Slow"))</f>
        <v>Average</v>
      </c>
      <c r="T1401" t="str">
        <f>IF(Table1[[#This Row],[Price2]]&lt;500000,"Affordable",IF(Table1[[#This Row],[Price2]]&lt;1000000,"Mid range","Luxury"))</f>
        <v>Mid range</v>
      </c>
    </row>
    <row r="1402" spans="1:20" x14ac:dyDescent="0.35">
      <c r="A1402" s="3">
        <v>770157</v>
      </c>
      <c r="B1402" s="2" t="s">
        <v>17</v>
      </c>
      <c r="C1402">
        <v>69983</v>
      </c>
      <c r="D1402" s="2" t="s">
        <v>23</v>
      </c>
      <c r="E1402">
        <v>4</v>
      </c>
      <c r="F1402">
        <v>4</v>
      </c>
      <c r="G1402" s="4">
        <f>VALUE(SUBSTITUTE(SUBSTITUTE(Table1[[#This Row],[Price]],"$",""),",",""))</f>
        <v>770157</v>
      </c>
      <c r="H1402" s="1">
        <f>Table1[[#This Row],[Price2]]/Table1[[#This Row],[Area]]</f>
        <v>263.48169688676018</v>
      </c>
      <c r="I1402">
        <v>2923</v>
      </c>
      <c r="J1402">
        <v>2011</v>
      </c>
      <c r="K1402">
        <v>68</v>
      </c>
      <c r="L1402" t="s">
        <v>52</v>
      </c>
      <c r="M1402" t="s">
        <v>2355</v>
      </c>
      <c r="N1402" s="2" t="s">
        <v>3027</v>
      </c>
      <c r="O1402" t="s">
        <v>3028</v>
      </c>
      <c r="P1402" t="s">
        <v>16</v>
      </c>
      <c r="Q1402">
        <v>263.48169688676018</v>
      </c>
      <c r="R1402">
        <f ca="1">YEAR(TODAY())-Table1[[#This Row],[Year Built]]</f>
        <v>15</v>
      </c>
      <c r="S1402" t="str">
        <f>IF(Table1[[#This Row],[Days on Market]] &lt; 30,"Fast",IF(Table1[[#This Row],[Days on Market]]&lt;= 90,"Average", "Slow"))</f>
        <v>Average</v>
      </c>
      <c r="T1402" t="str">
        <f>IF(Table1[[#This Row],[Price2]]&lt;500000,"Affordable",IF(Table1[[#This Row],[Price2]]&lt;1000000,"Mid range","Luxury"))</f>
        <v>Mid range</v>
      </c>
    </row>
    <row r="1403" spans="1:20" x14ac:dyDescent="0.35">
      <c r="A1403" s="3">
        <v>770472</v>
      </c>
      <c r="B1403" s="2" t="s">
        <v>12</v>
      </c>
      <c r="C1403">
        <v>36770</v>
      </c>
      <c r="D1403" s="2" t="s">
        <v>35</v>
      </c>
      <c r="E1403">
        <v>2</v>
      </c>
      <c r="F1403">
        <v>1</v>
      </c>
      <c r="G1403" s="4">
        <f>VALUE(SUBSTITUTE(SUBSTITUTE(Table1[[#This Row],[Price]],"$",""),",",""))</f>
        <v>770472</v>
      </c>
      <c r="H1403" s="1">
        <f>Table1[[#This Row],[Price2]]/Table1[[#This Row],[Area]]</f>
        <v>251.87054593004251</v>
      </c>
      <c r="I1403">
        <v>3059</v>
      </c>
      <c r="J1403">
        <v>1969</v>
      </c>
      <c r="K1403">
        <v>99</v>
      </c>
      <c r="L1403" t="s">
        <v>52</v>
      </c>
      <c r="M1403" t="s">
        <v>2993</v>
      </c>
      <c r="N1403" s="2" t="s">
        <v>3031</v>
      </c>
      <c r="O1403" t="s">
        <v>3032</v>
      </c>
      <c r="P1403" t="s">
        <v>21</v>
      </c>
      <c r="Q1403">
        <v>251.87054593004251</v>
      </c>
      <c r="R1403">
        <f ca="1">YEAR(TODAY())-Table1[[#This Row],[Year Built]]</f>
        <v>57</v>
      </c>
      <c r="S1403" t="str">
        <f>IF(Table1[[#This Row],[Days on Market]] &lt; 30,"Fast",IF(Table1[[#This Row],[Days on Market]]&lt;= 90,"Average", "Slow"))</f>
        <v>Slow</v>
      </c>
      <c r="T1403" t="str">
        <f>IF(Table1[[#This Row],[Price2]]&lt;500000,"Affordable",IF(Table1[[#This Row],[Price2]]&lt;1000000,"Mid range","Luxury"))</f>
        <v>Mid range</v>
      </c>
    </row>
    <row r="1404" spans="1:20" x14ac:dyDescent="0.35">
      <c r="A1404" s="3">
        <v>770630</v>
      </c>
      <c r="B1404" s="2" t="s">
        <v>17</v>
      </c>
      <c r="C1404">
        <v>17167</v>
      </c>
      <c r="D1404" s="2" t="s">
        <v>18</v>
      </c>
      <c r="E1404">
        <v>6</v>
      </c>
      <c r="F1404">
        <v>2</v>
      </c>
      <c r="G1404" s="4">
        <f>VALUE(SUBSTITUTE(SUBSTITUTE(Table1[[#This Row],[Price]],"$",""),",",""))</f>
        <v>770630</v>
      </c>
      <c r="H1404" s="1">
        <f>Table1[[#This Row],[Price2]]/Table1[[#This Row],[Area]]</f>
        <v>245.18930957683742</v>
      </c>
      <c r="I1404">
        <v>3143</v>
      </c>
      <c r="J1404">
        <v>2017</v>
      </c>
      <c r="K1404">
        <v>56</v>
      </c>
      <c r="L1404" t="s">
        <v>19</v>
      </c>
      <c r="M1404" t="s">
        <v>1923</v>
      </c>
      <c r="N1404" s="2" t="s">
        <v>3029</v>
      </c>
      <c r="O1404" t="s">
        <v>3030</v>
      </c>
      <c r="P1404" t="s">
        <v>26</v>
      </c>
      <c r="Q1404">
        <v>245.18930957683742</v>
      </c>
      <c r="R1404">
        <f ca="1">YEAR(TODAY())-Table1[[#This Row],[Year Built]]</f>
        <v>9</v>
      </c>
      <c r="S1404" t="str">
        <f>IF(Table1[[#This Row],[Days on Market]] &lt; 30,"Fast",IF(Table1[[#This Row],[Days on Market]]&lt;= 90,"Average", "Slow"))</f>
        <v>Average</v>
      </c>
      <c r="T1404" t="str">
        <f>IF(Table1[[#This Row],[Price2]]&lt;500000,"Affordable",IF(Table1[[#This Row],[Price2]]&lt;1000000,"Mid range","Luxury"))</f>
        <v>Mid range</v>
      </c>
    </row>
    <row r="1405" spans="1:20" x14ac:dyDescent="0.35">
      <c r="A1405" s="3">
        <v>770905</v>
      </c>
      <c r="B1405" s="2" t="s">
        <v>27</v>
      </c>
      <c r="C1405">
        <v>24534</v>
      </c>
      <c r="D1405" s="2" t="s">
        <v>18</v>
      </c>
      <c r="E1405">
        <v>2</v>
      </c>
      <c r="F1405">
        <v>4</v>
      </c>
      <c r="G1405" s="4">
        <f>VALUE(SUBSTITUTE(SUBSTITUTE(Table1[[#This Row],[Price]],"$",""),",",""))</f>
        <v>770905</v>
      </c>
      <c r="H1405" s="1">
        <f>Table1[[#This Row],[Price2]]/Table1[[#This Row],[Area]]</f>
        <v>266.01276742581092</v>
      </c>
      <c r="I1405">
        <v>2898</v>
      </c>
      <c r="J1405">
        <v>2017</v>
      </c>
      <c r="K1405">
        <v>82</v>
      </c>
      <c r="L1405" t="s">
        <v>19</v>
      </c>
      <c r="M1405" t="s">
        <v>436</v>
      </c>
      <c r="N1405" s="2" t="s">
        <v>3027</v>
      </c>
      <c r="O1405" t="s">
        <v>3028</v>
      </c>
      <c r="P1405" t="s">
        <v>26</v>
      </c>
      <c r="Q1405">
        <v>266.01276742581092</v>
      </c>
      <c r="R1405">
        <f ca="1">YEAR(TODAY())-Table1[[#This Row],[Year Built]]</f>
        <v>9</v>
      </c>
      <c r="S1405" t="str">
        <f>IF(Table1[[#This Row],[Days on Market]] &lt; 30,"Fast",IF(Table1[[#This Row],[Days on Market]]&lt;= 90,"Average", "Slow"))</f>
        <v>Average</v>
      </c>
      <c r="T1405" t="str">
        <f>IF(Table1[[#This Row],[Price2]]&lt;500000,"Affordable",IF(Table1[[#This Row],[Price2]]&lt;1000000,"Mid range","Luxury"))</f>
        <v>Mid range</v>
      </c>
    </row>
    <row r="1406" spans="1:20" x14ac:dyDescent="0.35">
      <c r="A1406" s="3">
        <v>771277</v>
      </c>
      <c r="B1406" s="2" t="s">
        <v>17</v>
      </c>
      <c r="C1406">
        <v>97789</v>
      </c>
      <c r="D1406" s="2" t="s">
        <v>18</v>
      </c>
      <c r="E1406">
        <v>3</v>
      </c>
      <c r="F1406">
        <v>4</v>
      </c>
      <c r="G1406" s="4">
        <f>VALUE(SUBSTITUTE(SUBSTITUTE(Table1[[#This Row],[Price]],"$",""),",",""))</f>
        <v>771277</v>
      </c>
      <c r="H1406" s="1">
        <f>Table1[[#This Row],[Price2]]/Table1[[#This Row],[Area]]</f>
        <v>262.16077498300479</v>
      </c>
      <c r="I1406">
        <v>2942</v>
      </c>
      <c r="J1406">
        <v>1972</v>
      </c>
      <c r="K1406">
        <v>63</v>
      </c>
      <c r="L1406" t="s">
        <v>19</v>
      </c>
      <c r="M1406" t="s">
        <v>2634</v>
      </c>
      <c r="N1406" s="2" t="s">
        <v>3033</v>
      </c>
      <c r="O1406" t="s">
        <v>3034</v>
      </c>
      <c r="P1406" t="s">
        <v>16</v>
      </c>
      <c r="Q1406">
        <v>262.16077498300479</v>
      </c>
      <c r="R1406">
        <f ca="1">YEAR(TODAY())-Table1[[#This Row],[Year Built]]</f>
        <v>54</v>
      </c>
      <c r="S1406" t="str">
        <f>IF(Table1[[#This Row],[Days on Market]] &lt; 30,"Fast",IF(Table1[[#This Row],[Days on Market]]&lt;= 90,"Average", "Slow"))</f>
        <v>Average</v>
      </c>
      <c r="T1406" t="str">
        <f>IF(Table1[[#This Row],[Price2]]&lt;500000,"Affordable",IF(Table1[[#This Row],[Price2]]&lt;1000000,"Mid range","Luxury"))</f>
        <v>Mid range</v>
      </c>
    </row>
    <row r="1407" spans="1:20" x14ac:dyDescent="0.35">
      <c r="A1407" s="3">
        <v>772408</v>
      </c>
      <c r="B1407" s="2" t="s">
        <v>27</v>
      </c>
      <c r="C1407">
        <v>52450</v>
      </c>
      <c r="D1407" s="2" t="s">
        <v>29</v>
      </c>
      <c r="E1407">
        <v>6</v>
      </c>
      <c r="F1407">
        <v>2</v>
      </c>
      <c r="G1407" s="4">
        <f>VALUE(SUBSTITUTE(SUBSTITUTE(Table1[[#This Row],[Price]],"$",""),",",""))</f>
        <v>772408</v>
      </c>
      <c r="H1407" s="1">
        <f>Table1[[#This Row],[Price2]]/Table1[[#This Row],[Area]]</f>
        <v>749.91067961165049</v>
      </c>
      <c r="I1407">
        <v>1030</v>
      </c>
      <c r="J1407">
        <v>2008</v>
      </c>
      <c r="K1407">
        <v>87</v>
      </c>
      <c r="L1407" t="s">
        <v>30</v>
      </c>
      <c r="M1407" t="s">
        <v>1066</v>
      </c>
      <c r="N1407" s="2" t="s">
        <v>3029</v>
      </c>
      <c r="O1407" t="s">
        <v>3030</v>
      </c>
      <c r="P1407" t="s">
        <v>16</v>
      </c>
      <c r="Q1407">
        <v>749.91067961165049</v>
      </c>
      <c r="R1407">
        <f ca="1">YEAR(TODAY())-Table1[[#This Row],[Year Built]]</f>
        <v>18</v>
      </c>
      <c r="S1407" t="str">
        <f>IF(Table1[[#This Row],[Days on Market]] &lt; 30,"Fast",IF(Table1[[#This Row],[Days on Market]]&lt;= 90,"Average", "Slow"))</f>
        <v>Average</v>
      </c>
      <c r="T1407" t="str">
        <f>IF(Table1[[#This Row],[Price2]]&lt;500000,"Affordable",IF(Table1[[#This Row],[Price2]]&lt;1000000,"Mid range","Luxury"))</f>
        <v>Mid range</v>
      </c>
    </row>
    <row r="1408" spans="1:20" x14ac:dyDescent="0.35">
      <c r="A1408" s="3">
        <v>772817</v>
      </c>
      <c r="B1408" s="2" t="s">
        <v>27</v>
      </c>
      <c r="C1408">
        <v>60485</v>
      </c>
      <c r="D1408" s="2" t="s">
        <v>18</v>
      </c>
      <c r="E1408">
        <v>1</v>
      </c>
      <c r="F1408">
        <v>2</v>
      </c>
      <c r="G1408" s="4">
        <f>VALUE(SUBSTITUTE(SUBSTITUTE(Table1[[#This Row],[Price]],"$",""),",",""))</f>
        <v>772817</v>
      </c>
      <c r="H1408" s="1">
        <f>Table1[[#This Row],[Price2]]/Table1[[#This Row],[Area]]</f>
        <v>296.89473684210526</v>
      </c>
      <c r="I1408">
        <v>2603</v>
      </c>
      <c r="J1408">
        <v>1960</v>
      </c>
      <c r="K1408">
        <v>45</v>
      </c>
      <c r="L1408" t="s">
        <v>52</v>
      </c>
      <c r="M1408" t="s">
        <v>376</v>
      </c>
      <c r="N1408" s="2" t="s">
        <v>3031</v>
      </c>
      <c r="O1408" t="s">
        <v>3032</v>
      </c>
      <c r="P1408" t="s">
        <v>26</v>
      </c>
      <c r="Q1408">
        <v>296.89473684210526</v>
      </c>
      <c r="R1408">
        <f ca="1">YEAR(TODAY())-Table1[[#This Row],[Year Built]]</f>
        <v>66</v>
      </c>
      <c r="S1408" t="str">
        <f>IF(Table1[[#This Row],[Days on Market]] &lt; 30,"Fast",IF(Table1[[#This Row],[Days on Market]]&lt;= 90,"Average", "Slow"))</f>
        <v>Average</v>
      </c>
      <c r="T1408" t="str">
        <f>IF(Table1[[#This Row],[Price2]]&lt;500000,"Affordable",IF(Table1[[#This Row],[Price2]]&lt;1000000,"Mid range","Luxury"))</f>
        <v>Mid range</v>
      </c>
    </row>
    <row r="1409" spans="1:20" x14ac:dyDescent="0.35">
      <c r="A1409" s="3">
        <v>772844</v>
      </c>
      <c r="B1409" s="2" t="s">
        <v>17</v>
      </c>
      <c r="C1409">
        <v>48506</v>
      </c>
      <c r="D1409" s="2" t="s">
        <v>29</v>
      </c>
      <c r="E1409">
        <v>4</v>
      </c>
      <c r="F1409">
        <v>1</v>
      </c>
      <c r="G1409" s="4">
        <f>VALUE(SUBSTITUTE(SUBSTITUTE(Table1[[#This Row],[Price]],"$",""),",",""))</f>
        <v>772844</v>
      </c>
      <c r="H1409" s="1">
        <f>Table1[[#This Row],[Price2]]/Table1[[#This Row],[Area]]</f>
        <v>337.48646288209608</v>
      </c>
      <c r="I1409">
        <v>2290</v>
      </c>
      <c r="J1409">
        <v>1981</v>
      </c>
      <c r="K1409">
        <v>93</v>
      </c>
      <c r="L1409" t="s">
        <v>14</v>
      </c>
      <c r="M1409" t="s">
        <v>1842</v>
      </c>
      <c r="N1409" s="2" t="s">
        <v>3035</v>
      </c>
      <c r="O1409" t="s">
        <v>3036</v>
      </c>
      <c r="P1409" t="s">
        <v>16</v>
      </c>
      <c r="Q1409">
        <v>337.48646288209608</v>
      </c>
      <c r="R1409">
        <f ca="1">YEAR(TODAY())-Table1[[#This Row],[Year Built]]</f>
        <v>45</v>
      </c>
      <c r="S1409" t="str">
        <f>IF(Table1[[#This Row],[Days on Market]] &lt; 30,"Fast",IF(Table1[[#This Row],[Days on Market]]&lt;= 90,"Average", "Slow"))</f>
        <v>Slow</v>
      </c>
      <c r="T1409" t="str">
        <f>IF(Table1[[#This Row],[Price2]]&lt;500000,"Affordable",IF(Table1[[#This Row],[Price2]]&lt;1000000,"Mid range","Luxury"))</f>
        <v>Mid range</v>
      </c>
    </row>
    <row r="1410" spans="1:20" x14ac:dyDescent="0.35">
      <c r="A1410" s="3">
        <v>772904</v>
      </c>
      <c r="B1410" s="2" t="s">
        <v>34</v>
      </c>
      <c r="C1410">
        <v>26090</v>
      </c>
      <c r="D1410" s="2" t="s">
        <v>23</v>
      </c>
      <c r="E1410">
        <v>3</v>
      </c>
      <c r="F1410">
        <v>4</v>
      </c>
      <c r="G1410" s="4">
        <f>VALUE(SUBSTITUTE(SUBSTITUTE(Table1[[#This Row],[Price]],"$",""),",",""))</f>
        <v>772904</v>
      </c>
      <c r="H1410" s="1">
        <f>Table1[[#This Row],[Price2]]/Table1[[#This Row],[Area]]</f>
        <v>224.48562300319489</v>
      </c>
      <c r="I1410">
        <v>3443</v>
      </c>
      <c r="J1410">
        <v>1959</v>
      </c>
      <c r="K1410">
        <v>71</v>
      </c>
      <c r="L1410" t="s">
        <v>19</v>
      </c>
      <c r="M1410" t="s">
        <v>2234</v>
      </c>
      <c r="N1410" s="2" t="s">
        <v>3029</v>
      </c>
      <c r="O1410" t="s">
        <v>3030</v>
      </c>
      <c r="P1410" t="s">
        <v>26</v>
      </c>
      <c r="Q1410">
        <v>224.48562300319489</v>
      </c>
      <c r="R1410">
        <f ca="1">YEAR(TODAY())-Table1[[#This Row],[Year Built]]</f>
        <v>67</v>
      </c>
      <c r="S1410" t="str">
        <f>IF(Table1[[#This Row],[Days on Market]] &lt; 30,"Fast",IF(Table1[[#This Row],[Days on Market]]&lt;= 90,"Average", "Slow"))</f>
        <v>Average</v>
      </c>
      <c r="T1410" t="str">
        <f>IF(Table1[[#This Row],[Price2]]&lt;500000,"Affordable",IF(Table1[[#This Row],[Price2]]&lt;1000000,"Mid range","Luxury"))</f>
        <v>Mid range</v>
      </c>
    </row>
    <row r="1411" spans="1:20" x14ac:dyDescent="0.35">
      <c r="A1411" s="3">
        <v>772910</v>
      </c>
      <c r="B1411" s="2" t="s">
        <v>34</v>
      </c>
      <c r="C1411">
        <v>14339</v>
      </c>
      <c r="D1411" s="2" t="s">
        <v>23</v>
      </c>
      <c r="E1411">
        <v>5</v>
      </c>
      <c r="F1411">
        <v>3</v>
      </c>
      <c r="G1411" s="4">
        <f>VALUE(SUBSTITUTE(SUBSTITUTE(Table1[[#This Row],[Price]],"$",""),",",""))</f>
        <v>772910</v>
      </c>
      <c r="H1411" s="1">
        <f>Table1[[#This Row],[Price2]]/Table1[[#This Row],[Area]]</f>
        <v>554.85283560660446</v>
      </c>
      <c r="I1411">
        <v>1393</v>
      </c>
      <c r="J1411">
        <v>1957</v>
      </c>
      <c r="K1411">
        <v>81</v>
      </c>
      <c r="L1411" t="s">
        <v>14</v>
      </c>
      <c r="M1411" t="s">
        <v>846</v>
      </c>
      <c r="N1411" s="2" t="s">
        <v>3031</v>
      </c>
      <c r="O1411" t="s">
        <v>3032</v>
      </c>
      <c r="P1411" t="s">
        <v>26</v>
      </c>
      <c r="Q1411">
        <v>554.85283560660446</v>
      </c>
      <c r="R1411">
        <f ca="1">YEAR(TODAY())-Table1[[#This Row],[Year Built]]</f>
        <v>69</v>
      </c>
      <c r="S1411" t="str">
        <f>IF(Table1[[#This Row],[Days on Market]] &lt; 30,"Fast",IF(Table1[[#This Row],[Days on Market]]&lt;= 90,"Average", "Slow"))</f>
        <v>Average</v>
      </c>
      <c r="T1411" t="str">
        <f>IF(Table1[[#This Row],[Price2]]&lt;500000,"Affordable",IF(Table1[[#This Row],[Price2]]&lt;1000000,"Mid range","Luxury"))</f>
        <v>Mid range</v>
      </c>
    </row>
    <row r="1412" spans="1:20" x14ac:dyDescent="0.35">
      <c r="A1412" s="3">
        <v>773067</v>
      </c>
      <c r="B1412" s="2" t="s">
        <v>34</v>
      </c>
      <c r="C1412">
        <v>19908</v>
      </c>
      <c r="D1412" s="2" t="s">
        <v>18</v>
      </c>
      <c r="E1412">
        <v>4</v>
      </c>
      <c r="F1412">
        <v>3</v>
      </c>
      <c r="G1412" s="4">
        <f>VALUE(SUBSTITUTE(SUBSTITUTE(Table1[[#This Row],[Price]],"$",""),",",""))</f>
        <v>773067</v>
      </c>
      <c r="H1412" s="1">
        <f>Table1[[#This Row],[Price2]]/Table1[[#This Row],[Area]]</f>
        <v>277.18429544639656</v>
      </c>
      <c r="I1412">
        <v>2789</v>
      </c>
      <c r="J1412">
        <v>2001</v>
      </c>
      <c r="K1412">
        <v>48</v>
      </c>
      <c r="L1412" t="s">
        <v>30</v>
      </c>
      <c r="M1412" t="s">
        <v>334</v>
      </c>
      <c r="N1412" s="2" t="s">
        <v>3035</v>
      </c>
      <c r="O1412" t="s">
        <v>3036</v>
      </c>
      <c r="P1412" t="s">
        <v>21</v>
      </c>
      <c r="Q1412">
        <v>277.18429544639656</v>
      </c>
      <c r="R1412">
        <f ca="1">YEAR(TODAY())-Table1[[#This Row],[Year Built]]</f>
        <v>25</v>
      </c>
      <c r="S1412" t="str">
        <f>IF(Table1[[#This Row],[Days on Market]] &lt; 30,"Fast",IF(Table1[[#This Row],[Days on Market]]&lt;= 90,"Average", "Slow"))</f>
        <v>Average</v>
      </c>
      <c r="T1412" t="str">
        <f>IF(Table1[[#This Row],[Price2]]&lt;500000,"Affordable",IF(Table1[[#This Row],[Price2]]&lt;1000000,"Mid range","Luxury"))</f>
        <v>Mid range</v>
      </c>
    </row>
    <row r="1413" spans="1:20" x14ac:dyDescent="0.35">
      <c r="A1413" s="3">
        <v>773068</v>
      </c>
      <c r="B1413" s="2" t="s">
        <v>34</v>
      </c>
      <c r="C1413">
        <v>15276</v>
      </c>
      <c r="D1413" s="2" t="s">
        <v>13</v>
      </c>
      <c r="E1413">
        <v>4</v>
      </c>
      <c r="F1413">
        <v>3</v>
      </c>
      <c r="G1413" s="4">
        <f>VALUE(SUBSTITUTE(SUBSTITUTE(Table1[[#This Row],[Price]],"$",""),",",""))</f>
        <v>773068</v>
      </c>
      <c r="H1413" s="1">
        <f>Table1[[#This Row],[Price2]]/Table1[[#This Row],[Area]]</f>
        <v>846.73384446878424</v>
      </c>
      <c r="I1413">
        <v>913</v>
      </c>
      <c r="J1413">
        <v>1965</v>
      </c>
      <c r="K1413">
        <v>117</v>
      </c>
      <c r="L1413" t="s">
        <v>52</v>
      </c>
      <c r="M1413" t="s">
        <v>2403</v>
      </c>
      <c r="N1413" s="2" t="s">
        <v>3027</v>
      </c>
      <c r="O1413" t="s">
        <v>3028</v>
      </c>
      <c r="P1413" t="s">
        <v>16</v>
      </c>
      <c r="Q1413">
        <v>846.73384446878424</v>
      </c>
      <c r="R1413">
        <f ca="1">YEAR(TODAY())-Table1[[#This Row],[Year Built]]</f>
        <v>61</v>
      </c>
      <c r="S1413" t="str">
        <f>IF(Table1[[#This Row],[Days on Market]] &lt; 30,"Fast",IF(Table1[[#This Row],[Days on Market]]&lt;= 90,"Average", "Slow"))</f>
        <v>Slow</v>
      </c>
      <c r="T1413" t="str">
        <f>IF(Table1[[#This Row],[Price2]]&lt;500000,"Affordable",IF(Table1[[#This Row],[Price2]]&lt;1000000,"Mid range","Luxury"))</f>
        <v>Mid range</v>
      </c>
    </row>
    <row r="1414" spans="1:20" x14ac:dyDescent="0.35">
      <c r="A1414" s="3">
        <v>775005</v>
      </c>
      <c r="B1414" s="2" t="s">
        <v>34</v>
      </c>
      <c r="C1414">
        <v>59250</v>
      </c>
      <c r="D1414" s="2" t="s">
        <v>23</v>
      </c>
      <c r="E1414">
        <v>2</v>
      </c>
      <c r="F1414">
        <v>3</v>
      </c>
      <c r="G1414" s="4">
        <f>VALUE(SUBSTITUTE(SUBSTITUTE(Table1[[#This Row],[Price]],"$",""),",",""))</f>
        <v>775005</v>
      </c>
      <c r="H1414" s="1">
        <f>Table1[[#This Row],[Price2]]/Table1[[#This Row],[Area]]</f>
        <v>248.55837075048109</v>
      </c>
      <c r="I1414">
        <v>3118</v>
      </c>
      <c r="J1414">
        <v>1951</v>
      </c>
      <c r="K1414">
        <v>116</v>
      </c>
      <c r="L1414" t="s">
        <v>52</v>
      </c>
      <c r="M1414" t="s">
        <v>1360</v>
      </c>
      <c r="N1414" s="2" t="s">
        <v>3031</v>
      </c>
      <c r="O1414" t="s">
        <v>3032</v>
      </c>
      <c r="P1414" t="s">
        <v>21</v>
      </c>
      <c r="Q1414">
        <v>248.55837075048109</v>
      </c>
      <c r="R1414">
        <f ca="1">YEAR(TODAY())-Table1[[#This Row],[Year Built]]</f>
        <v>75</v>
      </c>
      <c r="S1414" t="str">
        <f>IF(Table1[[#This Row],[Days on Market]] &lt; 30,"Fast",IF(Table1[[#This Row],[Days on Market]]&lt;= 90,"Average", "Slow"))</f>
        <v>Slow</v>
      </c>
      <c r="T1414" t="str">
        <f>IF(Table1[[#This Row],[Price2]]&lt;500000,"Affordable",IF(Table1[[#This Row],[Price2]]&lt;1000000,"Mid range","Luxury"))</f>
        <v>Mid range</v>
      </c>
    </row>
    <row r="1415" spans="1:20" x14ac:dyDescent="0.35">
      <c r="A1415" s="3">
        <v>775233</v>
      </c>
      <c r="B1415" s="2" t="s">
        <v>12</v>
      </c>
      <c r="C1415">
        <v>18089</v>
      </c>
      <c r="D1415" s="2" t="s">
        <v>35</v>
      </c>
      <c r="E1415">
        <v>2</v>
      </c>
      <c r="F1415">
        <v>1</v>
      </c>
      <c r="G1415" s="4">
        <f>VALUE(SUBSTITUTE(SUBSTITUTE(Table1[[#This Row],[Price]],"$",""),",",""))</f>
        <v>775233</v>
      </c>
      <c r="H1415" s="1">
        <f>Table1[[#This Row],[Price2]]/Table1[[#This Row],[Area]]</f>
        <v>268.52545895393143</v>
      </c>
      <c r="I1415">
        <v>2887</v>
      </c>
      <c r="J1415">
        <v>2015</v>
      </c>
      <c r="K1415">
        <v>10</v>
      </c>
      <c r="L1415" t="s">
        <v>30</v>
      </c>
      <c r="M1415" t="s">
        <v>2108</v>
      </c>
      <c r="N1415" s="2" t="s">
        <v>3031</v>
      </c>
      <c r="O1415" t="s">
        <v>3032</v>
      </c>
      <c r="P1415" t="s">
        <v>16</v>
      </c>
      <c r="Q1415">
        <v>268.52545895393143</v>
      </c>
      <c r="R1415">
        <f ca="1">YEAR(TODAY())-Table1[[#This Row],[Year Built]]</f>
        <v>11</v>
      </c>
      <c r="S1415" t="str">
        <f>IF(Table1[[#This Row],[Days on Market]] &lt; 30,"Fast",IF(Table1[[#This Row],[Days on Market]]&lt;= 90,"Average", "Slow"))</f>
        <v>Fast</v>
      </c>
      <c r="T1415" t="str">
        <f>IF(Table1[[#This Row],[Price2]]&lt;500000,"Affordable",IF(Table1[[#This Row],[Price2]]&lt;1000000,"Mid range","Luxury"))</f>
        <v>Mid range</v>
      </c>
    </row>
    <row r="1416" spans="1:20" x14ac:dyDescent="0.35">
      <c r="A1416" s="3">
        <v>776027</v>
      </c>
      <c r="B1416" s="2" t="s">
        <v>34</v>
      </c>
      <c r="C1416">
        <v>18384</v>
      </c>
      <c r="D1416" s="2" t="s">
        <v>23</v>
      </c>
      <c r="E1416">
        <v>6</v>
      </c>
      <c r="F1416">
        <v>4</v>
      </c>
      <c r="G1416" s="4">
        <f>VALUE(SUBSTITUTE(SUBSTITUTE(Table1[[#This Row],[Price]],"$",""),",",""))</f>
        <v>776027</v>
      </c>
      <c r="H1416" s="1">
        <f>Table1[[#This Row],[Price2]]/Table1[[#This Row],[Area]]</f>
        <v>248.80634818852195</v>
      </c>
      <c r="I1416">
        <v>3119</v>
      </c>
      <c r="J1416">
        <v>1980</v>
      </c>
      <c r="K1416">
        <v>114</v>
      </c>
      <c r="L1416" t="s">
        <v>30</v>
      </c>
      <c r="M1416" t="s">
        <v>2723</v>
      </c>
      <c r="N1416" s="2" t="s">
        <v>3029</v>
      </c>
      <c r="O1416" t="s">
        <v>3030</v>
      </c>
      <c r="P1416" t="s">
        <v>16</v>
      </c>
      <c r="Q1416">
        <v>248.80634818852195</v>
      </c>
      <c r="R1416">
        <f ca="1">YEAR(TODAY())-Table1[[#This Row],[Year Built]]</f>
        <v>46</v>
      </c>
      <c r="S1416" t="str">
        <f>IF(Table1[[#This Row],[Days on Market]] &lt; 30,"Fast",IF(Table1[[#This Row],[Days on Market]]&lt;= 90,"Average", "Slow"))</f>
        <v>Slow</v>
      </c>
      <c r="T1416" t="str">
        <f>IF(Table1[[#This Row],[Price2]]&lt;500000,"Affordable",IF(Table1[[#This Row],[Price2]]&lt;1000000,"Mid range","Luxury"))</f>
        <v>Mid range</v>
      </c>
    </row>
    <row r="1417" spans="1:20" x14ac:dyDescent="0.35">
      <c r="A1417" s="3">
        <v>776904</v>
      </c>
      <c r="B1417" s="2" t="s">
        <v>12</v>
      </c>
      <c r="C1417">
        <v>21066</v>
      </c>
      <c r="D1417" s="2" t="s">
        <v>13</v>
      </c>
      <c r="E1417">
        <v>3</v>
      </c>
      <c r="F1417">
        <v>2</v>
      </c>
      <c r="G1417" s="4">
        <f>VALUE(SUBSTITUTE(SUBSTITUTE(Table1[[#This Row],[Price]],"$",""),",",""))</f>
        <v>776904</v>
      </c>
      <c r="H1417" s="1">
        <f>Table1[[#This Row],[Price2]]/Table1[[#This Row],[Area]]</f>
        <v>516.21528239202655</v>
      </c>
      <c r="I1417">
        <v>1505</v>
      </c>
      <c r="J1417">
        <v>1973</v>
      </c>
      <c r="K1417">
        <v>39</v>
      </c>
      <c r="L1417" t="s">
        <v>19</v>
      </c>
      <c r="M1417" t="s">
        <v>1583</v>
      </c>
      <c r="N1417" s="2" t="s">
        <v>3027</v>
      </c>
      <c r="O1417" t="s">
        <v>3028</v>
      </c>
      <c r="P1417" t="s">
        <v>26</v>
      </c>
      <c r="Q1417">
        <v>516.21528239202655</v>
      </c>
      <c r="R1417">
        <f ca="1">YEAR(TODAY())-Table1[[#This Row],[Year Built]]</f>
        <v>53</v>
      </c>
      <c r="S1417" t="str">
        <f>IF(Table1[[#This Row],[Days on Market]] &lt; 30,"Fast",IF(Table1[[#This Row],[Days on Market]]&lt;= 90,"Average", "Slow"))</f>
        <v>Average</v>
      </c>
      <c r="T1417" t="str">
        <f>IF(Table1[[#This Row],[Price2]]&lt;500000,"Affordable",IF(Table1[[#This Row],[Price2]]&lt;1000000,"Mid range","Luxury"))</f>
        <v>Mid range</v>
      </c>
    </row>
    <row r="1418" spans="1:20" x14ac:dyDescent="0.35">
      <c r="A1418" s="3">
        <v>777133</v>
      </c>
      <c r="B1418" s="2" t="s">
        <v>27</v>
      </c>
      <c r="C1418">
        <v>73692</v>
      </c>
      <c r="D1418" s="2" t="s">
        <v>35</v>
      </c>
      <c r="E1418">
        <v>5</v>
      </c>
      <c r="F1418">
        <v>3</v>
      </c>
      <c r="G1418" s="4">
        <f>VALUE(SUBSTITUTE(SUBSTITUTE(Table1[[#This Row],[Price]],"$",""),",",""))</f>
        <v>777133</v>
      </c>
      <c r="H1418" s="1">
        <f>Table1[[#This Row],[Price2]]/Table1[[#This Row],[Area]]</f>
        <v>498.80166880616173</v>
      </c>
      <c r="I1418">
        <v>1558</v>
      </c>
      <c r="J1418">
        <v>1956</v>
      </c>
      <c r="K1418">
        <v>68</v>
      </c>
      <c r="L1418" t="s">
        <v>40</v>
      </c>
      <c r="M1418" t="s">
        <v>1103</v>
      </c>
      <c r="N1418" s="2" t="s">
        <v>3035</v>
      </c>
      <c r="O1418" t="s">
        <v>3036</v>
      </c>
      <c r="P1418" t="s">
        <v>21</v>
      </c>
      <c r="Q1418">
        <v>498.80166880616173</v>
      </c>
      <c r="R1418">
        <f ca="1">YEAR(TODAY())-Table1[[#This Row],[Year Built]]</f>
        <v>70</v>
      </c>
      <c r="S1418" t="str">
        <f>IF(Table1[[#This Row],[Days on Market]] &lt; 30,"Fast",IF(Table1[[#This Row],[Days on Market]]&lt;= 90,"Average", "Slow"))</f>
        <v>Average</v>
      </c>
      <c r="T1418" t="str">
        <f>IF(Table1[[#This Row],[Price2]]&lt;500000,"Affordable",IF(Table1[[#This Row],[Price2]]&lt;1000000,"Mid range","Luxury"))</f>
        <v>Mid range</v>
      </c>
    </row>
    <row r="1419" spans="1:20" x14ac:dyDescent="0.35">
      <c r="A1419" s="3">
        <v>778419</v>
      </c>
      <c r="B1419" s="2" t="s">
        <v>27</v>
      </c>
      <c r="C1419">
        <v>95199</v>
      </c>
      <c r="D1419" s="2" t="s">
        <v>35</v>
      </c>
      <c r="E1419">
        <v>1</v>
      </c>
      <c r="F1419">
        <v>4</v>
      </c>
      <c r="G1419" s="4">
        <f>VALUE(SUBSTITUTE(SUBSTITUTE(Table1[[#This Row],[Price]],"$",""),",",""))</f>
        <v>778419</v>
      </c>
      <c r="H1419" s="1">
        <f>Table1[[#This Row],[Price2]]/Table1[[#This Row],[Area]]</f>
        <v>200.57175985570728</v>
      </c>
      <c r="I1419">
        <v>3881</v>
      </c>
      <c r="J1419">
        <v>1955</v>
      </c>
      <c r="K1419">
        <v>15</v>
      </c>
      <c r="L1419" t="s">
        <v>52</v>
      </c>
      <c r="M1419" t="s">
        <v>1621</v>
      </c>
      <c r="N1419" s="2" t="s">
        <v>3035</v>
      </c>
      <c r="O1419" t="s">
        <v>3036</v>
      </c>
      <c r="P1419" t="s">
        <v>16</v>
      </c>
      <c r="Q1419">
        <v>200.57175985570728</v>
      </c>
      <c r="R1419">
        <f ca="1">YEAR(TODAY())-Table1[[#This Row],[Year Built]]</f>
        <v>71</v>
      </c>
      <c r="S1419" t="str">
        <f>IF(Table1[[#This Row],[Days on Market]] &lt; 30,"Fast",IF(Table1[[#This Row],[Days on Market]]&lt;= 90,"Average", "Slow"))</f>
        <v>Fast</v>
      </c>
      <c r="T1419" t="str">
        <f>IF(Table1[[#This Row],[Price2]]&lt;500000,"Affordable",IF(Table1[[#This Row],[Price2]]&lt;1000000,"Mid range","Luxury"))</f>
        <v>Mid range</v>
      </c>
    </row>
    <row r="1420" spans="1:20" x14ac:dyDescent="0.35">
      <c r="A1420" s="3">
        <v>778574</v>
      </c>
      <c r="B1420" s="2" t="s">
        <v>22</v>
      </c>
      <c r="C1420">
        <v>94078</v>
      </c>
      <c r="D1420" s="2" t="s">
        <v>29</v>
      </c>
      <c r="E1420">
        <v>1</v>
      </c>
      <c r="F1420">
        <v>1</v>
      </c>
      <c r="G1420" s="4">
        <f>VALUE(SUBSTITUTE(SUBSTITUTE(Table1[[#This Row],[Price]],"$",""),",",""))</f>
        <v>778574</v>
      </c>
      <c r="H1420" s="1">
        <f>Table1[[#This Row],[Price2]]/Table1[[#This Row],[Area]]</f>
        <v>368.46852815901559</v>
      </c>
      <c r="I1420">
        <v>2113</v>
      </c>
      <c r="J1420">
        <v>1988</v>
      </c>
      <c r="K1420">
        <v>2</v>
      </c>
      <c r="L1420" t="s">
        <v>30</v>
      </c>
      <c r="M1420" t="s">
        <v>1882</v>
      </c>
      <c r="N1420" s="2" t="s">
        <v>3027</v>
      </c>
      <c r="O1420" t="s">
        <v>3028</v>
      </c>
      <c r="P1420" t="s">
        <v>16</v>
      </c>
      <c r="Q1420">
        <v>368.46852815901559</v>
      </c>
      <c r="R1420">
        <f ca="1">YEAR(TODAY())-Table1[[#This Row],[Year Built]]</f>
        <v>38</v>
      </c>
      <c r="S1420" t="str">
        <f>IF(Table1[[#This Row],[Days on Market]] &lt; 30,"Fast",IF(Table1[[#This Row],[Days on Market]]&lt;= 90,"Average", "Slow"))</f>
        <v>Fast</v>
      </c>
      <c r="T1420" t="str">
        <f>IF(Table1[[#This Row],[Price2]]&lt;500000,"Affordable",IF(Table1[[#This Row],[Price2]]&lt;1000000,"Mid range","Luxury"))</f>
        <v>Mid range</v>
      </c>
    </row>
    <row r="1421" spans="1:20" x14ac:dyDescent="0.35">
      <c r="A1421" s="3">
        <v>779212</v>
      </c>
      <c r="B1421" s="2" t="s">
        <v>12</v>
      </c>
      <c r="C1421">
        <v>74405</v>
      </c>
      <c r="D1421" s="2" t="s">
        <v>13</v>
      </c>
      <c r="E1421">
        <v>4</v>
      </c>
      <c r="F1421">
        <v>2</v>
      </c>
      <c r="G1421" s="4">
        <f>VALUE(SUBSTITUTE(SUBSTITUTE(Table1[[#This Row],[Price]],"$",""),",",""))</f>
        <v>779212</v>
      </c>
      <c r="H1421" s="1">
        <f>Table1[[#This Row],[Price2]]/Table1[[#This Row],[Area]]</f>
        <v>943.35593220338978</v>
      </c>
      <c r="I1421">
        <v>826</v>
      </c>
      <c r="J1421">
        <v>1981</v>
      </c>
      <c r="K1421">
        <v>99</v>
      </c>
      <c r="L1421" t="s">
        <v>30</v>
      </c>
      <c r="M1421" t="s">
        <v>1795</v>
      </c>
      <c r="N1421" s="2" t="s">
        <v>3031</v>
      </c>
      <c r="O1421" t="s">
        <v>3032</v>
      </c>
      <c r="P1421" t="s">
        <v>21</v>
      </c>
      <c r="Q1421">
        <v>943.35593220338978</v>
      </c>
      <c r="R1421">
        <f ca="1">YEAR(TODAY())-Table1[[#This Row],[Year Built]]</f>
        <v>45</v>
      </c>
      <c r="S1421" t="str">
        <f>IF(Table1[[#This Row],[Days on Market]] &lt; 30,"Fast",IF(Table1[[#This Row],[Days on Market]]&lt;= 90,"Average", "Slow"))</f>
        <v>Slow</v>
      </c>
      <c r="T1421" t="str">
        <f>IF(Table1[[#This Row],[Price2]]&lt;500000,"Affordable",IF(Table1[[#This Row],[Price2]]&lt;1000000,"Mid range","Luxury"))</f>
        <v>Mid range</v>
      </c>
    </row>
    <row r="1422" spans="1:20" x14ac:dyDescent="0.35">
      <c r="A1422" s="3">
        <v>779579</v>
      </c>
      <c r="B1422" s="2" t="s">
        <v>34</v>
      </c>
      <c r="C1422">
        <v>67577</v>
      </c>
      <c r="D1422" s="2" t="s">
        <v>13</v>
      </c>
      <c r="E1422">
        <v>2</v>
      </c>
      <c r="F1422">
        <v>3</v>
      </c>
      <c r="G1422" s="4">
        <f>VALUE(SUBSTITUTE(SUBSTITUTE(Table1[[#This Row],[Price]],"$",""),",",""))</f>
        <v>779579</v>
      </c>
      <c r="H1422" s="1">
        <f>Table1[[#This Row],[Price2]]/Table1[[#This Row],[Area]]</f>
        <v>1023.0695538057743</v>
      </c>
      <c r="I1422">
        <v>762</v>
      </c>
      <c r="J1422">
        <v>1992</v>
      </c>
      <c r="K1422">
        <v>115</v>
      </c>
      <c r="L1422" t="s">
        <v>30</v>
      </c>
      <c r="M1422" t="s">
        <v>869</v>
      </c>
      <c r="N1422" s="2" t="s">
        <v>3031</v>
      </c>
      <c r="O1422" t="s">
        <v>3032</v>
      </c>
      <c r="P1422" t="s">
        <v>26</v>
      </c>
      <c r="Q1422">
        <v>1023.0695538057743</v>
      </c>
      <c r="R1422">
        <f ca="1">YEAR(TODAY())-Table1[[#This Row],[Year Built]]</f>
        <v>34</v>
      </c>
      <c r="S1422" t="str">
        <f>IF(Table1[[#This Row],[Days on Market]] &lt; 30,"Fast",IF(Table1[[#This Row],[Days on Market]]&lt;= 90,"Average", "Slow"))</f>
        <v>Slow</v>
      </c>
      <c r="T1422" t="str">
        <f>IF(Table1[[#This Row],[Price2]]&lt;500000,"Affordable",IF(Table1[[#This Row],[Price2]]&lt;1000000,"Mid range","Luxury"))</f>
        <v>Mid range</v>
      </c>
    </row>
    <row r="1423" spans="1:20" x14ac:dyDescent="0.35">
      <c r="A1423" s="3">
        <v>779712</v>
      </c>
      <c r="B1423" s="2" t="s">
        <v>12</v>
      </c>
      <c r="C1423">
        <v>42387</v>
      </c>
      <c r="D1423" s="2" t="s">
        <v>35</v>
      </c>
      <c r="E1423">
        <v>5</v>
      </c>
      <c r="F1423">
        <v>4</v>
      </c>
      <c r="G1423" s="4">
        <f>VALUE(SUBSTITUTE(SUBSTITUTE(Table1[[#This Row],[Price]],"$",""),",",""))</f>
        <v>779712</v>
      </c>
      <c r="H1423" s="1">
        <f>Table1[[#This Row],[Price2]]/Table1[[#This Row],[Area]]</f>
        <v>255.55948869223207</v>
      </c>
      <c r="I1423">
        <v>3051</v>
      </c>
      <c r="J1423">
        <v>2017</v>
      </c>
      <c r="K1423">
        <v>17</v>
      </c>
      <c r="L1423" t="s">
        <v>52</v>
      </c>
      <c r="M1423" t="s">
        <v>878</v>
      </c>
      <c r="N1423" s="2" t="s">
        <v>3027</v>
      </c>
      <c r="O1423" t="s">
        <v>3028</v>
      </c>
      <c r="P1423" t="s">
        <v>21</v>
      </c>
      <c r="Q1423">
        <v>255.55948869223207</v>
      </c>
      <c r="R1423">
        <f ca="1">YEAR(TODAY())-Table1[[#This Row],[Year Built]]</f>
        <v>9</v>
      </c>
      <c r="S1423" t="str">
        <f>IF(Table1[[#This Row],[Days on Market]] &lt; 30,"Fast",IF(Table1[[#This Row],[Days on Market]]&lt;= 90,"Average", "Slow"))</f>
        <v>Fast</v>
      </c>
      <c r="T1423" t="str">
        <f>IF(Table1[[#This Row],[Price2]]&lt;500000,"Affordable",IF(Table1[[#This Row],[Price2]]&lt;1000000,"Mid range","Luxury"))</f>
        <v>Mid range</v>
      </c>
    </row>
    <row r="1424" spans="1:20" x14ac:dyDescent="0.35">
      <c r="A1424" s="3">
        <v>780079</v>
      </c>
      <c r="B1424" s="2" t="s">
        <v>17</v>
      </c>
      <c r="C1424">
        <v>83240</v>
      </c>
      <c r="D1424" s="2" t="s">
        <v>23</v>
      </c>
      <c r="E1424">
        <v>3</v>
      </c>
      <c r="F1424">
        <v>2</v>
      </c>
      <c r="G1424" s="4">
        <f>VALUE(SUBSTITUTE(SUBSTITUTE(Table1[[#This Row],[Price]],"$",""),",",""))</f>
        <v>780079</v>
      </c>
      <c r="H1424" s="1">
        <f>Table1[[#This Row],[Price2]]/Table1[[#This Row],[Area]]</f>
        <v>400.86279547790338</v>
      </c>
      <c r="I1424">
        <v>1946</v>
      </c>
      <c r="J1424">
        <v>2015</v>
      </c>
      <c r="K1424">
        <v>87</v>
      </c>
      <c r="L1424" t="s">
        <v>14</v>
      </c>
      <c r="M1424" t="s">
        <v>1522</v>
      </c>
      <c r="N1424" s="2" t="s">
        <v>3027</v>
      </c>
      <c r="O1424" t="s">
        <v>3028</v>
      </c>
      <c r="P1424" t="s">
        <v>21</v>
      </c>
      <c r="Q1424">
        <v>400.86279547790338</v>
      </c>
      <c r="R1424">
        <f ca="1">YEAR(TODAY())-Table1[[#This Row],[Year Built]]</f>
        <v>11</v>
      </c>
      <c r="S1424" t="str">
        <f>IF(Table1[[#This Row],[Days on Market]] &lt; 30,"Fast",IF(Table1[[#This Row],[Days on Market]]&lt;= 90,"Average", "Slow"))</f>
        <v>Average</v>
      </c>
      <c r="T1424" t="str">
        <f>IF(Table1[[#This Row],[Price2]]&lt;500000,"Affordable",IF(Table1[[#This Row],[Price2]]&lt;1000000,"Mid range","Luxury"))</f>
        <v>Mid range</v>
      </c>
    </row>
    <row r="1425" spans="1:20" x14ac:dyDescent="0.35">
      <c r="A1425" s="3">
        <v>780267</v>
      </c>
      <c r="B1425" s="2" t="s">
        <v>27</v>
      </c>
      <c r="C1425">
        <v>21619</v>
      </c>
      <c r="D1425" s="2" t="s">
        <v>23</v>
      </c>
      <c r="E1425">
        <v>6</v>
      </c>
      <c r="F1425">
        <v>3</v>
      </c>
      <c r="G1425" s="4">
        <f>VALUE(SUBSTITUTE(SUBSTITUTE(Table1[[#This Row],[Price]],"$",""),",",""))</f>
        <v>780267</v>
      </c>
      <c r="H1425" s="1">
        <f>Table1[[#This Row],[Price2]]/Table1[[#This Row],[Area]]</f>
        <v>319.65055305202787</v>
      </c>
      <c r="I1425">
        <v>2441</v>
      </c>
      <c r="J1425">
        <v>1990</v>
      </c>
      <c r="K1425">
        <v>120</v>
      </c>
      <c r="L1425" t="s">
        <v>19</v>
      </c>
      <c r="M1425" t="s">
        <v>2462</v>
      </c>
      <c r="N1425" s="2" t="s">
        <v>3027</v>
      </c>
      <c r="O1425" t="s">
        <v>3028</v>
      </c>
      <c r="P1425" t="s">
        <v>16</v>
      </c>
      <c r="Q1425">
        <v>319.65055305202787</v>
      </c>
      <c r="R1425">
        <f ca="1">YEAR(TODAY())-Table1[[#This Row],[Year Built]]</f>
        <v>36</v>
      </c>
      <c r="S1425" t="str">
        <f>IF(Table1[[#This Row],[Days on Market]] &lt; 30,"Fast",IF(Table1[[#This Row],[Days on Market]]&lt;= 90,"Average", "Slow"))</f>
        <v>Slow</v>
      </c>
      <c r="T1425" t="str">
        <f>IF(Table1[[#This Row],[Price2]]&lt;500000,"Affordable",IF(Table1[[#This Row],[Price2]]&lt;1000000,"Mid range","Luxury"))</f>
        <v>Mid range</v>
      </c>
    </row>
    <row r="1426" spans="1:20" x14ac:dyDescent="0.35">
      <c r="A1426" s="3">
        <v>780930</v>
      </c>
      <c r="B1426" s="2" t="s">
        <v>34</v>
      </c>
      <c r="C1426">
        <v>67146</v>
      </c>
      <c r="D1426" s="2" t="s">
        <v>13</v>
      </c>
      <c r="E1426">
        <v>3</v>
      </c>
      <c r="F1426">
        <v>3</v>
      </c>
      <c r="G1426" s="4">
        <f>VALUE(SUBSTITUTE(SUBSTITUTE(Table1[[#This Row],[Price]],"$",""),",",""))</f>
        <v>780930</v>
      </c>
      <c r="H1426" s="1">
        <f>Table1[[#This Row],[Price2]]/Table1[[#This Row],[Area]]</f>
        <v>207.30820281391027</v>
      </c>
      <c r="I1426">
        <v>3767</v>
      </c>
      <c r="J1426">
        <v>1969</v>
      </c>
      <c r="K1426">
        <v>44</v>
      </c>
      <c r="L1426" t="s">
        <v>14</v>
      </c>
      <c r="M1426" t="s">
        <v>1119</v>
      </c>
      <c r="N1426" s="2" t="s">
        <v>3029</v>
      </c>
      <c r="O1426" t="s">
        <v>3030</v>
      </c>
      <c r="P1426" t="s">
        <v>16</v>
      </c>
      <c r="Q1426">
        <v>207.30820281391027</v>
      </c>
      <c r="R1426">
        <f ca="1">YEAR(TODAY())-Table1[[#This Row],[Year Built]]</f>
        <v>57</v>
      </c>
      <c r="S1426" t="str">
        <f>IF(Table1[[#This Row],[Days on Market]] &lt; 30,"Fast",IF(Table1[[#This Row],[Days on Market]]&lt;= 90,"Average", "Slow"))</f>
        <v>Average</v>
      </c>
      <c r="T1426" t="str">
        <f>IF(Table1[[#This Row],[Price2]]&lt;500000,"Affordable",IF(Table1[[#This Row],[Price2]]&lt;1000000,"Mid range","Luxury"))</f>
        <v>Mid range</v>
      </c>
    </row>
    <row r="1427" spans="1:20" x14ac:dyDescent="0.35">
      <c r="A1427" s="3">
        <v>780966</v>
      </c>
      <c r="B1427" s="2" t="s">
        <v>17</v>
      </c>
      <c r="C1427">
        <v>82044</v>
      </c>
      <c r="D1427" s="2" t="s">
        <v>18</v>
      </c>
      <c r="E1427">
        <v>1</v>
      </c>
      <c r="F1427">
        <v>4</v>
      </c>
      <c r="G1427" s="4">
        <f>VALUE(SUBSTITUTE(SUBSTITUTE(Table1[[#This Row],[Price]],"$",""),",",""))</f>
        <v>780966</v>
      </c>
      <c r="H1427" s="1">
        <f>Table1[[#This Row],[Price2]]/Table1[[#This Row],[Area]]</f>
        <v>269.95022468026269</v>
      </c>
      <c r="I1427">
        <v>2893</v>
      </c>
      <c r="J1427">
        <v>2013</v>
      </c>
      <c r="K1427">
        <v>65</v>
      </c>
      <c r="L1427" t="s">
        <v>52</v>
      </c>
      <c r="M1427" t="s">
        <v>967</v>
      </c>
      <c r="N1427" s="2" t="s">
        <v>3033</v>
      </c>
      <c r="O1427" t="s">
        <v>3034</v>
      </c>
      <c r="P1427" t="s">
        <v>21</v>
      </c>
      <c r="Q1427">
        <v>269.95022468026269</v>
      </c>
      <c r="R1427">
        <f ca="1">YEAR(TODAY())-Table1[[#This Row],[Year Built]]</f>
        <v>13</v>
      </c>
      <c r="S1427" t="str">
        <f>IF(Table1[[#This Row],[Days on Market]] &lt; 30,"Fast",IF(Table1[[#This Row],[Days on Market]]&lt;= 90,"Average", "Slow"))</f>
        <v>Average</v>
      </c>
      <c r="T1427" t="str">
        <f>IF(Table1[[#This Row],[Price2]]&lt;500000,"Affordable",IF(Table1[[#This Row],[Price2]]&lt;1000000,"Mid range","Luxury"))</f>
        <v>Mid range</v>
      </c>
    </row>
    <row r="1428" spans="1:20" x14ac:dyDescent="0.35">
      <c r="A1428" s="3">
        <v>781259</v>
      </c>
      <c r="B1428" s="2" t="s">
        <v>27</v>
      </c>
      <c r="C1428">
        <v>34275</v>
      </c>
      <c r="D1428" s="2" t="s">
        <v>35</v>
      </c>
      <c r="E1428">
        <v>3</v>
      </c>
      <c r="F1428">
        <v>4</v>
      </c>
      <c r="G1428" s="4">
        <f>VALUE(SUBSTITUTE(SUBSTITUTE(Table1[[#This Row],[Price]],"$",""),",",""))</f>
        <v>781259</v>
      </c>
      <c r="H1428" s="1">
        <f>Table1[[#This Row],[Price2]]/Table1[[#This Row],[Area]]</f>
        <v>197.98758236188544</v>
      </c>
      <c r="I1428">
        <v>3946</v>
      </c>
      <c r="J1428">
        <v>2010</v>
      </c>
      <c r="K1428">
        <v>88</v>
      </c>
      <c r="L1428" t="s">
        <v>40</v>
      </c>
      <c r="M1428" t="s">
        <v>1932</v>
      </c>
      <c r="N1428" s="2" t="s">
        <v>3027</v>
      </c>
      <c r="O1428" t="s">
        <v>3028</v>
      </c>
      <c r="P1428" t="s">
        <v>21</v>
      </c>
      <c r="Q1428">
        <v>197.98758236188544</v>
      </c>
      <c r="R1428">
        <f ca="1">YEAR(TODAY())-Table1[[#This Row],[Year Built]]</f>
        <v>16</v>
      </c>
      <c r="S1428" t="str">
        <f>IF(Table1[[#This Row],[Days on Market]] &lt; 30,"Fast",IF(Table1[[#This Row],[Days on Market]]&lt;= 90,"Average", "Slow"))</f>
        <v>Average</v>
      </c>
      <c r="T1428" t="str">
        <f>IF(Table1[[#This Row],[Price2]]&lt;500000,"Affordable",IF(Table1[[#This Row],[Price2]]&lt;1000000,"Mid range","Luxury"))</f>
        <v>Mid range</v>
      </c>
    </row>
    <row r="1429" spans="1:20" x14ac:dyDescent="0.35">
      <c r="A1429" s="3">
        <v>781451</v>
      </c>
      <c r="B1429" s="2" t="s">
        <v>27</v>
      </c>
      <c r="C1429">
        <v>35395</v>
      </c>
      <c r="D1429" s="2" t="s">
        <v>29</v>
      </c>
      <c r="E1429">
        <v>1</v>
      </c>
      <c r="F1429">
        <v>4</v>
      </c>
      <c r="G1429" s="4">
        <f>VALUE(SUBSTITUTE(SUBSTITUTE(Table1[[#This Row],[Price]],"$",""),",",""))</f>
        <v>781451</v>
      </c>
      <c r="H1429" s="1">
        <f>Table1[[#This Row],[Price2]]/Table1[[#This Row],[Area]]</f>
        <v>480.89292307692307</v>
      </c>
      <c r="I1429">
        <v>1625</v>
      </c>
      <c r="J1429">
        <v>2013</v>
      </c>
      <c r="K1429">
        <v>34</v>
      </c>
      <c r="L1429" t="s">
        <v>19</v>
      </c>
      <c r="M1429" t="s">
        <v>1676</v>
      </c>
      <c r="N1429" s="2" t="s">
        <v>3035</v>
      </c>
      <c r="O1429" t="s">
        <v>3036</v>
      </c>
      <c r="P1429" t="s">
        <v>26</v>
      </c>
      <c r="Q1429">
        <v>480.89292307692307</v>
      </c>
      <c r="R1429">
        <f ca="1">YEAR(TODAY())-Table1[[#This Row],[Year Built]]</f>
        <v>13</v>
      </c>
      <c r="S1429" t="str">
        <f>IF(Table1[[#This Row],[Days on Market]] &lt; 30,"Fast",IF(Table1[[#This Row],[Days on Market]]&lt;= 90,"Average", "Slow"))</f>
        <v>Average</v>
      </c>
      <c r="T1429" t="str">
        <f>IF(Table1[[#This Row],[Price2]]&lt;500000,"Affordable",IF(Table1[[#This Row],[Price2]]&lt;1000000,"Mid range","Luxury"))</f>
        <v>Mid range</v>
      </c>
    </row>
    <row r="1430" spans="1:20" x14ac:dyDescent="0.35">
      <c r="A1430" s="3">
        <v>781461</v>
      </c>
      <c r="B1430" s="2" t="s">
        <v>22</v>
      </c>
      <c r="C1430">
        <v>99411</v>
      </c>
      <c r="D1430" s="2" t="s">
        <v>18</v>
      </c>
      <c r="E1430">
        <v>2</v>
      </c>
      <c r="F1430">
        <v>1</v>
      </c>
      <c r="G1430" s="4">
        <f>VALUE(SUBSTITUTE(SUBSTITUTE(Table1[[#This Row],[Price]],"$",""),",",""))</f>
        <v>781461</v>
      </c>
      <c r="H1430" s="1">
        <f>Table1[[#This Row],[Price2]]/Table1[[#This Row],[Area]]</f>
        <v>635.33414634146345</v>
      </c>
      <c r="I1430">
        <v>1230</v>
      </c>
      <c r="J1430">
        <v>1989</v>
      </c>
      <c r="K1430">
        <v>74</v>
      </c>
      <c r="L1430" t="s">
        <v>52</v>
      </c>
      <c r="M1430" t="s">
        <v>1843</v>
      </c>
      <c r="N1430" s="2" t="s">
        <v>3031</v>
      </c>
      <c r="O1430" t="s">
        <v>3032</v>
      </c>
      <c r="P1430" t="s">
        <v>21</v>
      </c>
      <c r="Q1430">
        <v>635.33414634146345</v>
      </c>
      <c r="R1430">
        <f ca="1">YEAR(TODAY())-Table1[[#This Row],[Year Built]]</f>
        <v>37</v>
      </c>
      <c r="S1430" t="str">
        <f>IF(Table1[[#This Row],[Days on Market]] &lt; 30,"Fast",IF(Table1[[#This Row],[Days on Market]]&lt;= 90,"Average", "Slow"))</f>
        <v>Average</v>
      </c>
      <c r="T1430" t="str">
        <f>IF(Table1[[#This Row],[Price2]]&lt;500000,"Affordable",IF(Table1[[#This Row],[Price2]]&lt;1000000,"Mid range","Luxury"))</f>
        <v>Mid range</v>
      </c>
    </row>
    <row r="1431" spans="1:20" x14ac:dyDescent="0.35">
      <c r="A1431" s="3">
        <v>781564</v>
      </c>
      <c r="B1431" s="2" t="s">
        <v>22</v>
      </c>
      <c r="C1431">
        <v>12697</v>
      </c>
      <c r="D1431" s="2" t="s">
        <v>23</v>
      </c>
      <c r="E1431">
        <v>6</v>
      </c>
      <c r="F1431">
        <v>3</v>
      </c>
      <c r="G1431" s="4">
        <f>VALUE(SUBSTITUTE(SUBSTITUTE(Table1[[#This Row],[Price]],"$",""),",",""))</f>
        <v>781564</v>
      </c>
      <c r="H1431" s="1">
        <f>Table1[[#This Row],[Price2]]/Table1[[#This Row],[Area]]</f>
        <v>301.41303509448517</v>
      </c>
      <c r="I1431">
        <v>2593</v>
      </c>
      <c r="J1431">
        <v>1986</v>
      </c>
      <c r="K1431">
        <v>117</v>
      </c>
      <c r="L1431" t="s">
        <v>19</v>
      </c>
      <c r="M1431" t="s">
        <v>2019</v>
      </c>
      <c r="N1431" s="2" t="s">
        <v>3031</v>
      </c>
      <c r="O1431" t="s">
        <v>3032</v>
      </c>
      <c r="P1431" t="s">
        <v>16</v>
      </c>
      <c r="Q1431">
        <v>301.41303509448517</v>
      </c>
      <c r="R1431">
        <f ca="1">YEAR(TODAY())-Table1[[#This Row],[Year Built]]</f>
        <v>40</v>
      </c>
      <c r="S1431" t="str">
        <f>IF(Table1[[#This Row],[Days on Market]] &lt; 30,"Fast",IF(Table1[[#This Row],[Days on Market]]&lt;= 90,"Average", "Slow"))</f>
        <v>Slow</v>
      </c>
      <c r="T1431" t="str">
        <f>IF(Table1[[#This Row],[Price2]]&lt;500000,"Affordable",IF(Table1[[#This Row],[Price2]]&lt;1000000,"Mid range","Luxury"))</f>
        <v>Mid range</v>
      </c>
    </row>
    <row r="1432" spans="1:20" x14ac:dyDescent="0.35">
      <c r="A1432" s="3">
        <v>782095</v>
      </c>
      <c r="B1432" s="2" t="s">
        <v>12</v>
      </c>
      <c r="C1432">
        <v>49528</v>
      </c>
      <c r="D1432" s="2" t="s">
        <v>23</v>
      </c>
      <c r="E1432">
        <v>4</v>
      </c>
      <c r="F1432">
        <v>2</v>
      </c>
      <c r="G1432" s="4">
        <f>VALUE(SUBSTITUTE(SUBSTITUTE(Table1[[#This Row],[Price]],"$",""),",",""))</f>
        <v>782095</v>
      </c>
      <c r="H1432" s="1">
        <f>Table1[[#This Row],[Price2]]/Table1[[#This Row],[Area]]</f>
        <v>560.64157706093192</v>
      </c>
      <c r="I1432">
        <v>1395</v>
      </c>
      <c r="J1432">
        <v>2013</v>
      </c>
      <c r="K1432">
        <v>63</v>
      </c>
      <c r="L1432" t="s">
        <v>14</v>
      </c>
      <c r="M1432" t="s">
        <v>1379</v>
      </c>
      <c r="N1432" s="2" t="s">
        <v>3029</v>
      </c>
      <c r="O1432" t="s">
        <v>3030</v>
      </c>
      <c r="P1432" t="s">
        <v>16</v>
      </c>
      <c r="Q1432">
        <v>560.64157706093192</v>
      </c>
      <c r="R1432">
        <f ca="1">YEAR(TODAY())-Table1[[#This Row],[Year Built]]</f>
        <v>13</v>
      </c>
      <c r="S1432" t="str">
        <f>IF(Table1[[#This Row],[Days on Market]] &lt; 30,"Fast",IF(Table1[[#This Row],[Days on Market]]&lt;= 90,"Average", "Slow"))</f>
        <v>Average</v>
      </c>
      <c r="T1432" t="str">
        <f>IF(Table1[[#This Row],[Price2]]&lt;500000,"Affordable",IF(Table1[[#This Row],[Price2]]&lt;1000000,"Mid range","Luxury"))</f>
        <v>Mid range</v>
      </c>
    </row>
    <row r="1433" spans="1:20" x14ac:dyDescent="0.35">
      <c r="A1433" s="3">
        <v>783550</v>
      </c>
      <c r="B1433" s="2" t="s">
        <v>17</v>
      </c>
      <c r="C1433">
        <v>97823</v>
      </c>
      <c r="D1433" s="2" t="s">
        <v>13</v>
      </c>
      <c r="E1433">
        <v>4</v>
      </c>
      <c r="F1433">
        <v>3</v>
      </c>
      <c r="G1433" s="4">
        <f>VALUE(SUBSTITUTE(SUBSTITUTE(Table1[[#This Row],[Price]],"$",""),",",""))</f>
        <v>783550</v>
      </c>
      <c r="H1433" s="1">
        <f>Table1[[#This Row],[Price2]]/Table1[[#This Row],[Area]]</f>
        <v>503.89067524115757</v>
      </c>
      <c r="I1433">
        <v>1555</v>
      </c>
      <c r="J1433">
        <v>2023</v>
      </c>
      <c r="K1433">
        <v>57</v>
      </c>
      <c r="L1433" t="s">
        <v>40</v>
      </c>
      <c r="M1433" t="s">
        <v>2430</v>
      </c>
      <c r="N1433" s="2" t="s">
        <v>3029</v>
      </c>
      <c r="O1433" t="s">
        <v>3030</v>
      </c>
      <c r="P1433" t="s">
        <v>21</v>
      </c>
      <c r="Q1433">
        <v>503.89067524115757</v>
      </c>
      <c r="R1433">
        <f ca="1">YEAR(TODAY())-Table1[[#This Row],[Year Built]]</f>
        <v>3</v>
      </c>
      <c r="S1433" t="str">
        <f>IF(Table1[[#This Row],[Days on Market]] &lt; 30,"Fast",IF(Table1[[#This Row],[Days on Market]]&lt;= 90,"Average", "Slow"))</f>
        <v>Average</v>
      </c>
      <c r="T1433" t="str">
        <f>IF(Table1[[#This Row],[Price2]]&lt;500000,"Affordable",IF(Table1[[#This Row],[Price2]]&lt;1000000,"Mid range","Luxury"))</f>
        <v>Mid range</v>
      </c>
    </row>
    <row r="1434" spans="1:20" x14ac:dyDescent="0.35">
      <c r="A1434" s="3">
        <v>784628</v>
      </c>
      <c r="B1434" s="2" t="s">
        <v>17</v>
      </c>
      <c r="C1434">
        <v>13951</v>
      </c>
      <c r="D1434" s="2" t="s">
        <v>35</v>
      </c>
      <c r="E1434">
        <v>1</v>
      </c>
      <c r="F1434">
        <v>1</v>
      </c>
      <c r="G1434" s="4">
        <f>VALUE(SUBSTITUTE(SUBSTITUTE(Table1[[#This Row],[Price]],"$",""),",",""))</f>
        <v>784628</v>
      </c>
      <c r="H1434" s="1">
        <f>Table1[[#This Row],[Price2]]/Table1[[#This Row],[Area]]</f>
        <v>223.47707205924237</v>
      </c>
      <c r="I1434">
        <v>3511</v>
      </c>
      <c r="J1434">
        <v>1964</v>
      </c>
      <c r="K1434">
        <v>48</v>
      </c>
      <c r="L1434" t="s">
        <v>19</v>
      </c>
      <c r="M1434" t="s">
        <v>1578</v>
      </c>
      <c r="N1434" s="2" t="s">
        <v>3031</v>
      </c>
      <c r="O1434" t="s">
        <v>3032</v>
      </c>
      <c r="P1434" t="s">
        <v>16</v>
      </c>
      <c r="Q1434">
        <v>223.47707205924237</v>
      </c>
      <c r="R1434">
        <f ca="1">YEAR(TODAY())-Table1[[#This Row],[Year Built]]</f>
        <v>62</v>
      </c>
      <c r="S1434" t="str">
        <f>IF(Table1[[#This Row],[Days on Market]] &lt; 30,"Fast",IF(Table1[[#This Row],[Days on Market]]&lt;= 90,"Average", "Slow"))</f>
        <v>Average</v>
      </c>
      <c r="T1434" t="str">
        <f>IF(Table1[[#This Row],[Price2]]&lt;500000,"Affordable",IF(Table1[[#This Row],[Price2]]&lt;1000000,"Mid range","Luxury"))</f>
        <v>Mid range</v>
      </c>
    </row>
    <row r="1435" spans="1:20" x14ac:dyDescent="0.35">
      <c r="A1435" s="3">
        <v>784779</v>
      </c>
      <c r="B1435" s="2" t="s">
        <v>34</v>
      </c>
      <c r="C1435">
        <v>46321</v>
      </c>
      <c r="D1435" s="2" t="s">
        <v>29</v>
      </c>
      <c r="E1435">
        <v>2</v>
      </c>
      <c r="F1435">
        <v>3</v>
      </c>
      <c r="G1435" s="4">
        <f>VALUE(SUBSTITUTE(SUBSTITUTE(Table1[[#This Row],[Price]],"$",""),",",""))</f>
        <v>784779</v>
      </c>
      <c r="H1435" s="1">
        <f>Table1[[#This Row],[Price2]]/Table1[[#This Row],[Area]]</f>
        <v>207.77839555202542</v>
      </c>
      <c r="I1435">
        <v>3777</v>
      </c>
      <c r="J1435">
        <v>2006</v>
      </c>
      <c r="K1435">
        <v>28</v>
      </c>
      <c r="L1435" t="s">
        <v>14</v>
      </c>
      <c r="M1435" t="s">
        <v>2079</v>
      </c>
      <c r="N1435" s="2" t="s">
        <v>3031</v>
      </c>
      <c r="O1435" t="s">
        <v>3032</v>
      </c>
      <c r="P1435" t="s">
        <v>26</v>
      </c>
      <c r="Q1435">
        <v>207.77839555202542</v>
      </c>
      <c r="R1435">
        <f ca="1">YEAR(TODAY())-Table1[[#This Row],[Year Built]]</f>
        <v>20</v>
      </c>
      <c r="S1435" t="str">
        <f>IF(Table1[[#This Row],[Days on Market]] &lt; 30,"Fast",IF(Table1[[#This Row],[Days on Market]]&lt;= 90,"Average", "Slow"))</f>
        <v>Fast</v>
      </c>
      <c r="T1435" t="str">
        <f>IF(Table1[[#This Row],[Price2]]&lt;500000,"Affordable",IF(Table1[[#This Row],[Price2]]&lt;1000000,"Mid range","Luxury"))</f>
        <v>Mid range</v>
      </c>
    </row>
    <row r="1436" spans="1:20" x14ac:dyDescent="0.35">
      <c r="A1436" s="3">
        <v>785531</v>
      </c>
      <c r="B1436" s="2" t="s">
        <v>27</v>
      </c>
      <c r="C1436">
        <v>30384</v>
      </c>
      <c r="D1436" s="2" t="s">
        <v>23</v>
      </c>
      <c r="E1436">
        <v>5</v>
      </c>
      <c r="F1436">
        <v>1</v>
      </c>
      <c r="G1436" s="4">
        <f>VALUE(SUBSTITUTE(SUBSTITUTE(Table1[[#This Row],[Price]],"$",""),",",""))</f>
        <v>785531</v>
      </c>
      <c r="H1436" s="1">
        <f>Table1[[#This Row],[Price2]]/Table1[[#This Row],[Area]]</f>
        <v>758.96714975845407</v>
      </c>
      <c r="I1436">
        <v>1035</v>
      </c>
      <c r="J1436">
        <v>1970</v>
      </c>
      <c r="K1436">
        <v>106</v>
      </c>
      <c r="L1436" t="s">
        <v>30</v>
      </c>
      <c r="M1436" t="s">
        <v>1029</v>
      </c>
      <c r="N1436" s="2" t="s">
        <v>3033</v>
      </c>
      <c r="O1436" t="s">
        <v>3034</v>
      </c>
      <c r="P1436" t="s">
        <v>16</v>
      </c>
      <c r="Q1436">
        <v>758.96714975845407</v>
      </c>
      <c r="R1436">
        <f ca="1">YEAR(TODAY())-Table1[[#This Row],[Year Built]]</f>
        <v>56</v>
      </c>
      <c r="S1436" t="str">
        <f>IF(Table1[[#This Row],[Days on Market]] &lt; 30,"Fast",IF(Table1[[#This Row],[Days on Market]]&lt;= 90,"Average", "Slow"))</f>
        <v>Slow</v>
      </c>
      <c r="T1436" t="str">
        <f>IF(Table1[[#This Row],[Price2]]&lt;500000,"Affordable",IF(Table1[[#This Row],[Price2]]&lt;1000000,"Mid range","Luxury"))</f>
        <v>Mid range</v>
      </c>
    </row>
    <row r="1437" spans="1:20" x14ac:dyDescent="0.35">
      <c r="A1437" s="3">
        <v>786855</v>
      </c>
      <c r="B1437" s="2" t="s">
        <v>22</v>
      </c>
      <c r="C1437">
        <v>82216</v>
      </c>
      <c r="D1437" s="2" t="s">
        <v>35</v>
      </c>
      <c r="E1437">
        <v>2</v>
      </c>
      <c r="F1437">
        <v>4</v>
      </c>
      <c r="G1437" s="4">
        <f>VALUE(SUBSTITUTE(SUBSTITUTE(Table1[[#This Row],[Price]],"$",""),",",""))</f>
        <v>786855</v>
      </c>
      <c r="H1437" s="1">
        <f>Table1[[#This Row],[Price2]]/Table1[[#This Row],[Area]]</f>
        <v>670.80562659846544</v>
      </c>
      <c r="I1437">
        <v>1173</v>
      </c>
      <c r="J1437">
        <v>2000</v>
      </c>
      <c r="K1437">
        <v>18</v>
      </c>
      <c r="L1437" t="s">
        <v>40</v>
      </c>
      <c r="M1437" t="s">
        <v>1840</v>
      </c>
      <c r="N1437" s="2" t="s">
        <v>3031</v>
      </c>
      <c r="O1437" t="s">
        <v>3032</v>
      </c>
      <c r="P1437" t="s">
        <v>16</v>
      </c>
      <c r="Q1437">
        <v>670.80562659846544</v>
      </c>
      <c r="R1437">
        <f ca="1">YEAR(TODAY())-Table1[[#This Row],[Year Built]]</f>
        <v>26</v>
      </c>
      <c r="S1437" t="str">
        <f>IF(Table1[[#This Row],[Days on Market]] &lt; 30,"Fast",IF(Table1[[#This Row],[Days on Market]]&lt;= 90,"Average", "Slow"))</f>
        <v>Fast</v>
      </c>
      <c r="T1437" t="str">
        <f>IF(Table1[[#This Row],[Price2]]&lt;500000,"Affordable",IF(Table1[[#This Row],[Price2]]&lt;1000000,"Mid range","Luxury"))</f>
        <v>Mid range</v>
      </c>
    </row>
    <row r="1438" spans="1:20" x14ac:dyDescent="0.35">
      <c r="A1438" s="3">
        <v>788063</v>
      </c>
      <c r="B1438" s="2" t="s">
        <v>22</v>
      </c>
      <c r="C1438">
        <v>54548</v>
      </c>
      <c r="D1438" s="2" t="s">
        <v>18</v>
      </c>
      <c r="E1438">
        <v>2</v>
      </c>
      <c r="F1438">
        <v>3</v>
      </c>
      <c r="G1438" s="4">
        <f>VALUE(SUBSTITUTE(SUBSTITUTE(Table1[[#This Row],[Price]],"$",""),",",""))</f>
        <v>788063</v>
      </c>
      <c r="H1438" s="1">
        <f>Table1[[#This Row],[Price2]]/Table1[[#This Row],[Area]]</f>
        <v>327.67692307692306</v>
      </c>
      <c r="I1438">
        <v>2405</v>
      </c>
      <c r="J1438">
        <v>1973</v>
      </c>
      <c r="K1438">
        <v>106</v>
      </c>
      <c r="L1438" t="s">
        <v>14</v>
      </c>
      <c r="M1438" t="s">
        <v>1746</v>
      </c>
      <c r="N1438" s="2" t="s">
        <v>3035</v>
      </c>
      <c r="O1438" t="s">
        <v>3036</v>
      </c>
      <c r="P1438" t="s">
        <v>21</v>
      </c>
      <c r="Q1438">
        <v>327.67692307692306</v>
      </c>
      <c r="R1438">
        <f ca="1">YEAR(TODAY())-Table1[[#This Row],[Year Built]]</f>
        <v>53</v>
      </c>
      <c r="S1438" t="str">
        <f>IF(Table1[[#This Row],[Days on Market]] &lt; 30,"Fast",IF(Table1[[#This Row],[Days on Market]]&lt;= 90,"Average", "Slow"))</f>
        <v>Slow</v>
      </c>
      <c r="T1438" t="str">
        <f>IF(Table1[[#This Row],[Price2]]&lt;500000,"Affordable",IF(Table1[[#This Row],[Price2]]&lt;1000000,"Mid range","Luxury"))</f>
        <v>Mid range</v>
      </c>
    </row>
    <row r="1439" spans="1:20" x14ac:dyDescent="0.35">
      <c r="A1439" s="3">
        <v>788193</v>
      </c>
      <c r="B1439" s="2" t="s">
        <v>12</v>
      </c>
      <c r="C1439">
        <v>81965</v>
      </c>
      <c r="D1439" s="2" t="s">
        <v>13</v>
      </c>
      <c r="E1439">
        <v>6</v>
      </c>
      <c r="F1439">
        <v>2</v>
      </c>
      <c r="G1439" s="4">
        <f>VALUE(SUBSTITUTE(SUBSTITUTE(Table1[[#This Row],[Price]],"$",""),",",""))</f>
        <v>788193</v>
      </c>
      <c r="H1439" s="1">
        <f>Table1[[#This Row],[Price2]]/Table1[[#This Row],[Area]]</f>
        <v>199.34066767830046</v>
      </c>
      <c r="I1439">
        <v>3954</v>
      </c>
      <c r="J1439">
        <v>2012</v>
      </c>
      <c r="K1439">
        <v>27</v>
      </c>
      <c r="L1439" t="s">
        <v>40</v>
      </c>
      <c r="M1439" t="s">
        <v>2594</v>
      </c>
      <c r="N1439" s="2" t="s">
        <v>3029</v>
      </c>
      <c r="O1439" t="s">
        <v>3030</v>
      </c>
      <c r="P1439" t="s">
        <v>16</v>
      </c>
      <c r="Q1439">
        <v>199.34066767830046</v>
      </c>
      <c r="R1439">
        <f ca="1">YEAR(TODAY())-Table1[[#This Row],[Year Built]]</f>
        <v>14</v>
      </c>
      <c r="S1439" t="str">
        <f>IF(Table1[[#This Row],[Days on Market]] &lt; 30,"Fast",IF(Table1[[#This Row],[Days on Market]]&lt;= 90,"Average", "Slow"))</f>
        <v>Fast</v>
      </c>
      <c r="T1439" t="str">
        <f>IF(Table1[[#This Row],[Price2]]&lt;500000,"Affordable",IF(Table1[[#This Row],[Price2]]&lt;1000000,"Mid range","Luxury"))</f>
        <v>Mid range</v>
      </c>
    </row>
    <row r="1440" spans="1:20" x14ac:dyDescent="0.35">
      <c r="A1440" s="3">
        <v>788343</v>
      </c>
      <c r="B1440" s="2" t="s">
        <v>34</v>
      </c>
      <c r="C1440">
        <v>20373</v>
      </c>
      <c r="D1440" s="2" t="s">
        <v>35</v>
      </c>
      <c r="E1440">
        <v>5</v>
      </c>
      <c r="F1440">
        <v>4</v>
      </c>
      <c r="G1440" s="4">
        <f>VALUE(SUBSTITUTE(SUBSTITUTE(Table1[[#This Row],[Price]],"$",""),",",""))</f>
        <v>788343</v>
      </c>
      <c r="H1440" s="1">
        <f>Table1[[#This Row],[Price2]]/Table1[[#This Row],[Area]]</f>
        <v>1097.9707520891366</v>
      </c>
      <c r="I1440">
        <v>718</v>
      </c>
      <c r="J1440">
        <v>1964</v>
      </c>
      <c r="K1440">
        <v>104</v>
      </c>
      <c r="L1440" t="s">
        <v>19</v>
      </c>
      <c r="M1440" t="s">
        <v>515</v>
      </c>
      <c r="N1440" s="2" t="s">
        <v>3027</v>
      </c>
      <c r="O1440" t="s">
        <v>3028</v>
      </c>
      <c r="P1440" t="s">
        <v>16</v>
      </c>
      <c r="Q1440">
        <v>1097.9707520891366</v>
      </c>
      <c r="R1440">
        <f ca="1">YEAR(TODAY())-Table1[[#This Row],[Year Built]]</f>
        <v>62</v>
      </c>
      <c r="S1440" t="str">
        <f>IF(Table1[[#This Row],[Days on Market]] &lt; 30,"Fast",IF(Table1[[#This Row],[Days on Market]]&lt;= 90,"Average", "Slow"))</f>
        <v>Slow</v>
      </c>
      <c r="T1440" t="str">
        <f>IF(Table1[[#This Row],[Price2]]&lt;500000,"Affordable",IF(Table1[[#This Row],[Price2]]&lt;1000000,"Mid range","Luxury"))</f>
        <v>Mid range</v>
      </c>
    </row>
    <row r="1441" spans="1:20" x14ac:dyDescent="0.35">
      <c r="A1441" s="3">
        <v>788528</v>
      </c>
      <c r="B1441" s="2" t="s">
        <v>34</v>
      </c>
      <c r="C1441">
        <v>37518</v>
      </c>
      <c r="D1441" s="2" t="s">
        <v>13</v>
      </c>
      <c r="E1441">
        <v>6</v>
      </c>
      <c r="F1441">
        <v>3</v>
      </c>
      <c r="G1441" s="4">
        <f>VALUE(SUBSTITUTE(SUBSTITUTE(Table1[[#This Row],[Price]],"$",""),",",""))</f>
        <v>788528</v>
      </c>
      <c r="H1441" s="1">
        <f>Table1[[#This Row],[Price2]]/Table1[[#This Row],[Area]]</f>
        <v>259.29891483064779</v>
      </c>
      <c r="I1441">
        <v>3041</v>
      </c>
      <c r="J1441">
        <v>1998</v>
      </c>
      <c r="K1441">
        <v>57</v>
      </c>
      <c r="L1441" t="s">
        <v>52</v>
      </c>
      <c r="M1441" t="s">
        <v>396</v>
      </c>
      <c r="N1441" s="2" t="s">
        <v>3029</v>
      </c>
      <c r="O1441" t="s">
        <v>3030</v>
      </c>
      <c r="P1441" t="s">
        <v>21</v>
      </c>
      <c r="Q1441">
        <v>259.29891483064779</v>
      </c>
      <c r="R1441">
        <f ca="1">YEAR(TODAY())-Table1[[#This Row],[Year Built]]</f>
        <v>28</v>
      </c>
      <c r="S1441" t="str">
        <f>IF(Table1[[#This Row],[Days on Market]] &lt; 30,"Fast",IF(Table1[[#This Row],[Days on Market]]&lt;= 90,"Average", "Slow"))</f>
        <v>Average</v>
      </c>
      <c r="T1441" t="str">
        <f>IF(Table1[[#This Row],[Price2]]&lt;500000,"Affordable",IF(Table1[[#This Row],[Price2]]&lt;1000000,"Mid range","Luxury"))</f>
        <v>Mid range</v>
      </c>
    </row>
    <row r="1442" spans="1:20" x14ac:dyDescent="0.35">
      <c r="A1442" s="3">
        <v>788640</v>
      </c>
      <c r="B1442" s="2" t="s">
        <v>27</v>
      </c>
      <c r="C1442">
        <v>87661</v>
      </c>
      <c r="D1442" s="2" t="s">
        <v>18</v>
      </c>
      <c r="E1442">
        <v>6</v>
      </c>
      <c r="F1442">
        <v>3</v>
      </c>
      <c r="G1442" s="4">
        <f>VALUE(SUBSTITUTE(SUBSTITUTE(Table1[[#This Row],[Price]],"$",""),",",""))</f>
        <v>788640</v>
      </c>
      <c r="H1442" s="1">
        <f>Table1[[#This Row],[Price2]]/Table1[[#This Row],[Area]]</f>
        <v>272.41450777202073</v>
      </c>
      <c r="I1442">
        <v>2895</v>
      </c>
      <c r="J1442">
        <v>1975</v>
      </c>
      <c r="K1442">
        <v>111</v>
      </c>
      <c r="L1442" t="s">
        <v>19</v>
      </c>
      <c r="M1442" t="s">
        <v>409</v>
      </c>
      <c r="N1442" s="2" t="s">
        <v>3031</v>
      </c>
      <c r="O1442" t="s">
        <v>3032</v>
      </c>
      <c r="P1442" t="s">
        <v>21</v>
      </c>
      <c r="Q1442">
        <v>272.41450777202073</v>
      </c>
      <c r="R1442">
        <f ca="1">YEAR(TODAY())-Table1[[#This Row],[Year Built]]</f>
        <v>51</v>
      </c>
      <c r="S1442" t="str">
        <f>IF(Table1[[#This Row],[Days on Market]] &lt; 30,"Fast",IF(Table1[[#This Row],[Days on Market]]&lt;= 90,"Average", "Slow"))</f>
        <v>Slow</v>
      </c>
      <c r="T1442" t="str">
        <f>IF(Table1[[#This Row],[Price2]]&lt;500000,"Affordable",IF(Table1[[#This Row],[Price2]]&lt;1000000,"Mid range","Luxury"))</f>
        <v>Mid range</v>
      </c>
    </row>
    <row r="1443" spans="1:20" x14ac:dyDescent="0.35">
      <c r="A1443" s="3">
        <v>789955</v>
      </c>
      <c r="B1443" s="2" t="s">
        <v>12</v>
      </c>
      <c r="C1443">
        <v>40382</v>
      </c>
      <c r="D1443" s="2" t="s">
        <v>29</v>
      </c>
      <c r="E1443">
        <v>5</v>
      </c>
      <c r="F1443">
        <v>3</v>
      </c>
      <c r="G1443" s="4">
        <f>VALUE(SUBSTITUTE(SUBSTITUTE(Table1[[#This Row],[Price]],"$",""),",",""))</f>
        <v>789955</v>
      </c>
      <c r="H1443" s="1">
        <f>Table1[[#This Row],[Price2]]/Table1[[#This Row],[Area]]</f>
        <v>387.99361493123774</v>
      </c>
      <c r="I1443">
        <v>2036</v>
      </c>
      <c r="J1443">
        <v>2022</v>
      </c>
      <c r="K1443">
        <v>114</v>
      </c>
      <c r="L1443" t="s">
        <v>30</v>
      </c>
      <c r="M1443" t="s">
        <v>426</v>
      </c>
      <c r="N1443" s="2" t="s">
        <v>3035</v>
      </c>
      <c r="O1443" t="s">
        <v>3036</v>
      </c>
      <c r="P1443" t="s">
        <v>21</v>
      </c>
      <c r="Q1443">
        <v>387.99361493123774</v>
      </c>
      <c r="R1443">
        <f ca="1">YEAR(TODAY())-Table1[[#This Row],[Year Built]]</f>
        <v>4</v>
      </c>
      <c r="S1443" t="str">
        <f>IF(Table1[[#This Row],[Days on Market]] &lt; 30,"Fast",IF(Table1[[#This Row],[Days on Market]]&lt;= 90,"Average", "Slow"))</f>
        <v>Slow</v>
      </c>
      <c r="T1443" t="str">
        <f>IF(Table1[[#This Row],[Price2]]&lt;500000,"Affordable",IF(Table1[[#This Row],[Price2]]&lt;1000000,"Mid range","Luxury"))</f>
        <v>Mid range</v>
      </c>
    </row>
    <row r="1444" spans="1:20" x14ac:dyDescent="0.35">
      <c r="A1444" s="3">
        <v>790073</v>
      </c>
      <c r="B1444" s="2" t="s">
        <v>12</v>
      </c>
      <c r="C1444">
        <v>35467</v>
      </c>
      <c r="D1444" s="2" t="s">
        <v>23</v>
      </c>
      <c r="E1444">
        <v>5</v>
      </c>
      <c r="F1444">
        <v>1</v>
      </c>
      <c r="G1444" s="4">
        <f>VALUE(SUBSTITUTE(SUBSTITUTE(Table1[[#This Row],[Price]],"$",""),",",""))</f>
        <v>790073</v>
      </c>
      <c r="H1444" s="1">
        <f>Table1[[#This Row],[Price2]]/Table1[[#This Row],[Area]]</f>
        <v>231.21832016388646</v>
      </c>
      <c r="I1444">
        <v>3417</v>
      </c>
      <c r="J1444">
        <v>1976</v>
      </c>
      <c r="K1444">
        <v>29</v>
      </c>
      <c r="L1444" t="s">
        <v>14</v>
      </c>
      <c r="M1444" t="s">
        <v>1000</v>
      </c>
      <c r="N1444" s="2" t="s">
        <v>3033</v>
      </c>
      <c r="O1444" t="s">
        <v>3034</v>
      </c>
      <c r="P1444" t="s">
        <v>16</v>
      </c>
      <c r="Q1444">
        <v>231.21832016388646</v>
      </c>
      <c r="R1444">
        <f ca="1">YEAR(TODAY())-Table1[[#This Row],[Year Built]]</f>
        <v>50</v>
      </c>
      <c r="S1444" t="str">
        <f>IF(Table1[[#This Row],[Days on Market]] &lt; 30,"Fast",IF(Table1[[#This Row],[Days on Market]]&lt;= 90,"Average", "Slow"))</f>
        <v>Fast</v>
      </c>
      <c r="T1444" t="str">
        <f>IF(Table1[[#This Row],[Price2]]&lt;500000,"Affordable",IF(Table1[[#This Row],[Price2]]&lt;1000000,"Mid range","Luxury"))</f>
        <v>Mid range</v>
      </c>
    </row>
    <row r="1445" spans="1:20" x14ac:dyDescent="0.35">
      <c r="A1445" s="3">
        <v>791989</v>
      </c>
      <c r="B1445" s="2" t="s">
        <v>12</v>
      </c>
      <c r="C1445">
        <v>48152</v>
      </c>
      <c r="D1445" s="2" t="s">
        <v>18</v>
      </c>
      <c r="E1445">
        <v>3</v>
      </c>
      <c r="F1445">
        <v>2</v>
      </c>
      <c r="G1445" s="4">
        <f>VALUE(SUBSTITUTE(SUBSTITUTE(Table1[[#This Row],[Price]],"$",""),",",""))</f>
        <v>791989</v>
      </c>
      <c r="H1445" s="1">
        <f>Table1[[#This Row],[Price2]]/Table1[[#This Row],[Area]]</f>
        <v>706.50223015165034</v>
      </c>
      <c r="I1445">
        <v>1121</v>
      </c>
      <c r="J1445">
        <v>2023</v>
      </c>
      <c r="K1445">
        <v>59</v>
      </c>
      <c r="L1445" t="s">
        <v>30</v>
      </c>
      <c r="M1445" t="s">
        <v>2498</v>
      </c>
      <c r="N1445" s="2" t="s">
        <v>3035</v>
      </c>
      <c r="O1445" t="s">
        <v>3036</v>
      </c>
      <c r="P1445" t="s">
        <v>16</v>
      </c>
      <c r="Q1445">
        <v>706.50223015165034</v>
      </c>
      <c r="R1445">
        <f ca="1">YEAR(TODAY())-Table1[[#This Row],[Year Built]]</f>
        <v>3</v>
      </c>
      <c r="S1445" t="str">
        <f>IF(Table1[[#This Row],[Days on Market]] &lt; 30,"Fast",IF(Table1[[#This Row],[Days on Market]]&lt;= 90,"Average", "Slow"))</f>
        <v>Average</v>
      </c>
      <c r="T1445" t="str">
        <f>IF(Table1[[#This Row],[Price2]]&lt;500000,"Affordable",IF(Table1[[#This Row],[Price2]]&lt;1000000,"Mid range","Luxury"))</f>
        <v>Mid range</v>
      </c>
    </row>
    <row r="1446" spans="1:20" x14ac:dyDescent="0.35">
      <c r="A1446" s="3">
        <v>792152</v>
      </c>
      <c r="B1446" s="2" t="s">
        <v>17</v>
      </c>
      <c r="C1446">
        <v>20922</v>
      </c>
      <c r="D1446" s="2" t="s">
        <v>29</v>
      </c>
      <c r="E1446">
        <v>3</v>
      </c>
      <c r="F1446">
        <v>1</v>
      </c>
      <c r="G1446" s="4">
        <f>VALUE(SUBSTITUTE(SUBSTITUTE(Table1[[#This Row],[Price]],"$",""),",",""))</f>
        <v>792152</v>
      </c>
      <c r="H1446" s="1">
        <f>Table1[[#This Row],[Price2]]/Table1[[#This Row],[Area]]</f>
        <v>262.04168044988421</v>
      </c>
      <c r="I1446">
        <v>3023</v>
      </c>
      <c r="J1446">
        <v>2010</v>
      </c>
      <c r="K1446">
        <v>116</v>
      </c>
      <c r="L1446" t="s">
        <v>19</v>
      </c>
      <c r="M1446" t="s">
        <v>2151</v>
      </c>
      <c r="N1446" s="2" t="s">
        <v>3027</v>
      </c>
      <c r="O1446" t="s">
        <v>3028</v>
      </c>
      <c r="P1446" t="s">
        <v>21</v>
      </c>
      <c r="Q1446">
        <v>262.04168044988421</v>
      </c>
      <c r="R1446">
        <f ca="1">YEAR(TODAY())-Table1[[#This Row],[Year Built]]</f>
        <v>16</v>
      </c>
      <c r="S1446" t="str">
        <f>IF(Table1[[#This Row],[Days on Market]] &lt; 30,"Fast",IF(Table1[[#This Row],[Days on Market]]&lt;= 90,"Average", "Slow"))</f>
        <v>Slow</v>
      </c>
      <c r="T1446" t="str">
        <f>IF(Table1[[#This Row],[Price2]]&lt;500000,"Affordable",IF(Table1[[#This Row],[Price2]]&lt;1000000,"Mid range","Luxury"))</f>
        <v>Mid range</v>
      </c>
    </row>
    <row r="1447" spans="1:20" x14ac:dyDescent="0.35">
      <c r="A1447" s="3">
        <v>792207</v>
      </c>
      <c r="B1447" s="2" t="s">
        <v>22</v>
      </c>
      <c r="C1447">
        <v>91469</v>
      </c>
      <c r="D1447" s="2" t="s">
        <v>18</v>
      </c>
      <c r="E1447">
        <v>5</v>
      </c>
      <c r="F1447">
        <v>1</v>
      </c>
      <c r="G1447" s="4">
        <f>VALUE(SUBSTITUTE(SUBSTITUTE(Table1[[#This Row],[Price]],"$",""),",",""))</f>
        <v>792207</v>
      </c>
      <c r="H1447" s="1">
        <f>Table1[[#This Row],[Price2]]/Table1[[#This Row],[Area]]</f>
        <v>308.61199844176082</v>
      </c>
      <c r="I1447">
        <v>2567</v>
      </c>
      <c r="J1447">
        <v>2001</v>
      </c>
      <c r="K1447">
        <v>93</v>
      </c>
      <c r="L1447" t="s">
        <v>19</v>
      </c>
      <c r="M1447" t="s">
        <v>1450</v>
      </c>
      <c r="N1447" s="2" t="s">
        <v>3029</v>
      </c>
      <c r="O1447" t="s">
        <v>3030</v>
      </c>
      <c r="P1447" t="s">
        <v>26</v>
      </c>
      <c r="Q1447">
        <v>308.61199844176082</v>
      </c>
      <c r="R1447">
        <f ca="1">YEAR(TODAY())-Table1[[#This Row],[Year Built]]</f>
        <v>25</v>
      </c>
      <c r="S1447" t="str">
        <f>IF(Table1[[#This Row],[Days on Market]] &lt; 30,"Fast",IF(Table1[[#This Row],[Days on Market]]&lt;= 90,"Average", "Slow"))</f>
        <v>Slow</v>
      </c>
      <c r="T1447" t="str">
        <f>IF(Table1[[#This Row],[Price2]]&lt;500000,"Affordable",IF(Table1[[#This Row],[Price2]]&lt;1000000,"Mid range","Luxury"))</f>
        <v>Mid range</v>
      </c>
    </row>
    <row r="1448" spans="1:20" x14ac:dyDescent="0.35">
      <c r="A1448" s="3">
        <v>792689</v>
      </c>
      <c r="B1448" s="2" t="s">
        <v>27</v>
      </c>
      <c r="C1448">
        <v>76014</v>
      </c>
      <c r="D1448" s="2" t="s">
        <v>23</v>
      </c>
      <c r="E1448">
        <v>6</v>
      </c>
      <c r="F1448">
        <v>2</v>
      </c>
      <c r="G1448" s="4">
        <f>VALUE(SUBSTITUTE(SUBSTITUTE(Table1[[#This Row],[Price]],"$",""),",",""))</f>
        <v>792689</v>
      </c>
      <c r="H1448" s="1">
        <f>Table1[[#This Row],[Price2]]/Table1[[#This Row],[Area]]</f>
        <v>284.8325547969817</v>
      </c>
      <c r="I1448">
        <v>2783</v>
      </c>
      <c r="J1448">
        <v>1984</v>
      </c>
      <c r="K1448">
        <v>63</v>
      </c>
      <c r="L1448" t="s">
        <v>19</v>
      </c>
      <c r="M1448" t="s">
        <v>1148</v>
      </c>
      <c r="N1448" s="2" t="s">
        <v>3033</v>
      </c>
      <c r="O1448" t="s">
        <v>3034</v>
      </c>
      <c r="P1448" t="s">
        <v>26</v>
      </c>
      <c r="Q1448">
        <v>284.8325547969817</v>
      </c>
      <c r="R1448">
        <f ca="1">YEAR(TODAY())-Table1[[#This Row],[Year Built]]</f>
        <v>42</v>
      </c>
      <c r="S1448" t="str">
        <f>IF(Table1[[#This Row],[Days on Market]] &lt; 30,"Fast",IF(Table1[[#This Row],[Days on Market]]&lt;= 90,"Average", "Slow"))</f>
        <v>Average</v>
      </c>
      <c r="T1448" t="str">
        <f>IF(Table1[[#This Row],[Price2]]&lt;500000,"Affordable",IF(Table1[[#This Row],[Price2]]&lt;1000000,"Mid range","Luxury"))</f>
        <v>Mid range</v>
      </c>
    </row>
    <row r="1449" spans="1:20" x14ac:dyDescent="0.35">
      <c r="A1449" s="3">
        <v>792693</v>
      </c>
      <c r="B1449" s="2" t="s">
        <v>27</v>
      </c>
      <c r="C1449">
        <v>88981</v>
      </c>
      <c r="D1449" s="2" t="s">
        <v>29</v>
      </c>
      <c r="E1449">
        <v>1</v>
      </c>
      <c r="F1449">
        <v>1</v>
      </c>
      <c r="G1449" s="4">
        <f>VALUE(SUBSTITUTE(SUBSTITUTE(Table1[[#This Row],[Price]],"$",""),",",""))</f>
        <v>792693</v>
      </c>
      <c r="H1449" s="1">
        <f>Table1[[#This Row],[Price2]]/Table1[[#This Row],[Area]]</f>
        <v>204.93614270941055</v>
      </c>
      <c r="I1449">
        <v>3868</v>
      </c>
      <c r="J1449">
        <v>1989</v>
      </c>
      <c r="K1449">
        <v>5</v>
      </c>
      <c r="L1449" t="s">
        <v>52</v>
      </c>
      <c r="M1449" t="s">
        <v>2306</v>
      </c>
      <c r="N1449" s="2" t="s">
        <v>3033</v>
      </c>
      <c r="O1449" t="s">
        <v>3034</v>
      </c>
      <c r="P1449" t="s">
        <v>26</v>
      </c>
      <c r="Q1449">
        <v>204.93614270941055</v>
      </c>
      <c r="R1449">
        <f ca="1">YEAR(TODAY())-Table1[[#This Row],[Year Built]]</f>
        <v>37</v>
      </c>
      <c r="S1449" t="str">
        <f>IF(Table1[[#This Row],[Days on Market]] &lt; 30,"Fast",IF(Table1[[#This Row],[Days on Market]]&lt;= 90,"Average", "Slow"))</f>
        <v>Fast</v>
      </c>
      <c r="T1449" t="str">
        <f>IF(Table1[[#This Row],[Price2]]&lt;500000,"Affordable",IF(Table1[[#This Row],[Price2]]&lt;1000000,"Mid range","Luxury"))</f>
        <v>Mid range</v>
      </c>
    </row>
    <row r="1450" spans="1:20" x14ac:dyDescent="0.35">
      <c r="A1450" s="3">
        <v>792699</v>
      </c>
      <c r="B1450" s="2" t="s">
        <v>22</v>
      </c>
      <c r="C1450">
        <v>55823</v>
      </c>
      <c r="D1450" s="2" t="s">
        <v>13</v>
      </c>
      <c r="E1450">
        <v>3</v>
      </c>
      <c r="F1450">
        <v>3</v>
      </c>
      <c r="G1450" s="4">
        <f>VALUE(SUBSTITUTE(SUBSTITUTE(Table1[[#This Row],[Price]],"$",""),",",""))</f>
        <v>792699</v>
      </c>
      <c r="H1450" s="1">
        <f>Table1[[#This Row],[Price2]]/Table1[[#This Row],[Area]]</f>
        <v>268.52947154471542</v>
      </c>
      <c r="I1450">
        <v>2952</v>
      </c>
      <c r="J1450">
        <v>1994</v>
      </c>
      <c r="K1450">
        <v>40</v>
      </c>
      <c r="L1450" t="s">
        <v>30</v>
      </c>
      <c r="M1450" t="s">
        <v>2255</v>
      </c>
      <c r="N1450" s="2" t="s">
        <v>3027</v>
      </c>
      <c r="O1450" t="s">
        <v>3028</v>
      </c>
      <c r="P1450" t="s">
        <v>16</v>
      </c>
      <c r="Q1450">
        <v>268.52947154471542</v>
      </c>
      <c r="R1450">
        <f ca="1">YEAR(TODAY())-Table1[[#This Row],[Year Built]]</f>
        <v>32</v>
      </c>
      <c r="S1450" t="str">
        <f>IF(Table1[[#This Row],[Days on Market]] &lt; 30,"Fast",IF(Table1[[#This Row],[Days on Market]]&lt;= 90,"Average", "Slow"))</f>
        <v>Average</v>
      </c>
      <c r="T1450" t="str">
        <f>IF(Table1[[#This Row],[Price2]]&lt;500000,"Affordable",IF(Table1[[#This Row],[Price2]]&lt;1000000,"Mid range","Luxury"))</f>
        <v>Mid range</v>
      </c>
    </row>
    <row r="1451" spans="1:20" x14ac:dyDescent="0.35">
      <c r="A1451" s="3">
        <v>793154</v>
      </c>
      <c r="B1451" s="2" t="s">
        <v>12</v>
      </c>
      <c r="C1451">
        <v>96844</v>
      </c>
      <c r="D1451" s="2" t="s">
        <v>35</v>
      </c>
      <c r="E1451">
        <v>6</v>
      </c>
      <c r="F1451">
        <v>2</v>
      </c>
      <c r="G1451" s="4">
        <f>VALUE(SUBSTITUTE(SUBSTITUTE(Table1[[#This Row],[Price]],"$",""),",",""))</f>
        <v>793154</v>
      </c>
      <c r="H1451" s="1">
        <f>Table1[[#This Row],[Price2]]/Table1[[#This Row],[Area]]</f>
        <v>279.08304011259679</v>
      </c>
      <c r="I1451">
        <v>2842</v>
      </c>
      <c r="J1451">
        <v>1964</v>
      </c>
      <c r="K1451">
        <v>105</v>
      </c>
      <c r="L1451" t="s">
        <v>14</v>
      </c>
      <c r="M1451" t="s">
        <v>2053</v>
      </c>
      <c r="N1451" s="2" t="s">
        <v>3027</v>
      </c>
      <c r="O1451" t="s">
        <v>3028</v>
      </c>
      <c r="P1451" t="s">
        <v>26</v>
      </c>
      <c r="Q1451">
        <v>279.08304011259679</v>
      </c>
      <c r="R1451">
        <f ca="1">YEAR(TODAY())-Table1[[#This Row],[Year Built]]</f>
        <v>62</v>
      </c>
      <c r="S1451" t="str">
        <f>IF(Table1[[#This Row],[Days on Market]] &lt; 30,"Fast",IF(Table1[[#This Row],[Days on Market]]&lt;= 90,"Average", "Slow"))</f>
        <v>Slow</v>
      </c>
      <c r="T1451" t="str">
        <f>IF(Table1[[#This Row],[Price2]]&lt;500000,"Affordable",IF(Table1[[#This Row],[Price2]]&lt;1000000,"Mid range","Luxury"))</f>
        <v>Mid range</v>
      </c>
    </row>
    <row r="1452" spans="1:20" x14ac:dyDescent="0.35">
      <c r="A1452" s="3">
        <v>793777</v>
      </c>
      <c r="B1452" s="2" t="s">
        <v>22</v>
      </c>
      <c r="C1452">
        <v>14389</v>
      </c>
      <c r="D1452" s="2" t="s">
        <v>29</v>
      </c>
      <c r="E1452">
        <v>4</v>
      </c>
      <c r="F1452">
        <v>1</v>
      </c>
      <c r="G1452" s="4">
        <f>VALUE(SUBSTITUTE(SUBSTITUTE(Table1[[#This Row],[Price]],"$",""),",",""))</f>
        <v>793777</v>
      </c>
      <c r="H1452" s="1">
        <f>Table1[[#This Row],[Price2]]/Table1[[#This Row],[Area]]</f>
        <v>491.19863861386136</v>
      </c>
      <c r="I1452">
        <v>1616</v>
      </c>
      <c r="J1452">
        <v>1996</v>
      </c>
      <c r="K1452">
        <v>91</v>
      </c>
      <c r="L1452" t="s">
        <v>30</v>
      </c>
      <c r="M1452" t="s">
        <v>728</v>
      </c>
      <c r="N1452" s="2" t="s">
        <v>3035</v>
      </c>
      <c r="O1452" t="s">
        <v>3036</v>
      </c>
      <c r="P1452" t="s">
        <v>26</v>
      </c>
      <c r="Q1452">
        <v>491.19863861386136</v>
      </c>
      <c r="R1452">
        <f ca="1">YEAR(TODAY())-Table1[[#This Row],[Year Built]]</f>
        <v>30</v>
      </c>
      <c r="S1452" t="str">
        <f>IF(Table1[[#This Row],[Days on Market]] &lt; 30,"Fast",IF(Table1[[#This Row],[Days on Market]]&lt;= 90,"Average", "Slow"))</f>
        <v>Slow</v>
      </c>
      <c r="T1452" t="str">
        <f>IF(Table1[[#This Row],[Price2]]&lt;500000,"Affordable",IF(Table1[[#This Row],[Price2]]&lt;1000000,"Mid range","Luxury"))</f>
        <v>Mid range</v>
      </c>
    </row>
    <row r="1453" spans="1:20" x14ac:dyDescent="0.35">
      <c r="A1453" s="3">
        <v>794121</v>
      </c>
      <c r="B1453" s="2" t="s">
        <v>17</v>
      </c>
      <c r="C1453">
        <v>50273</v>
      </c>
      <c r="D1453" s="2" t="s">
        <v>13</v>
      </c>
      <c r="E1453">
        <v>6</v>
      </c>
      <c r="F1453">
        <v>4</v>
      </c>
      <c r="G1453" s="4">
        <f>VALUE(SUBSTITUTE(SUBSTITUTE(Table1[[#This Row],[Price]],"$",""),",",""))</f>
        <v>794121</v>
      </c>
      <c r="H1453" s="1">
        <f>Table1[[#This Row],[Price2]]/Table1[[#This Row],[Area]]</f>
        <v>256.00290135396517</v>
      </c>
      <c r="I1453">
        <v>3102</v>
      </c>
      <c r="J1453">
        <v>1953</v>
      </c>
      <c r="K1453">
        <v>114</v>
      </c>
      <c r="L1453" t="s">
        <v>14</v>
      </c>
      <c r="M1453" t="s">
        <v>2187</v>
      </c>
      <c r="N1453" s="2" t="s">
        <v>3033</v>
      </c>
      <c r="O1453" t="s">
        <v>3034</v>
      </c>
      <c r="P1453" t="s">
        <v>26</v>
      </c>
      <c r="Q1453">
        <v>256.00290135396517</v>
      </c>
      <c r="R1453">
        <f ca="1">YEAR(TODAY())-Table1[[#This Row],[Year Built]]</f>
        <v>73</v>
      </c>
      <c r="S1453" t="str">
        <f>IF(Table1[[#This Row],[Days on Market]] &lt; 30,"Fast",IF(Table1[[#This Row],[Days on Market]]&lt;= 90,"Average", "Slow"))</f>
        <v>Slow</v>
      </c>
      <c r="T1453" t="str">
        <f>IF(Table1[[#This Row],[Price2]]&lt;500000,"Affordable",IF(Table1[[#This Row],[Price2]]&lt;1000000,"Mid range","Luxury"))</f>
        <v>Mid range</v>
      </c>
    </row>
    <row r="1454" spans="1:20" x14ac:dyDescent="0.35">
      <c r="A1454" s="3">
        <v>794201</v>
      </c>
      <c r="B1454" s="2" t="s">
        <v>27</v>
      </c>
      <c r="C1454">
        <v>23601</v>
      </c>
      <c r="D1454" s="2" t="s">
        <v>18</v>
      </c>
      <c r="E1454">
        <v>1</v>
      </c>
      <c r="F1454">
        <v>4</v>
      </c>
      <c r="G1454" s="4">
        <f>VALUE(SUBSTITUTE(SUBSTITUTE(Table1[[#This Row],[Price]],"$",""),",",""))</f>
        <v>794201</v>
      </c>
      <c r="H1454" s="1">
        <f>Table1[[#This Row],[Price2]]/Table1[[#This Row],[Area]]</f>
        <v>512.05738233397813</v>
      </c>
      <c r="I1454">
        <v>1551</v>
      </c>
      <c r="J1454">
        <v>2022</v>
      </c>
      <c r="K1454">
        <v>113</v>
      </c>
      <c r="L1454" t="s">
        <v>52</v>
      </c>
      <c r="M1454" t="s">
        <v>2938</v>
      </c>
      <c r="N1454" s="2" t="s">
        <v>3027</v>
      </c>
      <c r="O1454" t="s">
        <v>3028</v>
      </c>
      <c r="P1454" t="s">
        <v>26</v>
      </c>
      <c r="Q1454">
        <v>512.05738233397813</v>
      </c>
      <c r="R1454">
        <f ca="1">YEAR(TODAY())-Table1[[#This Row],[Year Built]]</f>
        <v>4</v>
      </c>
      <c r="S1454" t="str">
        <f>IF(Table1[[#This Row],[Days on Market]] &lt; 30,"Fast",IF(Table1[[#This Row],[Days on Market]]&lt;= 90,"Average", "Slow"))</f>
        <v>Slow</v>
      </c>
      <c r="T1454" t="str">
        <f>IF(Table1[[#This Row],[Price2]]&lt;500000,"Affordable",IF(Table1[[#This Row],[Price2]]&lt;1000000,"Mid range","Luxury"))</f>
        <v>Mid range</v>
      </c>
    </row>
    <row r="1455" spans="1:20" x14ac:dyDescent="0.35">
      <c r="A1455" s="3">
        <v>795435</v>
      </c>
      <c r="B1455" s="2" t="s">
        <v>17</v>
      </c>
      <c r="C1455">
        <v>99215</v>
      </c>
      <c r="D1455" s="2" t="s">
        <v>18</v>
      </c>
      <c r="E1455">
        <v>6</v>
      </c>
      <c r="F1455">
        <v>1</v>
      </c>
      <c r="G1455" s="4">
        <f>VALUE(SUBSTITUTE(SUBSTITUTE(Table1[[#This Row],[Price]],"$",""),",",""))</f>
        <v>795435</v>
      </c>
      <c r="H1455" s="1">
        <f>Table1[[#This Row],[Price2]]/Table1[[#This Row],[Area]]</f>
        <v>1282.9596774193549</v>
      </c>
      <c r="I1455">
        <v>620</v>
      </c>
      <c r="J1455">
        <v>1991</v>
      </c>
      <c r="K1455">
        <v>62</v>
      </c>
      <c r="L1455" t="s">
        <v>14</v>
      </c>
      <c r="M1455" t="s">
        <v>331</v>
      </c>
      <c r="N1455" s="2" t="s">
        <v>3035</v>
      </c>
      <c r="O1455" t="s">
        <v>3036</v>
      </c>
      <c r="P1455" t="s">
        <v>26</v>
      </c>
      <c r="Q1455">
        <v>1282.9596774193549</v>
      </c>
      <c r="R1455">
        <f ca="1">YEAR(TODAY())-Table1[[#This Row],[Year Built]]</f>
        <v>35</v>
      </c>
      <c r="S1455" t="str">
        <f>IF(Table1[[#This Row],[Days on Market]] &lt; 30,"Fast",IF(Table1[[#This Row],[Days on Market]]&lt;= 90,"Average", "Slow"))</f>
        <v>Average</v>
      </c>
      <c r="T1455" t="str">
        <f>IF(Table1[[#This Row],[Price2]]&lt;500000,"Affordable",IF(Table1[[#This Row],[Price2]]&lt;1000000,"Mid range","Luxury"))</f>
        <v>Mid range</v>
      </c>
    </row>
    <row r="1456" spans="1:20" x14ac:dyDescent="0.35">
      <c r="A1456" s="3">
        <v>795509</v>
      </c>
      <c r="B1456" s="2" t="s">
        <v>17</v>
      </c>
      <c r="C1456">
        <v>42271</v>
      </c>
      <c r="D1456" s="2" t="s">
        <v>18</v>
      </c>
      <c r="E1456">
        <v>4</v>
      </c>
      <c r="F1456">
        <v>1</v>
      </c>
      <c r="G1456" s="4">
        <f>VALUE(SUBSTITUTE(SUBSTITUTE(Table1[[#This Row],[Price]],"$",""),",",""))</f>
        <v>795509</v>
      </c>
      <c r="H1456" s="1">
        <f>Table1[[#This Row],[Price2]]/Table1[[#This Row],[Area]]</f>
        <v>214.7702483801296</v>
      </c>
      <c r="I1456">
        <v>3704</v>
      </c>
      <c r="J1456">
        <v>1986</v>
      </c>
      <c r="K1456">
        <v>23</v>
      </c>
      <c r="L1456" t="s">
        <v>30</v>
      </c>
      <c r="M1456" t="s">
        <v>2042</v>
      </c>
      <c r="N1456" s="2" t="s">
        <v>3031</v>
      </c>
      <c r="O1456" t="s">
        <v>3032</v>
      </c>
      <c r="P1456" t="s">
        <v>26</v>
      </c>
      <c r="Q1456">
        <v>214.7702483801296</v>
      </c>
      <c r="R1456">
        <f ca="1">YEAR(TODAY())-Table1[[#This Row],[Year Built]]</f>
        <v>40</v>
      </c>
      <c r="S1456" t="str">
        <f>IF(Table1[[#This Row],[Days on Market]] &lt; 30,"Fast",IF(Table1[[#This Row],[Days on Market]]&lt;= 90,"Average", "Slow"))</f>
        <v>Fast</v>
      </c>
      <c r="T1456" t="str">
        <f>IF(Table1[[#This Row],[Price2]]&lt;500000,"Affordable",IF(Table1[[#This Row],[Price2]]&lt;1000000,"Mid range","Luxury"))</f>
        <v>Mid range</v>
      </c>
    </row>
    <row r="1457" spans="1:20" x14ac:dyDescent="0.35">
      <c r="A1457" s="3">
        <v>795699</v>
      </c>
      <c r="B1457" s="2" t="s">
        <v>27</v>
      </c>
      <c r="C1457">
        <v>35944</v>
      </c>
      <c r="D1457" s="2" t="s">
        <v>23</v>
      </c>
      <c r="E1457">
        <v>4</v>
      </c>
      <c r="F1457">
        <v>3</v>
      </c>
      <c r="G1457" s="4">
        <f>VALUE(SUBSTITUTE(SUBSTITUTE(Table1[[#This Row],[Price]],"$",""),",",""))</f>
        <v>795699</v>
      </c>
      <c r="H1457" s="1">
        <f>Table1[[#This Row],[Price2]]/Table1[[#This Row],[Area]]</f>
        <v>382.73160173160176</v>
      </c>
      <c r="I1457">
        <v>2079</v>
      </c>
      <c r="J1457">
        <v>2016</v>
      </c>
      <c r="K1457">
        <v>41</v>
      </c>
      <c r="L1457" t="s">
        <v>52</v>
      </c>
      <c r="M1457" t="s">
        <v>1015</v>
      </c>
      <c r="N1457" s="2" t="s">
        <v>3031</v>
      </c>
      <c r="O1457" t="s">
        <v>3032</v>
      </c>
      <c r="P1457" t="s">
        <v>16</v>
      </c>
      <c r="Q1457">
        <v>382.73160173160176</v>
      </c>
      <c r="R1457">
        <f ca="1">YEAR(TODAY())-Table1[[#This Row],[Year Built]]</f>
        <v>10</v>
      </c>
      <c r="S1457" t="str">
        <f>IF(Table1[[#This Row],[Days on Market]] &lt; 30,"Fast",IF(Table1[[#This Row],[Days on Market]]&lt;= 90,"Average", "Slow"))</f>
        <v>Average</v>
      </c>
      <c r="T1457" t="str">
        <f>IF(Table1[[#This Row],[Price2]]&lt;500000,"Affordable",IF(Table1[[#This Row],[Price2]]&lt;1000000,"Mid range","Luxury"))</f>
        <v>Mid range</v>
      </c>
    </row>
    <row r="1458" spans="1:20" x14ac:dyDescent="0.35">
      <c r="A1458" s="3">
        <v>796312</v>
      </c>
      <c r="B1458" s="2" t="s">
        <v>12</v>
      </c>
      <c r="C1458">
        <v>66000</v>
      </c>
      <c r="D1458" s="2" t="s">
        <v>29</v>
      </c>
      <c r="E1458">
        <v>3</v>
      </c>
      <c r="F1458">
        <v>1</v>
      </c>
      <c r="G1458" s="4">
        <f>VALUE(SUBSTITUTE(SUBSTITUTE(Table1[[#This Row],[Price]],"$",""),",",""))</f>
        <v>796312</v>
      </c>
      <c r="H1458" s="1">
        <f>Table1[[#This Row],[Price2]]/Table1[[#This Row],[Area]]</f>
        <v>470.91188645771734</v>
      </c>
      <c r="I1458">
        <v>1691</v>
      </c>
      <c r="J1458">
        <v>2021</v>
      </c>
      <c r="K1458">
        <v>52</v>
      </c>
      <c r="L1458" t="s">
        <v>52</v>
      </c>
      <c r="M1458" t="s">
        <v>1556</v>
      </c>
      <c r="N1458" s="2" t="s">
        <v>3035</v>
      </c>
      <c r="O1458" t="s">
        <v>3036</v>
      </c>
      <c r="P1458" t="s">
        <v>26</v>
      </c>
      <c r="Q1458">
        <v>470.91188645771734</v>
      </c>
      <c r="R1458">
        <f ca="1">YEAR(TODAY())-Table1[[#This Row],[Year Built]]</f>
        <v>5</v>
      </c>
      <c r="S1458" t="str">
        <f>IF(Table1[[#This Row],[Days on Market]] &lt; 30,"Fast",IF(Table1[[#This Row],[Days on Market]]&lt;= 90,"Average", "Slow"))</f>
        <v>Average</v>
      </c>
      <c r="T1458" t="str">
        <f>IF(Table1[[#This Row],[Price2]]&lt;500000,"Affordable",IF(Table1[[#This Row],[Price2]]&lt;1000000,"Mid range","Luxury"))</f>
        <v>Mid range</v>
      </c>
    </row>
    <row r="1459" spans="1:20" x14ac:dyDescent="0.35">
      <c r="A1459" s="3">
        <v>796329</v>
      </c>
      <c r="B1459" s="2" t="s">
        <v>34</v>
      </c>
      <c r="C1459">
        <v>86142</v>
      </c>
      <c r="D1459" s="2" t="s">
        <v>23</v>
      </c>
      <c r="E1459">
        <v>3</v>
      </c>
      <c r="F1459">
        <v>4</v>
      </c>
      <c r="G1459" s="4">
        <f>VALUE(SUBSTITUTE(SUBSTITUTE(Table1[[#This Row],[Price]],"$",""),",",""))</f>
        <v>796329</v>
      </c>
      <c r="H1459" s="1">
        <f>Table1[[#This Row],[Price2]]/Table1[[#This Row],[Area]]</f>
        <v>410.69056214543582</v>
      </c>
      <c r="I1459">
        <v>1939</v>
      </c>
      <c r="J1459">
        <v>1964</v>
      </c>
      <c r="K1459">
        <v>84</v>
      </c>
      <c r="L1459" t="s">
        <v>52</v>
      </c>
      <c r="M1459" t="s">
        <v>1868</v>
      </c>
      <c r="N1459" s="2" t="s">
        <v>3031</v>
      </c>
      <c r="O1459" t="s">
        <v>3032</v>
      </c>
      <c r="P1459" t="s">
        <v>26</v>
      </c>
      <c r="Q1459">
        <v>410.69056214543582</v>
      </c>
      <c r="R1459">
        <f ca="1">YEAR(TODAY())-Table1[[#This Row],[Year Built]]</f>
        <v>62</v>
      </c>
      <c r="S1459" t="str">
        <f>IF(Table1[[#This Row],[Days on Market]] &lt; 30,"Fast",IF(Table1[[#This Row],[Days on Market]]&lt;= 90,"Average", "Slow"))</f>
        <v>Average</v>
      </c>
      <c r="T1459" t="str">
        <f>IF(Table1[[#This Row],[Price2]]&lt;500000,"Affordable",IF(Table1[[#This Row],[Price2]]&lt;1000000,"Mid range","Luxury"))</f>
        <v>Mid range</v>
      </c>
    </row>
    <row r="1460" spans="1:20" x14ac:dyDescent="0.35">
      <c r="A1460" s="3">
        <v>798012</v>
      </c>
      <c r="B1460" s="2" t="s">
        <v>17</v>
      </c>
      <c r="C1460">
        <v>14788</v>
      </c>
      <c r="D1460" s="2" t="s">
        <v>13</v>
      </c>
      <c r="E1460">
        <v>4</v>
      </c>
      <c r="F1460">
        <v>2</v>
      </c>
      <c r="G1460" s="4">
        <f>VALUE(SUBSTITUTE(SUBSTITUTE(Table1[[#This Row],[Price]],"$",""),",",""))</f>
        <v>798012</v>
      </c>
      <c r="H1460" s="1">
        <f>Table1[[#This Row],[Price2]]/Table1[[#This Row],[Area]]</f>
        <v>383.84415584415586</v>
      </c>
      <c r="I1460">
        <v>2079</v>
      </c>
      <c r="J1460">
        <v>2017</v>
      </c>
      <c r="K1460">
        <v>110</v>
      </c>
      <c r="L1460" t="s">
        <v>52</v>
      </c>
      <c r="M1460" t="s">
        <v>1010</v>
      </c>
      <c r="N1460" s="2" t="s">
        <v>3035</v>
      </c>
      <c r="O1460" t="s">
        <v>3036</v>
      </c>
      <c r="P1460" t="s">
        <v>16</v>
      </c>
      <c r="Q1460">
        <v>383.84415584415586</v>
      </c>
      <c r="R1460">
        <f ca="1">YEAR(TODAY())-Table1[[#This Row],[Year Built]]</f>
        <v>9</v>
      </c>
      <c r="S1460" t="str">
        <f>IF(Table1[[#This Row],[Days on Market]] &lt; 30,"Fast",IF(Table1[[#This Row],[Days on Market]]&lt;= 90,"Average", "Slow"))</f>
        <v>Slow</v>
      </c>
      <c r="T1460" t="str">
        <f>IF(Table1[[#This Row],[Price2]]&lt;500000,"Affordable",IF(Table1[[#This Row],[Price2]]&lt;1000000,"Mid range","Luxury"))</f>
        <v>Mid range</v>
      </c>
    </row>
    <row r="1461" spans="1:20" x14ac:dyDescent="0.35">
      <c r="A1461" s="3">
        <v>798115</v>
      </c>
      <c r="B1461" s="2" t="s">
        <v>22</v>
      </c>
      <c r="C1461">
        <v>93892</v>
      </c>
      <c r="D1461" s="2" t="s">
        <v>23</v>
      </c>
      <c r="E1461">
        <v>1</v>
      </c>
      <c r="F1461">
        <v>3</v>
      </c>
      <c r="G1461" s="4">
        <f>VALUE(SUBSTITUTE(SUBSTITUTE(Table1[[#This Row],[Price]],"$",""),",",""))</f>
        <v>798115</v>
      </c>
      <c r="H1461" s="1">
        <f>Table1[[#This Row],[Price2]]/Table1[[#This Row],[Area]]</f>
        <v>1239.3090062111801</v>
      </c>
      <c r="I1461">
        <v>644</v>
      </c>
      <c r="J1461">
        <v>1979</v>
      </c>
      <c r="K1461">
        <v>17</v>
      </c>
      <c r="L1461" t="s">
        <v>14</v>
      </c>
      <c r="M1461" t="s">
        <v>333</v>
      </c>
      <c r="N1461" s="2" t="s">
        <v>3033</v>
      </c>
      <c r="O1461" t="s">
        <v>3034</v>
      </c>
      <c r="P1461" t="s">
        <v>26</v>
      </c>
      <c r="Q1461">
        <v>1239.3090062111801</v>
      </c>
      <c r="R1461">
        <f ca="1">YEAR(TODAY())-Table1[[#This Row],[Year Built]]</f>
        <v>47</v>
      </c>
      <c r="S1461" t="str">
        <f>IF(Table1[[#This Row],[Days on Market]] &lt; 30,"Fast",IF(Table1[[#This Row],[Days on Market]]&lt;= 90,"Average", "Slow"))</f>
        <v>Fast</v>
      </c>
      <c r="T1461" t="str">
        <f>IF(Table1[[#This Row],[Price2]]&lt;500000,"Affordable",IF(Table1[[#This Row],[Price2]]&lt;1000000,"Mid range","Luxury"))</f>
        <v>Mid range</v>
      </c>
    </row>
    <row r="1462" spans="1:20" x14ac:dyDescent="0.35">
      <c r="A1462" s="3">
        <v>798149</v>
      </c>
      <c r="B1462" s="2" t="s">
        <v>12</v>
      </c>
      <c r="C1462">
        <v>72741</v>
      </c>
      <c r="D1462" s="2" t="s">
        <v>23</v>
      </c>
      <c r="E1462">
        <v>5</v>
      </c>
      <c r="F1462">
        <v>2</v>
      </c>
      <c r="G1462" s="4">
        <f>VALUE(SUBSTITUTE(SUBSTITUTE(Table1[[#This Row],[Price]],"$",""),",",""))</f>
        <v>798149</v>
      </c>
      <c r="H1462" s="1">
        <f>Table1[[#This Row],[Price2]]/Table1[[#This Row],[Area]]</f>
        <v>791.8144841269841</v>
      </c>
      <c r="I1462">
        <v>1008</v>
      </c>
      <c r="J1462">
        <v>1972</v>
      </c>
      <c r="K1462">
        <v>109</v>
      </c>
      <c r="L1462" t="s">
        <v>19</v>
      </c>
      <c r="M1462" t="s">
        <v>2713</v>
      </c>
      <c r="N1462" s="2" t="s">
        <v>3033</v>
      </c>
      <c r="O1462" t="s">
        <v>3034</v>
      </c>
      <c r="P1462" t="s">
        <v>21</v>
      </c>
      <c r="Q1462">
        <v>791.8144841269841</v>
      </c>
      <c r="R1462">
        <f ca="1">YEAR(TODAY())-Table1[[#This Row],[Year Built]]</f>
        <v>54</v>
      </c>
      <c r="S1462" t="str">
        <f>IF(Table1[[#This Row],[Days on Market]] &lt; 30,"Fast",IF(Table1[[#This Row],[Days on Market]]&lt;= 90,"Average", "Slow"))</f>
        <v>Slow</v>
      </c>
      <c r="T1462" t="str">
        <f>IF(Table1[[#This Row],[Price2]]&lt;500000,"Affordable",IF(Table1[[#This Row],[Price2]]&lt;1000000,"Mid range","Luxury"))</f>
        <v>Mid range</v>
      </c>
    </row>
    <row r="1463" spans="1:20" x14ac:dyDescent="0.35">
      <c r="A1463" s="3">
        <v>798661</v>
      </c>
      <c r="B1463" s="2" t="s">
        <v>22</v>
      </c>
      <c r="C1463">
        <v>86627</v>
      </c>
      <c r="D1463" s="2" t="s">
        <v>29</v>
      </c>
      <c r="E1463">
        <v>4</v>
      </c>
      <c r="F1463">
        <v>3</v>
      </c>
      <c r="G1463" s="4">
        <f>VALUE(SUBSTITUTE(SUBSTITUTE(Table1[[#This Row],[Price]],"$",""),",",""))</f>
        <v>798661</v>
      </c>
      <c r="H1463" s="1">
        <f>Table1[[#This Row],[Price2]]/Table1[[#This Row],[Area]]</f>
        <v>366.0224564619615</v>
      </c>
      <c r="I1463">
        <v>2182</v>
      </c>
      <c r="J1463">
        <v>2003</v>
      </c>
      <c r="K1463">
        <v>80</v>
      </c>
      <c r="L1463" t="s">
        <v>30</v>
      </c>
      <c r="M1463" t="s">
        <v>2865</v>
      </c>
      <c r="N1463" s="2" t="s">
        <v>3027</v>
      </c>
      <c r="O1463" t="s">
        <v>3028</v>
      </c>
      <c r="P1463" t="s">
        <v>16</v>
      </c>
      <c r="Q1463">
        <v>366.0224564619615</v>
      </c>
      <c r="R1463">
        <f ca="1">YEAR(TODAY())-Table1[[#This Row],[Year Built]]</f>
        <v>23</v>
      </c>
      <c r="S1463" t="str">
        <f>IF(Table1[[#This Row],[Days on Market]] &lt; 30,"Fast",IF(Table1[[#This Row],[Days on Market]]&lt;= 90,"Average", "Slow"))</f>
        <v>Average</v>
      </c>
      <c r="T1463" t="str">
        <f>IF(Table1[[#This Row],[Price2]]&lt;500000,"Affordable",IF(Table1[[#This Row],[Price2]]&lt;1000000,"Mid range","Luxury"))</f>
        <v>Mid range</v>
      </c>
    </row>
    <row r="1464" spans="1:20" x14ac:dyDescent="0.35">
      <c r="A1464" s="3">
        <v>798896</v>
      </c>
      <c r="B1464" s="2" t="s">
        <v>22</v>
      </c>
      <c r="C1464">
        <v>15377</v>
      </c>
      <c r="D1464" s="2" t="s">
        <v>18</v>
      </c>
      <c r="E1464">
        <v>3</v>
      </c>
      <c r="F1464">
        <v>1</v>
      </c>
      <c r="G1464" s="4">
        <f>VALUE(SUBSTITUTE(SUBSTITUTE(Table1[[#This Row],[Price]],"$",""),",",""))</f>
        <v>798896</v>
      </c>
      <c r="H1464" s="1">
        <f>Table1[[#This Row],[Price2]]/Table1[[#This Row],[Area]]</f>
        <v>380.42666666666668</v>
      </c>
      <c r="I1464">
        <v>2100</v>
      </c>
      <c r="J1464">
        <v>1971</v>
      </c>
      <c r="K1464">
        <v>58</v>
      </c>
      <c r="L1464" t="s">
        <v>40</v>
      </c>
      <c r="M1464" t="s">
        <v>694</v>
      </c>
      <c r="N1464" s="2" t="s">
        <v>3033</v>
      </c>
      <c r="O1464" t="s">
        <v>3034</v>
      </c>
      <c r="P1464" t="s">
        <v>26</v>
      </c>
      <c r="Q1464">
        <v>380.42666666666668</v>
      </c>
      <c r="R1464">
        <f ca="1">YEAR(TODAY())-Table1[[#This Row],[Year Built]]</f>
        <v>55</v>
      </c>
      <c r="S1464" t="str">
        <f>IF(Table1[[#This Row],[Days on Market]] &lt; 30,"Fast",IF(Table1[[#This Row],[Days on Market]]&lt;= 90,"Average", "Slow"))</f>
        <v>Average</v>
      </c>
      <c r="T1464" t="str">
        <f>IF(Table1[[#This Row],[Price2]]&lt;500000,"Affordable",IF(Table1[[#This Row],[Price2]]&lt;1000000,"Mid range","Luxury"))</f>
        <v>Mid range</v>
      </c>
    </row>
    <row r="1465" spans="1:20" x14ac:dyDescent="0.35">
      <c r="A1465" s="3">
        <v>799196</v>
      </c>
      <c r="B1465" s="2" t="s">
        <v>12</v>
      </c>
      <c r="C1465">
        <v>97723</v>
      </c>
      <c r="D1465" s="2" t="s">
        <v>23</v>
      </c>
      <c r="E1465">
        <v>6</v>
      </c>
      <c r="F1465">
        <v>3</v>
      </c>
      <c r="G1465" s="4">
        <f>VALUE(SUBSTITUTE(SUBSTITUTE(Table1[[#This Row],[Price]],"$",""),",",""))</f>
        <v>799196</v>
      </c>
      <c r="H1465" s="1">
        <f>Table1[[#This Row],[Price2]]/Table1[[#This Row],[Area]]</f>
        <v>212.04457415760149</v>
      </c>
      <c r="I1465">
        <v>3769</v>
      </c>
      <c r="J1465">
        <v>2007</v>
      </c>
      <c r="K1465">
        <v>73</v>
      </c>
      <c r="L1465" t="s">
        <v>40</v>
      </c>
      <c r="M1465" t="s">
        <v>2179</v>
      </c>
      <c r="N1465" s="2" t="s">
        <v>3027</v>
      </c>
      <c r="O1465" t="s">
        <v>3028</v>
      </c>
      <c r="P1465" t="s">
        <v>21</v>
      </c>
      <c r="Q1465">
        <v>212.04457415760149</v>
      </c>
      <c r="R1465">
        <f ca="1">YEAR(TODAY())-Table1[[#This Row],[Year Built]]</f>
        <v>19</v>
      </c>
      <c r="S1465" t="str">
        <f>IF(Table1[[#This Row],[Days on Market]] &lt; 30,"Fast",IF(Table1[[#This Row],[Days on Market]]&lt;= 90,"Average", "Slow"))</f>
        <v>Average</v>
      </c>
      <c r="T1465" t="str">
        <f>IF(Table1[[#This Row],[Price2]]&lt;500000,"Affordable",IF(Table1[[#This Row],[Price2]]&lt;1000000,"Mid range","Luxury"))</f>
        <v>Mid range</v>
      </c>
    </row>
    <row r="1466" spans="1:20" x14ac:dyDescent="0.35">
      <c r="A1466" s="3">
        <v>799710</v>
      </c>
      <c r="B1466" s="2" t="s">
        <v>12</v>
      </c>
      <c r="C1466">
        <v>74545</v>
      </c>
      <c r="D1466" s="2" t="s">
        <v>23</v>
      </c>
      <c r="E1466">
        <v>2</v>
      </c>
      <c r="F1466">
        <v>2</v>
      </c>
      <c r="G1466" s="4">
        <f>VALUE(SUBSTITUTE(SUBSTITUTE(Table1[[#This Row],[Price]],"$",""),",",""))</f>
        <v>799710</v>
      </c>
      <c r="H1466" s="1">
        <f>Table1[[#This Row],[Price2]]/Table1[[#This Row],[Area]]</f>
        <v>645.96930533117927</v>
      </c>
      <c r="I1466">
        <v>1238</v>
      </c>
      <c r="J1466">
        <v>1968</v>
      </c>
      <c r="K1466">
        <v>92</v>
      </c>
      <c r="L1466" t="s">
        <v>40</v>
      </c>
      <c r="M1466" t="s">
        <v>1042</v>
      </c>
      <c r="N1466" s="2" t="s">
        <v>3035</v>
      </c>
      <c r="O1466" t="s">
        <v>3036</v>
      </c>
      <c r="P1466" t="s">
        <v>21</v>
      </c>
      <c r="Q1466">
        <v>645.96930533117927</v>
      </c>
      <c r="R1466">
        <f ca="1">YEAR(TODAY())-Table1[[#This Row],[Year Built]]</f>
        <v>58</v>
      </c>
      <c r="S1466" t="str">
        <f>IF(Table1[[#This Row],[Days on Market]] &lt; 30,"Fast",IF(Table1[[#This Row],[Days on Market]]&lt;= 90,"Average", "Slow"))</f>
        <v>Slow</v>
      </c>
      <c r="T1466" t="str">
        <f>IF(Table1[[#This Row],[Price2]]&lt;500000,"Affordable",IF(Table1[[#This Row],[Price2]]&lt;1000000,"Mid range","Luxury"))</f>
        <v>Mid range</v>
      </c>
    </row>
    <row r="1467" spans="1:20" x14ac:dyDescent="0.35">
      <c r="A1467" s="3">
        <v>800072</v>
      </c>
      <c r="B1467" s="2" t="s">
        <v>34</v>
      </c>
      <c r="C1467">
        <v>33359</v>
      </c>
      <c r="D1467" s="2" t="s">
        <v>35</v>
      </c>
      <c r="E1467">
        <v>2</v>
      </c>
      <c r="F1467">
        <v>2</v>
      </c>
      <c r="G1467" s="4">
        <f>VALUE(SUBSTITUTE(SUBSTITUTE(Table1[[#This Row],[Price]],"$",""),",",""))</f>
        <v>800072</v>
      </c>
      <c r="H1467" s="1">
        <f>Table1[[#This Row],[Price2]]/Table1[[#This Row],[Area]]</f>
        <v>248.46956521739131</v>
      </c>
      <c r="I1467">
        <v>3220</v>
      </c>
      <c r="J1467">
        <v>2001</v>
      </c>
      <c r="K1467">
        <v>15</v>
      </c>
      <c r="L1467" t="s">
        <v>30</v>
      </c>
      <c r="M1467" t="s">
        <v>946</v>
      </c>
      <c r="N1467" s="2" t="s">
        <v>3031</v>
      </c>
      <c r="O1467" t="s">
        <v>3032</v>
      </c>
      <c r="P1467" t="s">
        <v>21</v>
      </c>
      <c r="Q1467">
        <v>248.46956521739131</v>
      </c>
      <c r="R1467">
        <f ca="1">YEAR(TODAY())-Table1[[#This Row],[Year Built]]</f>
        <v>25</v>
      </c>
      <c r="S1467" t="str">
        <f>IF(Table1[[#This Row],[Days on Market]] &lt; 30,"Fast",IF(Table1[[#This Row],[Days on Market]]&lt;= 90,"Average", "Slow"))</f>
        <v>Fast</v>
      </c>
      <c r="T1467" t="str">
        <f>IF(Table1[[#This Row],[Price2]]&lt;500000,"Affordable",IF(Table1[[#This Row],[Price2]]&lt;1000000,"Mid range","Luxury"))</f>
        <v>Mid range</v>
      </c>
    </row>
    <row r="1468" spans="1:20" x14ac:dyDescent="0.35">
      <c r="A1468" s="3">
        <v>800196</v>
      </c>
      <c r="B1468" s="2" t="s">
        <v>34</v>
      </c>
      <c r="C1468">
        <v>82706</v>
      </c>
      <c r="D1468" s="2" t="s">
        <v>13</v>
      </c>
      <c r="E1468">
        <v>2</v>
      </c>
      <c r="F1468">
        <v>2</v>
      </c>
      <c r="G1468" s="4">
        <f>VALUE(SUBSTITUTE(SUBSTITUTE(Table1[[#This Row],[Price]],"$",""),",",""))</f>
        <v>800196</v>
      </c>
      <c r="H1468" s="1">
        <f>Table1[[#This Row],[Price2]]/Table1[[#This Row],[Area]]</f>
        <v>384.34005763688759</v>
      </c>
      <c r="I1468">
        <v>2082</v>
      </c>
      <c r="J1468">
        <v>2006</v>
      </c>
      <c r="K1468">
        <v>10</v>
      </c>
      <c r="L1468" t="s">
        <v>19</v>
      </c>
      <c r="M1468" t="s">
        <v>940</v>
      </c>
      <c r="N1468" s="2" t="s">
        <v>3029</v>
      </c>
      <c r="O1468" t="s">
        <v>3030</v>
      </c>
      <c r="P1468" t="s">
        <v>21</v>
      </c>
      <c r="Q1468">
        <v>384.34005763688759</v>
      </c>
      <c r="R1468">
        <f ca="1">YEAR(TODAY())-Table1[[#This Row],[Year Built]]</f>
        <v>20</v>
      </c>
      <c r="S1468" t="str">
        <f>IF(Table1[[#This Row],[Days on Market]] &lt; 30,"Fast",IF(Table1[[#This Row],[Days on Market]]&lt;= 90,"Average", "Slow"))</f>
        <v>Fast</v>
      </c>
      <c r="T1468" t="str">
        <f>IF(Table1[[#This Row],[Price2]]&lt;500000,"Affordable",IF(Table1[[#This Row],[Price2]]&lt;1000000,"Mid range","Luxury"))</f>
        <v>Mid range</v>
      </c>
    </row>
    <row r="1469" spans="1:20" x14ac:dyDescent="0.35">
      <c r="A1469" s="3">
        <v>800312</v>
      </c>
      <c r="B1469" s="2" t="s">
        <v>12</v>
      </c>
      <c r="C1469">
        <v>83246</v>
      </c>
      <c r="D1469" s="2" t="s">
        <v>29</v>
      </c>
      <c r="E1469">
        <v>2</v>
      </c>
      <c r="F1469">
        <v>2</v>
      </c>
      <c r="G1469" s="4">
        <f>VALUE(SUBSTITUTE(SUBSTITUTE(Table1[[#This Row],[Price]],"$",""),",",""))</f>
        <v>800312</v>
      </c>
      <c r="H1469" s="1">
        <f>Table1[[#This Row],[Price2]]/Table1[[#This Row],[Area]]</f>
        <v>397.37437934458791</v>
      </c>
      <c r="I1469">
        <v>2014</v>
      </c>
      <c r="J1469">
        <v>1960</v>
      </c>
      <c r="K1469">
        <v>111</v>
      </c>
      <c r="L1469" t="s">
        <v>30</v>
      </c>
      <c r="M1469" t="s">
        <v>285</v>
      </c>
      <c r="N1469" s="2" t="s">
        <v>3031</v>
      </c>
      <c r="O1469" t="s">
        <v>3032</v>
      </c>
      <c r="P1469" t="s">
        <v>26</v>
      </c>
      <c r="Q1469">
        <v>397.37437934458791</v>
      </c>
      <c r="R1469">
        <f ca="1">YEAR(TODAY())-Table1[[#This Row],[Year Built]]</f>
        <v>66</v>
      </c>
      <c r="S1469" t="str">
        <f>IF(Table1[[#This Row],[Days on Market]] &lt; 30,"Fast",IF(Table1[[#This Row],[Days on Market]]&lt;= 90,"Average", "Slow"))</f>
        <v>Slow</v>
      </c>
      <c r="T1469" t="str">
        <f>IF(Table1[[#This Row],[Price2]]&lt;500000,"Affordable",IF(Table1[[#This Row],[Price2]]&lt;1000000,"Mid range","Luxury"))</f>
        <v>Mid range</v>
      </c>
    </row>
    <row r="1470" spans="1:20" x14ac:dyDescent="0.35">
      <c r="A1470" s="3">
        <v>800635</v>
      </c>
      <c r="B1470" s="2" t="s">
        <v>12</v>
      </c>
      <c r="C1470">
        <v>24689</v>
      </c>
      <c r="D1470" s="2" t="s">
        <v>18</v>
      </c>
      <c r="E1470">
        <v>6</v>
      </c>
      <c r="F1470">
        <v>4</v>
      </c>
      <c r="G1470" s="4">
        <f>VALUE(SUBSTITUTE(SUBSTITUTE(Table1[[#This Row],[Price]],"$",""),",",""))</f>
        <v>800635</v>
      </c>
      <c r="H1470" s="1">
        <f>Table1[[#This Row],[Price2]]/Table1[[#This Row],[Area]]</f>
        <v>971.64441747572812</v>
      </c>
      <c r="I1470">
        <v>824</v>
      </c>
      <c r="J1470">
        <v>1987</v>
      </c>
      <c r="K1470">
        <v>55</v>
      </c>
      <c r="L1470" t="s">
        <v>52</v>
      </c>
      <c r="M1470" t="s">
        <v>2041</v>
      </c>
      <c r="N1470" s="2" t="s">
        <v>3031</v>
      </c>
      <c r="O1470" t="s">
        <v>3032</v>
      </c>
      <c r="P1470" t="s">
        <v>16</v>
      </c>
      <c r="Q1470">
        <v>971.64441747572812</v>
      </c>
      <c r="R1470">
        <f ca="1">YEAR(TODAY())-Table1[[#This Row],[Year Built]]</f>
        <v>39</v>
      </c>
      <c r="S1470" t="str">
        <f>IF(Table1[[#This Row],[Days on Market]] &lt; 30,"Fast",IF(Table1[[#This Row],[Days on Market]]&lt;= 90,"Average", "Slow"))</f>
        <v>Average</v>
      </c>
      <c r="T1470" t="str">
        <f>IF(Table1[[#This Row],[Price2]]&lt;500000,"Affordable",IF(Table1[[#This Row],[Price2]]&lt;1000000,"Mid range","Luxury"))</f>
        <v>Mid range</v>
      </c>
    </row>
    <row r="1471" spans="1:20" x14ac:dyDescent="0.35">
      <c r="A1471" s="3">
        <v>801645</v>
      </c>
      <c r="B1471" s="2" t="s">
        <v>34</v>
      </c>
      <c r="C1471">
        <v>89150</v>
      </c>
      <c r="D1471" s="2" t="s">
        <v>23</v>
      </c>
      <c r="E1471">
        <v>1</v>
      </c>
      <c r="F1471">
        <v>1</v>
      </c>
      <c r="G1471" s="4">
        <f>VALUE(SUBSTITUTE(SUBSTITUTE(Table1[[#This Row],[Price]],"$",""),",",""))</f>
        <v>801645</v>
      </c>
      <c r="H1471" s="1">
        <f>Table1[[#This Row],[Price2]]/Table1[[#This Row],[Area]]</f>
        <v>311.43939393939394</v>
      </c>
      <c r="I1471">
        <v>2574</v>
      </c>
      <c r="J1471">
        <v>2006</v>
      </c>
      <c r="K1471">
        <v>89</v>
      </c>
      <c r="L1471" t="s">
        <v>14</v>
      </c>
      <c r="M1471" t="s">
        <v>2239</v>
      </c>
      <c r="N1471" s="2" t="s">
        <v>3035</v>
      </c>
      <c r="O1471" t="s">
        <v>3036</v>
      </c>
      <c r="P1471" t="s">
        <v>21</v>
      </c>
      <c r="Q1471">
        <v>311.43939393939394</v>
      </c>
      <c r="R1471">
        <f ca="1">YEAR(TODAY())-Table1[[#This Row],[Year Built]]</f>
        <v>20</v>
      </c>
      <c r="S1471" t="str">
        <f>IF(Table1[[#This Row],[Days on Market]] &lt; 30,"Fast",IF(Table1[[#This Row],[Days on Market]]&lt;= 90,"Average", "Slow"))</f>
        <v>Average</v>
      </c>
      <c r="T1471" t="str">
        <f>IF(Table1[[#This Row],[Price2]]&lt;500000,"Affordable",IF(Table1[[#This Row],[Price2]]&lt;1000000,"Mid range","Luxury"))</f>
        <v>Mid range</v>
      </c>
    </row>
    <row r="1472" spans="1:20" x14ac:dyDescent="0.35">
      <c r="A1472" s="3">
        <v>801696</v>
      </c>
      <c r="B1472" s="2" t="s">
        <v>17</v>
      </c>
      <c r="C1472">
        <v>49816</v>
      </c>
      <c r="D1472" s="2" t="s">
        <v>29</v>
      </c>
      <c r="E1472">
        <v>6</v>
      </c>
      <c r="F1472">
        <v>3</v>
      </c>
      <c r="G1472" s="4">
        <f>VALUE(SUBSTITUTE(SUBSTITUTE(Table1[[#This Row],[Price]],"$",""),",",""))</f>
        <v>801696</v>
      </c>
      <c r="H1472" s="1">
        <f>Table1[[#This Row],[Price2]]/Table1[[#This Row],[Area]]</f>
        <v>203.01240820460876</v>
      </c>
      <c r="I1472">
        <v>3949</v>
      </c>
      <c r="J1472">
        <v>2008</v>
      </c>
      <c r="K1472">
        <v>70</v>
      </c>
      <c r="L1472" t="s">
        <v>40</v>
      </c>
      <c r="M1472" t="s">
        <v>1860</v>
      </c>
      <c r="N1472" s="2" t="s">
        <v>3033</v>
      </c>
      <c r="O1472" t="s">
        <v>3034</v>
      </c>
      <c r="P1472" t="s">
        <v>16</v>
      </c>
      <c r="Q1472">
        <v>203.01240820460876</v>
      </c>
      <c r="R1472">
        <f ca="1">YEAR(TODAY())-Table1[[#This Row],[Year Built]]</f>
        <v>18</v>
      </c>
      <c r="S1472" t="str">
        <f>IF(Table1[[#This Row],[Days on Market]] &lt; 30,"Fast",IF(Table1[[#This Row],[Days on Market]]&lt;= 90,"Average", "Slow"))</f>
        <v>Average</v>
      </c>
      <c r="T1472" t="str">
        <f>IF(Table1[[#This Row],[Price2]]&lt;500000,"Affordable",IF(Table1[[#This Row],[Price2]]&lt;1000000,"Mid range","Luxury"))</f>
        <v>Mid range</v>
      </c>
    </row>
    <row r="1473" spans="1:20" x14ac:dyDescent="0.35">
      <c r="A1473" s="3">
        <v>801824</v>
      </c>
      <c r="B1473" s="2" t="s">
        <v>12</v>
      </c>
      <c r="C1473">
        <v>78499</v>
      </c>
      <c r="D1473" s="2" t="s">
        <v>23</v>
      </c>
      <c r="E1473">
        <v>3</v>
      </c>
      <c r="F1473">
        <v>4</v>
      </c>
      <c r="G1473" s="4">
        <f>VALUE(SUBSTITUTE(SUBSTITUTE(Table1[[#This Row],[Price]],"$",""),",",""))</f>
        <v>801824</v>
      </c>
      <c r="H1473" s="1">
        <f>Table1[[#This Row],[Price2]]/Table1[[#This Row],[Area]]</f>
        <v>241.65883062085592</v>
      </c>
      <c r="I1473">
        <v>3318</v>
      </c>
      <c r="J1473">
        <v>2022</v>
      </c>
      <c r="K1473">
        <v>61</v>
      </c>
      <c r="L1473" t="s">
        <v>30</v>
      </c>
      <c r="M1473" t="s">
        <v>3022</v>
      </c>
      <c r="N1473" s="2" t="s">
        <v>3029</v>
      </c>
      <c r="O1473" t="s">
        <v>3030</v>
      </c>
      <c r="P1473" t="s">
        <v>21</v>
      </c>
      <c r="Q1473">
        <v>241.65883062085592</v>
      </c>
      <c r="R1473">
        <f ca="1">YEAR(TODAY())-Table1[[#This Row],[Year Built]]</f>
        <v>4</v>
      </c>
      <c r="S1473" t="str">
        <f>IF(Table1[[#This Row],[Days on Market]] &lt; 30,"Fast",IF(Table1[[#This Row],[Days on Market]]&lt;= 90,"Average", "Slow"))</f>
        <v>Average</v>
      </c>
      <c r="T1473" t="str">
        <f>IF(Table1[[#This Row],[Price2]]&lt;500000,"Affordable",IF(Table1[[#This Row],[Price2]]&lt;1000000,"Mid range","Luxury"))</f>
        <v>Mid range</v>
      </c>
    </row>
    <row r="1474" spans="1:20" x14ac:dyDescent="0.35">
      <c r="A1474" s="3">
        <v>802037</v>
      </c>
      <c r="B1474" s="2" t="s">
        <v>12</v>
      </c>
      <c r="C1474">
        <v>21055</v>
      </c>
      <c r="D1474" s="2" t="s">
        <v>23</v>
      </c>
      <c r="E1474">
        <v>3</v>
      </c>
      <c r="F1474">
        <v>1</v>
      </c>
      <c r="G1474" s="4">
        <f>VALUE(SUBSTITUTE(SUBSTITUTE(Table1[[#This Row],[Price]],"$",""),",",""))</f>
        <v>802037</v>
      </c>
      <c r="H1474" s="1">
        <f>Table1[[#This Row],[Price2]]/Table1[[#This Row],[Area]]</f>
        <v>515.44794344473007</v>
      </c>
      <c r="I1474">
        <v>1556</v>
      </c>
      <c r="J1474">
        <v>1976</v>
      </c>
      <c r="K1474">
        <v>105</v>
      </c>
      <c r="L1474" t="s">
        <v>40</v>
      </c>
      <c r="M1474" t="s">
        <v>1094</v>
      </c>
      <c r="N1474" s="2" t="s">
        <v>3029</v>
      </c>
      <c r="O1474" t="s">
        <v>3030</v>
      </c>
      <c r="P1474" t="s">
        <v>21</v>
      </c>
      <c r="Q1474">
        <v>515.44794344473007</v>
      </c>
      <c r="R1474">
        <f ca="1">YEAR(TODAY())-Table1[[#This Row],[Year Built]]</f>
        <v>50</v>
      </c>
      <c r="S1474" t="str">
        <f>IF(Table1[[#This Row],[Days on Market]] &lt; 30,"Fast",IF(Table1[[#This Row],[Days on Market]]&lt;= 90,"Average", "Slow"))</f>
        <v>Slow</v>
      </c>
      <c r="T1474" t="str">
        <f>IF(Table1[[#This Row],[Price2]]&lt;500000,"Affordable",IF(Table1[[#This Row],[Price2]]&lt;1000000,"Mid range","Luxury"))</f>
        <v>Mid range</v>
      </c>
    </row>
    <row r="1475" spans="1:20" x14ac:dyDescent="0.35">
      <c r="A1475" s="3">
        <v>802318</v>
      </c>
      <c r="B1475" s="2" t="s">
        <v>34</v>
      </c>
      <c r="C1475">
        <v>58519</v>
      </c>
      <c r="D1475" s="2" t="s">
        <v>13</v>
      </c>
      <c r="E1475">
        <v>4</v>
      </c>
      <c r="F1475">
        <v>1</v>
      </c>
      <c r="G1475" s="4">
        <f>VALUE(SUBSTITUTE(SUBSTITUTE(Table1[[#This Row],[Price]],"$",""),",",""))</f>
        <v>802318</v>
      </c>
      <c r="H1475" s="1">
        <f>Table1[[#This Row],[Price2]]/Table1[[#This Row],[Area]]</f>
        <v>208.17799688635185</v>
      </c>
      <c r="I1475">
        <v>3854</v>
      </c>
      <c r="J1475">
        <v>2008</v>
      </c>
      <c r="K1475">
        <v>111</v>
      </c>
      <c r="L1475" t="s">
        <v>30</v>
      </c>
      <c r="M1475" t="s">
        <v>1483</v>
      </c>
      <c r="N1475" s="2" t="s">
        <v>3029</v>
      </c>
      <c r="O1475" t="s">
        <v>3030</v>
      </c>
      <c r="P1475" t="s">
        <v>26</v>
      </c>
      <c r="Q1475">
        <v>208.17799688635185</v>
      </c>
      <c r="R1475">
        <f ca="1">YEAR(TODAY())-Table1[[#This Row],[Year Built]]</f>
        <v>18</v>
      </c>
      <c r="S1475" t="str">
        <f>IF(Table1[[#This Row],[Days on Market]] &lt; 30,"Fast",IF(Table1[[#This Row],[Days on Market]]&lt;= 90,"Average", "Slow"))</f>
        <v>Slow</v>
      </c>
      <c r="T1475" t="str">
        <f>IF(Table1[[#This Row],[Price2]]&lt;500000,"Affordable",IF(Table1[[#This Row],[Price2]]&lt;1000000,"Mid range","Luxury"))</f>
        <v>Mid range</v>
      </c>
    </row>
    <row r="1476" spans="1:20" x14ac:dyDescent="0.35">
      <c r="A1476" s="3">
        <v>802518</v>
      </c>
      <c r="B1476" s="2" t="s">
        <v>22</v>
      </c>
      <c r="C1476">
        <v>73131</v>
      </c>
      <c r="D1476" s="2" t="s">
        <v>13</v>
      </c>
      <c r="E1476">
        <v>3</v>
      </c>
      <c r="F1476">
        <v>1</v>
      </c>
      <c r="G1476" s="4">
        <f>VALUE(SUBSTITUTE(SUBSTITUTE(Table1[[#This Row],[Price]],"$",""),",",""))</f>
        <v>802518</v>
      </c>
      <c r="H1476" s="1">
        <f>Table1[[#This Row],[Price2]]/Table1[[#This Row],[Area]]</f>
        <v>290.66207895689968</v>
      </c>
      <c r="I1476">
        <v>2761</v>
      </c>
      <c r="J1476">
        <v>1994</v>
      </c>
      <c r="K1476">
        <v>98</v>
      </c>
      <c r="L1476" t="s">
        <v>52</v>
      </c>
      <c r="M1476" t="s">
        <v>2483</v>
      </c>
      <c r="N1476" s="2" t="s">
        <v>3031</v>
      </c>
      <c r="O1476" t="s">
        <v>3032</v>
      </c>
      <c r="P1476" t="s">
        <v>21</v>
      </c>
      <c r="Q1476">
        <v>290.66207895689968</v>
      </c>
      <c r="R1476">
        <f ca="1">YEAR(TODAY())-Table1[[#This Row],[Year Built]]</f>
        <v>32</v>
      </c>
      <c r="S1476" t="str">
        <f>IF(Table1[[#This Row],[Days on Market]] &lt; 30,"Fast",IF(Table1[[#This Row],[Days on Market]]&lt;= 90,"Average", "Slow"))</f>
        <v>Slow</v>
      </c>
      <c r="T1476" t="str">
        <f>IF(Table1[[#This Row],[Price2]]&lt;500000,"Affordable",IF(Table1[[#This Row],[Price2]]&lt;1000000,"Mid range","Luxury"))</f>
        <v>Mid range</v>
      </c>
    </row>
    <row r="1477" spans="1:20" x14ac:dyDescent="0.35">
      <c r="A1477" s="3">
        <v>803014</v>
      </c>
      <c r="B1477" s="2" t="s">
        <v>27</v>
      </c>
      <c r="C1477">
        <v>92336</v>
      </c>
      <c r="D1477" s="2" t="s">
        <v>23</v>
      </c>
      <c r="E1477">
        <v>1</v>
      </c>
      <c r="F1477">
        <v>1</v>
      </c>
      <c r="G1477" s="4">
        <f>VALUE(SUBSTITUTE(SUBSTITUTE(Table1[[#This Row],[Price]],"$",""),",",""))</f>
        <v>803014</v>
      </c>
      <c r="H1477" s="1">
        <f>Table1[[#This Row],[Price2]]/Table1[[#This Row],[Area]]</f>
        <v>264.41027329601582</v>
      </c>
      <c r="I1477">
        <v>3037</v>
      </c>
      <c r="J1477">
        <v>1979</v>
      </c>
      <c r="K1477">
        <v>5</v>
      </c>
      <c r="L1477" t="s">
        <v>30</v>
      </c>
      <c r="M1477" t="s">
        <v>1607</v>
      </c>
      <c r="N1477" s="2" t="s">
        <v>3029</v>
      </c>
      <c r="O1477" t="s">
        <v>3030</v>
      </c>
      <c r="P1477" t="s">
        <v>21</v>
      </c>
      <c r="Q1477">
        <v>264.41027329601582</v>
      </c>
      <c r="R1477">
        <f ca="1">YEAR(TODAY())-Table1[[#This Row],[Year Built]]</f>
        <v>47</v>
      </c>
      <c r="S1477" t="str">
        <f>IF(Table1[[#This Row],[Days on Market]] &lt; 30,"Fast",IF(Table1[[#This Row],[Days on Market]]&lt;= 90,"Average", "Slow"))</f>
        <v>Fast</v>
      </c>
      <c r="T1477" t="str">
        <f>IF(Table1[[#This Row],[Price2]]&lt;500000,"Affordable",IF(Table1[[#This Row],[Price2]]&lt;1000000,"Mid range","Luxury"))</f>
        <v>Mid range</v>
      </c>
    </row>
    <row r="1478" spans="1:20" x14ac:dyDescent="0.35">
      <c r="A1478" s="3">
        <v>803057</v>
      </c>
      <c r="B1478" s="2" t="s">
        <v>27</v>
      </c>
      <c r="C1478">
        <v>87490</v>
      </c>
      <c r="D1478" s="2" t="s">
        <v>35</v>
      </c>
      <c r="E1478">
        <v>2</v>
      </c>
      <c r="F1478">
        <v>2</v>
      </c>
      <c r="G1478" s="4">
        <f>VALUE(SUBSTITUTE(SUBSTITUTE(Table1[[#This Row],[Price]],"$",""),",",""))</f>
        <v>803057</v>
      </c>
      <c r="H1478" s="1">
        <f>Table1[[#This Row],[Price2]]/Table1[[#This Row],[Area]]</f>
        <v>517.76724693745973</v>
      </c>
      <c r="I1478">
        <v>1551</v>
      </c>
      <c r="J1478">
        <v>2014</v>
      </c>
      <c r="K1478">
        <v>59</v>
      </c>
      <c r="L1478" t="s">
        <v>30</v>
      </c>
      <c r="M1478" t="s">
        <v>1028</v>
      </c>
      <c r="N1478" s="2" t="s">
        <v>3031</v>
      </c>
      <c r="O1478" t="s">
        <v>3032</v>
      </c>
      <c r="P1478" t="s">
        <v>21</v>
      </c>
      <c r="Q1478">
        <v>517.76724693745973</v>
      </c>
      <c r="R1478">
        <f ca="1">YEAR(TODAY())-Table1[[#This Row],[Year Built]]</f>
        <v>12</v>
      </c>
      <c r="S1478" t="str">
        <f>IF(Table1[[#This Row],[Days on Market]] &lt; 30,"Fast",IF(Table1[[#This Row],[Days on Market]]&lt;= 90,"Average", "Slow"))</f>
        <v>Average</v>
      </c>
      <c r="T1478" t="str">
        <f>IF(Table1[[#This Row],[Price2]]&lt;500000,"Affordable",IF(Table1[[#This Row],[Price2]]&lt;1000000,"Mid range","Luxury"))</f>
        <v>Mid range</v>
      </c>
    </row>
    <row r="1479" spans="1:20" x14ac:dyDescent="0.35">
      <c r="A1479" s="3">
        <v>803646</v>
      </c>
      <c r="B1479" s="2" t="s">
        <v>27</v>
      </c>
      <c r="C1479">
        <v>79826</v>
      </c>
      <c r="D1479" s="2" t="s">
        <v>35</v>
      </c>
      <c r="E1479">
        <v>3</v>
      </c>
      <c r="F1479">
        <v>4</v>
      </c>
      <c r="G1479" s="4">
        <f>VALUE(SUBSTITUTE(SUBSTITUTE(Table1[[#This Row],[Price]],"$",""),",",""))</f>
        <v>803646</v>
      </c>
      <c r="H1479" s="1">
        <f>Table1[[#This Row],[Price2]]/Table1[[#This Row],[Area]]</f>
        <v>306.38429279451009</v>
      </c>
      <c r="I1479">
        <v>2623</v>
      </c>
      <c r="J1479">
        <v>1961</v>
      </c>
      <c r="K1479">
        <v>106</v>
      </c>
      <c r="L1479" t="s">
        <v>52</v>
      </c>
      <c r="M1479" t="s">
        <v>881</v>
      </c>
      <c r="N1479" s="2" t="s">
        <v>3035</v>
      </c>
      <c r="O1479" t="s">
        <v>3036</v>
      </c>
      <c r="P1479" t="s">
        <v>26</v>
      </c>
      <c r="Q1479">
        <v>306.38429279451009</v>
      </c>
      <c r="R1479">
        <f ca="1">YEAR(TODAY())-Table1[[#This Row],[Year Built]]</f>
        <v>65</v>
      </c>
      <c r="S1479" t="str">
        <f>IF(Table1[[#This Row],[Days on Market]] &lt; 30,"Fast",IF(Table1[[#This Row],[Days on Market]]&lt;= 90,"Average", "Slow"))</f>
        <v>Slow</v>
      </c>
      <c r="T1479" t="str">
        <f>IF(Table1[[#This Row],[Price2]]&lt;500000,"Affordable",IF(Table1[[#This Row],[Price2]]&lt;1000000,"Mid range","Luxury"))</f>
        <v>Mid range</v>
      </c>
    </row>
    <row r="1480" spans="1:20" x14ac:dyDescent="0.35">
      <c r="A1480" s="3">
        <v>803730</v>
      </c>
      <c r="B1480" s="2" t="s">
        <v>12</v>
      </c>
      <c r="C1480">
        <v>30565</v>
      </c>
      <c r="D1480" s="2" t="s">
        <v>18</v>
      </c>
      <c r="E1480">
        <v>2</v>
      </c>
      <c r="F1480">
        <v>3</v>
      </c>
      <c r="G1480" s="4">
        <f>VALUE(SUBSTITUTE(SUBSTITUTE(Table1[[#This Row],[Price]],"$",""),",",""))</f>
        <v>803730</v>
      </c>
      <c r="H1480" s="1">
        <f>Table1[[#This Row],[Price2]]/Table1[[#This Row],[Area]]</f>
        <v>303.52341389728099</v>
      </c>
      <c r="I1480">
        <v>2648</v>
      </c>
      <c r="J1480">
        <v>1962</v>
      </c>
      <c r="K1480">
        <v>83</v>
      </c>
      <c r="L1480" t="s">
        <v>14</v>
      </c>
      <c r="M1480" t="s">
        <v>218</v>
      </c>
      <c r="N1480" s="2" t="s">
        <v>3029</v>
      </c>
      <c r="O1480" t="s">
        <v>3030</v>
      </c>
      <c r="P1480" t="s">
        <v>21</v>
      </c>
      <c r="Q1480">
        <v>303.52341389728099</v>
      </c>
      <c r="R1480">
        <f ca="1">YEAR(TODAY())-Table1[[#This Row],[Year Built]]</f>
        <v>64</v>
      </c>
      <c r="S1480" t="str">
        <f>IF(Table1[[#This Row],[Days on Market]] &lt; 30,"Fast",IF(Table1[[#This Row],[Days on Market]]&lt;= 90,"Average", "Slow"))</f>
        <v>Average</v>
      </c>
      <c r="T1480" t="str">
        <f>IF(Table1[[#This Row],[Price2]]&lt;500000,"Affordable",IF(Table1[[#This Row],[Price2]]&lt;1000000,"Mid range","Luxury"))</f>
        <v>Mid range</v>
      </c>
    </row>
    <row r="1481" spans="1:20" x14ac:dyDescent="0.35">
      <c r="A1481" s="3">
        <v>804005</v>
      </c>
      <c r="B1481" s="2" t="s">
        <v>22</v>
      </c>
      <c r="C1481">
        <v>76924</v>
      </c>
      <c r="D1481" s="2" t="s">
        <v>13</v>
      </c>
      <c r="E1481">
        <v>4</v>
      </c>
      <c r="F1481">
        <v>4</v>
      </c>
      <c r="G1481" s="4">
        <f>VALUE(SUBSTITUTE(SUBSTITUTE(Table1[[#This Row],[Price]],"$",""),",",""))</f>
        <v>804005</v>
      </c>
      <c r="H1481" s="1">
        <f>Table1[[#This Row],[Price2]]/Table1[[#This Row],[Area]]</f>
        <v>239.28720238095238</v>
      </c>
      <c r="I1481">
        <v>3360</v>
      </c>
      <c r="J1481">
        <v>2017</v>
      </c>
      <c r="K1481">
        <v>74</v>
      </c>
      <c r="L1481" t="s">
        <v>40</v>
      </c>
      <c r="M1481" t="s">
        <v>1540</v>
      </c>
      <c r="N1481" s="2" t="s">
        <v>3035</v>
      </c>
      <c r="O1481" t="s">
        <v>3036</v>
      </c>
      <c r="P1481" t="s">
        <v>16</v>
      </c>
      <c r="Q1481">
        <v>239.28720238095238</v>
      </c>
      <c r="R1481">
        <f ca="1">YEAR(TODAY())-Table1[[#This Row],[Year Built]]</f>
        <v>9</v>
      </c>
      <c r="S1481" t="str">
        <f>IF(Table1[[#This Row],[Days on Market]] &lt; 30,"Fast",IF(Table1[[#This Row],[Days on Market]]&lt;= 90,"Average", "Slow"))</f>
        <v>Average</v>
      </c>
      <c r="T1481" t="str">
        <f>IF(Table1[[#This Row],[Price2]]&lt;500000,"Affordable",IF(Table1[[#This Row],[Price2]]&lt;1000000,"Mid range","Luxury"))</f>
        <v>Mid range</v>
      </c>
    </row>
    <row r="1482" spans="1:20" x14ac:dyDescent="0.35">
      <c r="A1482" s="3">
        <v>805615</v>
      </c>
      <c r="B1482" s="2" t="s">
        <v>27</v>
      </c>
      <c r="C1482">
        <v>17410</v>
      </c>
      <c r="D1482" s="2" t="s">
        <v>29</v>
      </c>
      <c r="E1482">
        <v>4</v>
      </c>
      <c r="F1482">
        <v>1</v>
      </c>
      <c r="G1482" s="4">
        <f>VALUE(SUBSTITUTE(SUBSTITUTE(Table1[[#This Row],[Price]],"$",""),",",""))</f>
        <v>805615</v>
      </c>
      <c r="H1482" s="1">
        <f>Table1[[#This Row],[Price2]]/Table1[[#This Row],[Area]]</f>
        <v>231.43205975294455</v>
      </c>
      <c r="I1482">
        <v>3481</v>
      </c>
      <c r="J1482">
        <v>1961</v>
      </c>
      <c r="K1482">
        <v>111</v>
      </c>
      <c r="L1482" t="s">
        <v>14</v>
      </c>
      <c r="M1482" t="s">
        <v>526</v>
      </c>
      <c r="N1482" s="2" t="s">
        <v>3031</v>
      </c>
      <c r="O1482" t="s">
        <v>3032</v>
      </c>
      <c r="P1482" t="s">
        <v>21</v>
      </c>
      <c r="Q1482">
        <v>231.43205975294455</v>
      </c>
      <c r="R1482">
        <f ca="1">YEAR(TODAY())-Table1[[#This Row],[Year Built]]</f>
        <v>65</v>
      </c>
      <c r="S1482" t="str">
        <f>IF(Table1[[#This Row],[Days on Market]] &lt; 30,"Fast",IF(Table1[[#This Row],[Days on Market]]&lt;= 90,"Average", "Slow"))</f>
        <v>Slow</v>
      </c>
      <c r="T1482" t="str">
        <f>IF(Table1[[#This Row],[Price2]]&lt;500000,"Affordable",IF(Table1[[#This Row],[Price2]]&lt;1000000,"Mid range","Luxury"))</f>
        <v>Mid range</v>
      </c>
    </row>
    <row r="1483" spans="1:20" x14ac:dyDescent="0.35">
      <c r="A1483" s="3">
        <v>805633</v>
      </c>
      <c r="B1483" s="2" t="s">
        <v>22</v>
      </c>
      <c r="C1483">
        <v>28763</v>
      </c>
      <c r="D1483" s="2" t="s">
        <v>23</v>
      </c>
      <c r="E1483">
        <v>5</v>
      </c>
      <c r="F1483">
        <v>4</v>
      </c>
      <c r="G1483" s="4">
        <f>VALUE(SUBSTITUTE(SUBSTITUTE(Table1[[#This Row],[Price]],"$",""),",",""))</f>
        <v>805633</v>
      </c>
      <c r="H1483" s="1">
        <f>Table1[[#This Row],[Price2]]/Table1[[#This Row],[Area]]</f>
        <v>249.88616625310175</v>
      </c>
      <c r="I1483">
        <v>3224</v>
      </c>
      <c r="J1483">
        <v>2023</v>
      </c>
      <c r="K1483">
        <v>7</v>
      </c>
      <c r="L1483" t="s">
        <v>19</v>
      </c>
      <c r="M1483" t="s">
        <v>2315</v>
      </c>
      <c r="N1483" s="2" t="s">
        <v>3029</v>
      </c>
      <c r="O1483" t="s">
        <v>3030</v>
      </c>
      <c r="P1483" t="s">
        <v>26</v>
      </c>
      <c r="Q1483">
        <v>249.88616625310175</v>
      </c>
      <c r="R1483">
        <f ca="1">YEAR(TODAY())-Table1[[#This Row],[Year Built]]</f>
        <v>3</v>
      </c>
      <c r="S1483" t="str">
        <f>IF(Table1[[#This Row],[Days on Market]] &lt; 30,"Fast",IF(Table1[[#This Row],[Days on Market]]&lt;= 90,"Average", "Slow"))</f>
        <v>Fast</v>
      </c>
      <c r="T1483" t="str">
        <f>IF(Table1[[#This Row],[Price2]]&lt;500000,"Affordable",IF(Table1[[#This Row],[Price2]]&lt;1000000,"Mid range","Luxury"))</f>
        <v>Mid range</v>
      </c>
    </row>
    <row r="1484" spans="1:20" x14ac:dyDescent="0.35">
      <c r="A1484" s="3">
        <v>806408</v>
      </c>
      <c r="B1484" s="2" t="s">
        <v>34</v>
      </c>
      <c r="C1484">
        <v>16179</v>
      </c>
      <c r="D1484" s="2" t="s">
        <v>18</v>
      </c>
      <c r="E1484">
        <v>5</v>
      </c>
      <c r="F1484">
        <v>3</v>
      </c>
      <c r="G1484" s="4">
        <f>VALUE(SUBSTITUTE(SUBSTITUTE(Table1[[#This Row],[Price]],"$",""),",",""))</f>
        <v>806408</v>
      </c>
      <c r="H1484" s="1">
        <f>Table1[[#This Row],[Price2]]/Table1[[#This Row],[Area]]</f>
        <v>305.34191594093147</v>
      </c>
      <c r="I1484">
        <v>2641</v>
      </c>
      <c r="J1484">
        <v>1957</v>
      </c>
      <c r="K1484">
        <v>93</v>
      </c>
      <c r="L1484" t="s">
        <v>14</v>
      </c>
      <c r="M1484" t="s">
        <v>2732</v>
      </c>
      <c r="N1484" s="2" t="s">
        <v>3035</v>
      </c>
      <c r="O1484" t="s">
        <v>3036</v>
      </c>
      <c r="P1484" t="s">
        <v>21</v>
      </c>
      <c r="Q1484">
        <v>305.34191594093147</v>
      </c>
      <c r="R1484">
        <f ca="1">YEAR(TODAY())-Table1[[#This Row],[Year Built]]</f>
        <v>69</v>
      </c>
      <c r="S1484" t="str">
        <f>IF(Table1[[#This Row],[Days on Market]] &lt; 30,"Fast",IF(Table1[[#This Row],[Days on Market]]&lt;= 90,"Average", "Slow"))</f>
        <v>Slow</v>
      </c>
      <c r="T1484" t="str">
        <f>IF(Table1[[#This Row],[Price2]]&lt;500000,"Affordable",IF(Table1[[#This Row],[Price2]]&lt;1000000,"Mid range","Luxury"))</f>
        <v>Mid range</v>
      </c>
    </row>
    <row r="1485" spans="1:20" x14ac:dyDescent="0.35">
      <c r="A1485" s="3">
        <v>808953</v>
      </c>
      <c r="B1485" s="2" t="s">
        <v>22</v>
      </c>
      <c r="C1485">
        <v>54592</v>
      </c>
      <c r="D1485" s="2" t="s">
        <v>18</v>
      </c>
      <c r="E1485">
        <v>5</v>
      </c>
      <c r="F1485">
        <v>3</v>
      </c>
      <c r="G1485" s="4">
        <f>VALUE(SUBSTITUTE(SUBSTITUTE(Table1[[#This Row],[Price]],"$",""),",",""))</f>
        <v>808953</v>
      </c>
      <c r="H1485" s="1">
        <f>Table1[[#This Row],[Price2]]/Table1[[#This Row],[Area]]</f>
        <v>302.75187125748505</v>
      </c>
      <c r="I1485">
        <v>2672</v>
      </c>
      <c r="J1485">
        <v>1982</v>
      </c>
      <c r="K1485">
        <v>104</v>
      </c>
      <c r="L1485" t="s">
        <v>19</v>
      </c>
      <c r="M1485" t="s">
        <v>2461</v>
      </c>
      <c r="N1485" s="2" t="s">
        <v>3027</v>
      </c>
      <c r="O1485" t="s">
        <v>3028</v>
      </c>
      <c r="P1485" t="s">
        <v>16</v>
      </c>
      <c r="Q1485">
        <v>302.75187125748505</v>
      </c>
      <c r="R1485">
        <f ca="1">YEAR(TODAY())-Table1[[#This Row],[Year Built]]</f>
        <v>44</v>
      </c>
      <c r="S1485" t="str">
        <f>IF(Table1[[#This Row],[Days on Market]] &lt; 30,"Fast",IF(Table1[[#This Row],[Days on Market]]&lt;= 90,"Average", "Slow"))</f>
        <v>Slow</v>
      </c>
      <c r="T1485" t="str">
        <f>IF(Table1[[#This Row],[Price2]]&lt;500000,"Affordable",IF(Table1[[#This Row],[Price2]]&lt;1000000,"Mid range","Luxury"))</f>
        <v>Mid range</v>
      </c>
    </row>
    <row r="1486" spans="1:20" x14ac:dyDescent="0.35">
      <c r="A1486" s="3">
        <v>810765</v>
      </c>
      <c r="B1486" s="2" t="s">
        <v>17</v>
      </c>
      <c r="C1486">
        <v>32293</v>
      </c>
      <c r="D1486" s="2" t="s">
        <v>35</v>
      </c>
      <c r="E1486">
        <v>3</v>
      </c>
      <c r="F1486">
        <v>4</v>
      </c>
      <c r="G1486" s="4">
        <f>VALUE(SUBSTITUTE(SUBSTITUTE(Table1[[#This Row],[Price]],"$",""),",",""))</f>
        <v>810765</v>
      </c>
      <c r="H1486" s="1">
        <f>Table1[[#This Row],[Price2]]/Table1[[#This Row],[Area]]</f>
        <v>210.75253444242267</v>
      </c>
      <c r="I1486">
        <v>3847</v>
      </c>
      <c r="J1486">
        <v>2019</v>
      </c>
      <c r="K1486">
        <v>118</v>
      </c>
      <c r="L1486" t="s">
        <v>40</v>
      </c>
      <c r="M1486" t="s">
        <v>1033</v>
      </c>
      <c r="N1486" s="2" t="s">
        <v>3033</v>
      </c>
      <c r="O1486" t="s">
        <v>3034</v>
      </c>
      <c r="P1486" t="s">
        <v>16</v>
      </c>
      <c r="Q1486">
        <v>210.75253444242267</v>
      </c>
      <c r="R1486">
        <f ca="1">YEAR(TODAY())-Table1[[#This Row],[Year Built]]</f>
        <v>7</v>
      </c>
      <c r="S1486" t="str">
        <f>IF(Table1[[#This Row],[Days on Market]] &lt; 30,"Fast",IF(Table1[[#This Row],[Days on Market]]&lt;= 90,"Average", "Slow"))</f>
        <v>Slow</v>
      </c>
      <c r="T1486" t="str">
        <f>IF(Table1[[#This Row],[Price2]]&lt;500000,"Affordable",IF(Table1[[#This Row],[Price2]]&lt;1000000,"Mid range","Luxury"))</f>
        <v>Mid range</v>
      </c>
    </row>
    <row r="1487" spans="1:20" x14ac:dyDescent="0.35">
      <c r="A1487" s="3">
        <v>810968</v>
      </c>
      <c r="B1487" s="2" t="s">
        <v>17</v>
      </c>
      <c r="C1487">
        <v>62758</v>
      </c>
      <c r="D1487" s="2" t="s">
        <v>29</v>
      </c>
      <c r="E1487">
        <v>3</v>
      </c>
      <c r="F1487">
        <v>2</v>
      </c>
      <c r="G1487" s="4">
        <f>VALUE(SUBSTITUTE(SUBSTITUTE(Table1[[#This Row],[Price]],"$",""),",",""))</f>
        <v>810968</v>
      </c>
      <c r="H1487" s="1">
        <f>Table1[[#This Row],[Price2]]/Table1[[#This Row],[Area]]</f>
        <v>207.72745901639345</v>
      </c>
      <c r="I1487">
        <v>3904</v>
      </c>
      <c r="J1487">
        <v>1956</v>
      </c>
      <c r="K1487">
        <v>112</v>
      </c>
      <c r="L1487" t="s">
        <v>19</v>
      </c>
      <c r="M1487" t="s">
        <v>2084</v>
      </c>
      <c r="N1487" s="2" t="s">
        <v>3027</v>
      </c>
      <c r="O1487" t="s">
        <v>3028</v>
      </c>
      <c r="P1487" t="s">
        <v>21</v>
      </c>
      <c r="Q1487">
        <v>207.72745901639345</v>
      </c>
      <c r="R1487">
        <f ca="1">YEAR(TODAY())-Table1[[#This Row],[Year Built]]</f>
        <v>70</v>
      </c>
      <c r="S1487" t="str">
        <f>IF(Table1[[#This Row],[Days on Market]] &lt; 30,"Fast",IF(Table1[[#This Row],[Days on Market]]&lt;= 90,"Average", "Slow"))</f>
        <v>Slow</v>
      </c>
      <c r="T1487" t="str">
        <f>IF(Table1[[#This Row],[Price2]]&lt;500000,"Affordable",IF(Table1[[#This Row],[Price2]]&lt;1000000,"Mid range","Luxury"))</f>
        <v>Mid range</v>
      </c>
    </row>
    <row r="1488" spans="1:20" x14ac:dyDescent="0.35">
      <c r="A1488" s="3">
        <v>811641</v>
      </c>
      <c r="B1488" s="2" t="s">
        <v>22</v>
      </c>
      <c r="C1488">
        <v>23393</v>
      </c>
      <c r="D1488" s="2" t="s">
        <v>13</v>
      </c>
      <c r="E1488">
        <v>6</v>
      </c>
      <c r="F1488">
        <v>3</v>
      </c>
      <c r="G1488" s="4">
        <f>VALUE(SUBSTITUTE(SUBSTITUTE(Table1[[#This Row],[Price]],"$",""),",",""))</f>
        <v>811641</v>
      </c>
      <c r="H1488" s="1">
        <f>Table1[[#This Row],[Price2]]/Table1[[#This Row],[Area]]</f>
        <v>258.81409438775512</v>
      </c>
      <c r="I1488">
        <v>3136</v>
      </c>
      <c r="J1488">
        <v>1959</v>
      </c>
      <c r="K1488">
        <v>105</v>
      </c>
      <c r="L1488" t="s">
        <v>19</v>
      </c>
      <c r="M1488" t="s">
        <v>455</v>
      </c>
      <c r="N1488" s="2" t="s">
        <v>3029</v>
      </c>
      <c r="O1488" t="s">
        <v>3030</v>
      </c>
      <c r="P1488" t="s">
        <v>26</v>
      </c>
      <c r="Q1488">
        <v>258.81409438775512</v>
      </c>
      <c r="R1488">
        <f ca="1">YEAR(TODAY())-Table1[[#This Row],[Year Built]]</f>
        <v>67</v>
      </c>
      <c r="S1488" t="str">
        <f>IF(Table1[[#This Row],[Days on Market]] &lt; 30,"Fast",IF(Table1[[#This Row],[Days on Market]]&lt;= 90,"Average", "Slow"))</f>
        <v>Slow</v>
      </c>
      <c r="T1488" t="str">
        <f>IF(Table1[[#This Row],[Price2]]&lt;500000,"Affordable",IF(Table1[[#This Row],[Price2]]&lt;1000000,"Mid range","Luxury"))</f>
        <v>Mid range</v>
      </c>
    </row>
    <row r="1489" spans="1:20" x14ac:dyDescent="0.35">
      <c r="A1489" s="3">
        <v>811801</v>
      </c>
      <c r="B1489" s="2" t="s">
        <v>34</v>
      </c>
      <c r="C1489">
        <v>24929</v>
      </c>
      <c r="D1489" s="2" t="s">
        <v>13</v>
      </c>
      <c r="E1489">
        <v>6</v>
      </c>
      <c r="F1489">
        <v>3</v>
      </c>
      <c r="G1489" s="4">
        <f>VALUE(SUBSTITUTE(SUBSTITUTE(Table1[[#This Row],[Price]],"$",""),",",""))</f>
        <v>811801</v>
      </c>
      <c r="H1489" s="1">
        <f>Table1[[#This Row],[Price2]]/Table1[[#This Row],[Area]]</f>
        <v>1276.4166666666667</v>
      </c>
      <c r="I1489">
        <v>636</v>
      </c>
      <c r="J1489">
        <v>1952</v>
      </c>
      <c r="K1489">
        <v>29</v>
      </c>
      <c r="L1489" t="s">
        <v>19</v>
      </c>
      <c r="M1489" t="s">
        <v>1134</v>
      </c>
      <c r="N1489" s="2" t="s">
        <v>3027</v>
      </c>
      <c r="O1489" t="s">
        <v>3028</v>
      </c>
      <c r="P1489" t="s">
        <v>26</v>
      </c>
      <c r="Q1489">
        <v>1276.4166666666667</v>
      </c>
      <c r="R1489">
        <f ca="1">YEAR(TODAY())-Table1[[#This Row],[Year Built]]</f>
        <v>74</v>
      </c>
      <c r="S1489" t="str">
        <f>IF(Table1[[#This Row],[Days on Market]] &lt; 30,"Fast",IF(Table1[[#This Row],[Days on Market]]&lt;= 90,"Average", "Slow"))</f>
        <v>Fast</v>
      </c>
      <c r="T1489" t="str">
        <f>IF(Table1[[#This Row],[Price2]]&lt;500000,"Affordable",IF(Table1[[#This Row],[Price2]]&lt;1000000,"Mid range","Luxury"))</f>
        <v>Mid range</v>
      </c>
    </row>
    <row r="1490" spans="1:20" x14ac:dyDescent="0.35">
      <c r="A1490" s="3">
        <v>812147</v>
      </c>
      <c r="B1490" s="2" t="s">
        <v>27</v>
      </c>
      <c r="C1490">
        <v>47488</v>
      </c>
      <c r="D1490" s="2" t="s">
        <v>35</v>
      </c>
      <c r="E1490">
        <v>3</v>
      </c>
      <c r="F1490">
        <v>2</v>
      </c>
      <c r="G1490" s="4">
        <f>VALUE(SUBSTITUTE(SUBSTITUTE(Table1[[#This Row],[Price]],"$",""),",",""))</f>
        <v>812147</v>
      </c>
      <c r="H1490" s="1">
        <f>Table1[[#This Row],[Price2]]/Table1[[#This Row],[Area]]</f>
        <v>204.3137106918239</v>
      </c>
      <c r="I1490">
        <v>3975</v>
      </c>
      <c r="J1490">
        <v>2000</v>
      </c>
      <c r="K1490">
        <v>102</v>
      </c>
      <c r="L1490" t="s">
        <v>40</v>
      </c>
      <c r="M1490" t="s">
        <v>2246</v>
      </c>
      <c r="N1490" s="2" t="s">
        <v>3033</v>
      </c>
      <c r="O1490" t="s">
        <v>3034</v>
      </c>
      <c r="P1490" t="s">
        <v>16</v>
      </c>
      <c r="Q1490">
        <v>204.3137106918239</v>
      </c>
      <c r="R1490">
        <f ca="1">YEAR(TODAY())-Table1[[#This Row],[Year Built]]</f>
        <v>26</v>
      </c>
      <c r="S1490" t="str">
        <f>IF(Table1[[#This Row],[Days on Market]] &lt; 30,"Fast",IF(Table1[[#This Row],[Days on Market]]&lt;= 90,"Average", "Slow"))</f>
        <v>Slow</v>
      </c>
      <c r="T1490" t="str">
        <f>IF(Table1[[#This Row],[Price2]]&lt;500000,"Affordable",IF(Table1[[#This Row],[Price2]]&lt;1000000,"Mid range","Luxury"))</f>
        <v>Mid range</v>
      </c>
    </row>
    <row r="1491" spans="1:20" x14ac:dyDescent="0.35">
      <c r="A1491" s="3">
        <v>812527</v>
      </c>
      <c r="B1491" s="2" t="s">
        <v>27</v>
      </c>
      <c r="C1491">
        <v>13830</v>
      </c>
      <c r="D1491" s="2" t="s">
        <v>23</v>
      </c>
      <c r="E1491">
        <v>6</v>
      </c>
      <c r="F1491">
        <v>3</v>
      </c>
      <c r="G1491" s="4">
        <f>VALUE(SUBSTITUTE(SUBSTITUTE(Table1[[#This Row],[Price]],"$",""),",",""))</f>
        <v>812527</v>
      </c>
      <c r="H1491" s="1">
        <f>Table1[[#This Row],[Price2]]/Table1[[#This Row],[Area]]</f>
        <v>288.13014184397161</v>
      </c>
      <c r="I1491">
        <v>2820</v>
      </c>
      <c r="J1491">
        <v>1966</v>
      </c>
      <c r="K1491">
        <v>70</v>
      </c>
      <c r="L1491" t="s">
        <v>40</v>
      </c>
      <c r="M1491" t="s">
        <v>652</v>
      </c>
      <c r="N1491" s="2" t="s">
        <v>3027</v>
      </c>
      <c r="O1491" t="s">
        <v>3028</v>
      </c>
      <c r="P1491" t="s">
        <v>21</v>
      </c>
      <c r="Q1491">
        <v>288.13014184397161</v>
      </c>
      <c r="R1491">
        <f ca="1">YEAR(TODAY())-Table1[[#This Row],[Year Built]]</f>
        <v>60</v>
      </c>
      <c r="S1491" t="str">
        <f>IF(Table1[[#This Row],[Days on Market]] &lt; 30,"Fast",IF(Table1[[#This Row],[Days on Market]]&lt;= 90,"Average", "Slow"))</f>
        <v>Average</v>
      </c>
      <c r="T1491" t="str">
        <f>IF(Table1[[#This Row],[Price2]]&lt;500000,"Affordable",IF(Table1[[#This Row],[Price2]]&lt;1000000,"Mid range","Luxury"))</f>
        <v>Mid range</v>
      </c>
    </row>
    <row r="1492" spans="1:20" x14ac:dyDescent="0.35">
      <c r="A1492" s="3">
        <v>812674</v>
      </c>
      <c r="B1492" s="2" t="s">
        <v>22</v>
      </c>
      <c r="C1492">
        <v>85924</v>
      </c>
      <c r="D1492" s="2" t="s">
        <v>18</v>
      </c>
      <c r="E1492">
        <v>3</v>
      </c>
      <c r="F1492">
        <v>4</v>
      </c>
      <c r="G1492" s="4">
        <f>VALUE(SUBSTITUTE(SUBSTITUTE(Table1[[#This Row],[Price]],"$",""),",",""))</f>
        <v>812674</v>
      </c>
      <c r="H1492" s="1">
        <f>Table1[[#This Row],[Price2]]/Table1[[#This Row],[Area]]</f>
        <v>222.6504109589041</v>
      </c>
      <c r="I1492">
        <v>3650</v>
      </c>
      <c r="J1492">
        <v>1975</v>
      </c>
      <c r="K1492">
        <v>93</v>
      </c>
      <c r="L1492" t="s">
        <v>30</v>
      </c>
      <c r="M1492" t="s">
        <v>1219</v>
      </c>
      <c r="N1492" s="2" t="s">
        <v>3027</v>
      </c>
      <c r="O1492" t="s">
        <v>3028</v>
      </c>
      <c r="P1492" t="s">
        <v>26</v>
      </c>
      <c r="Q1492">
        <v>222.6504109589041</v>
      </c>
      <c r="R1492">
        <f ca="1">YEAR(TODAY())-Table1[[#This Row],[Year Built]]</f>
        <v>51</v>
      </c>
      <c r="S1492" t="str">
        <f>IF(Table1[[#This Row],[Days on Market]] &lt; 30,"Fast",IF(Table1[[#This Row],[Days on Market]]&lt;= 90,"Average", "Slow"))</f>
        <v>Slow</v>
      </c>
      <c r="T1492" t="str">
        <f>IF(Table1[[#This Row],[Price2]]&lt;500000,"Affordable",IF(Table1[[#This Row],[Price2]]&lt;1000000,"Mid range","Luxury"))</f>
        <v>Mid range</v>
      </c>
    </row>
    <row r="1493" spans="1:20" x14ac:dyDescent="0.35">
      <c r="A1493" s="3">
        <v>812703</v>
      </c>
      <c r="B1493" s="2" t="s">
        <v>22</v>
      </c>
      <c r="C1493">
        <v>25265</v>
      </c>
      <c r="D1493" s="2" t="s">
        <v>13</v>
      </c>
      <c r="E1493">
        <v>6</v>
      </c>
      <c r="F1493">
        <v>3</v>
      </c>
      <c r="G1493" s="4">
        <f>VALUE(SUBSTITUTE(SUBSTITUTE(Table1[[#This Row],[Price]],"$",""),",",""))</f>
        <v>812703</v>
      </c>
      <c r="H1493" s="1">
        <f>Table1[[#This Row],[Price2]]/Table1[[#This Row],[Area]]</f>
        <v>286.06230200633581</v>
      </c>
      <c r="I1493">
        <v>2841</v>
      </c>
      <c r="J1493">
        <v>1963</v>
      </c>
      <c r="K1493">
        <v>81</v>
      </c>
      <c r="L1493" t="s">
        <v>19</v>
      </c>
      <c r="M1493" t="s">
        <v>2270</v>
      </c>
      <c r="N1493" s="2" t="s">
        <v>3031</v>
      </c>
      <c r="O1493" t="s">
        <v>3032</v>
      </c>
      <c r="P1493" t="s">
        <v>21</v>
      </c>
      <c r="Q1493">
        <v>286.06230200633581</v>
      </c>
      <c r="R1493">
        <f ca="1">YEAR(TODAY())-Table1[[#This Row],[Year Built]]</f>
        <v>63</v>
      </c>
      <c r="S1493" t="str">
        <f>IF(Table1[[#This Row],[Days on Market]] &lt; 30,"Fast",IF(Table1[[#This Row],[Days on Market]]&lt;= 90,"Average", "Slow"))</f>
        <v>Average</v>
      </c>
      <c r="T1493" t="str">
        <f>IF(Table1[[#This Row],[Price2]]&lt;500000,"Affordable",IF(Table1[[#This Row],[Price2]]&lt;1000000,"Mid range","Luxury"))</f>
        <v>Mid range</v>
      </c>
    </row>
    <row r="1494" spans="1:20" x14ac:dyDescent="0.35">
      <c r="A1494" s="3">
        <v>813788</v>
      </c>
      <c r="B1494" s="2" t="s">
        <v>17</v>
      </c>
      <c r="C1494">
        <v>23788</v>
      </c>
      <c r="D1494" s="2" t="s">
        <v>23</v>
      </c>
      <c r="E1494">
        <v>3</v>
      </c>
      <c r="F1494">
        <v>2</v>
      </c>
      <c r="G1494" s="4">
        <f>VALUE(SUBSTITUTE(SUBSTITUTE(Table1[[#This Row],[Price]],"$",""),",",""))</f>
        <v>813788</v>
      </c>
      <c r="H1494" s="1">
        <f>Table1[[#This Row],[Price2]]/Table1[[#This Row],[Area]]</f>
        <v>299.62739322533139</v>
      </c>
      <c r="I1494">
        <v>2716</v>
      </c>
      <c r="J1494">
        <v>2020</v>
      </c>
      <c r="K1494">
        <v>120</v>
      </c>
      <c r="L1494" t="s">
        <v>19</v>
      </c>
      <c r="M1494" t="s">
        <v>917</v>
      </c>
      <c r="N1494" s="2" t="s">
        <v>3027</v>
      </c>
      <c r="O1494" t="s">
        <v>3028</v>
      </c>
      <c r="P1494" t="s">
        <v>26</v>
      </c>
      <c r="Q1494">
        <v>299.62739322533139</v>
      </c>
      <c r="R1494">
        <f ca="1">YEAR(TODAY())-Table1[[#This Row],[Year Built]]</f>
        <v>6</v>
      </c>
      <c r="S1494" t="str">
        <f>IF(Table1[[#This Row],[Days on Market]] &lt; 30,"Fast",IF(Table1[[#This Row],[Days on Market]]&lt;= 90,"Average", "Slow"))</f>
        <v>Slow</v>
      </c>
      <c r="T1494" t="str">
        <f>IF(Table1[[#This Row],[Price2]]&lt;500000,"Affordable",IF(Table1[[#This Row],[Price2]]&lt;1000000,"Mid range","Luxury"))</f>
        <v>Mid range</v>
      </c>
    </row>
    <row r="1495" spans="1:20" x14ac:dyDescent="0.35">
      <c r="A1495" s="3">
        <v>813988</v>
      </c>
      <c r="B1495" s="2" t="s">
        <v>22</v>
      </c>
      <c r="C1495">
        <v>70724</v>
      </c>
      <c r="D1495" s="2" t="s">
        <v>23</v>
      </c>
      <c r="E1495">
        <v>2</v>
      </c>
      <c r="F1495">
        <v>4</v>
      </c>
      <c r="G1495" s="4">
        <f>VALUE(SUBSTITUTE(SUBSTITUTE(Table1[[#This Row],[Price]],"$",""),",",""))</f>
        <v>813988</v>
      </c>
      <c r="H1495" s="1">
        <f>Table1[[#This Row],[Price2]]/Table1[[#This Row],[Area]]</f>
        <v>217.81857104629381</v>
      </c>
      <c r="I1495">
        <v>3737</v>
      </c>
      <c r="J1495">
        <v>1969</v>
      </c>
      <c r="K1495">
        <v>109</v>
      </c>
      <c r="L1495" t="s">
        <v>19</v>
      </c>
      <c r="M1495" t="s">
        <v>1395</v>
      </c>
      <c r="N1495" s="2" t="s">
        <v>3033</v>
      </c>
      <c r="O1495" t="s">
        <v>3034</v>
      </c>
      <c r="P1495" t="s">
        <v>26</v>
      </c>
      <c r="Q1495">
        <v>217.81857104629381</v>
      </c>
      <c r="R1495">
        <f ca="1">YEAR(TODAY())-Table1[[#This Row],[Year Built]]</f>
        <v>57</v>
      </c>
      <c r="S1495" t="str">
        <f>IF(Table1[[#This Row],[Days on Market]] &lt; 30,"Fast",IF(Table1[[#This Row],[Days on Market]]&lt;= 90,"Average", "Slow"))</f>
        <v>Slow</v>
      </c>
      <c r="T1495" t="str">
        <f>IF(Table1[[#This Row],[Price2]]&lt;500000,"Affordable",IF(Table1[[#This Row],[Price2]]&lt;1000000,"Mid range","Luxury"))</f>
        <v>Mid range</v>
      </c>
    </row>
    <row r="1496" spans="1:20" x14ac:dyDescent="0.35">
      <c r="A1496" s="3">
        <v>814097</v>
      </c>
      <c r="B1496" s="2" t="s">
        <v>34</v>
      </c>
      <c r="C1496">
        <v>58752</v>
      </c>
      <c r="D1496" s="2" t="s">
        <v>35</v>
      </c>
      <c r="E1496">
        <v>4</v>
      </c>
      <c r="F1496">
        <v>3</v>
      </c>
      <c r="G1496" s="4">
        <f>VALUE(SUBSTITUTE(SUBSTITUTE(Table1[[#This Row],[Price]],"$",""),",",""))</f>
        <v>814097</v>
      </c>
      <c r="H1496" s="1">
        <f>Table1[[#This Row],[Price2]]/Table1[[#This Row],[Area]]</f>
        <v>434.41675560298825</v>
      </c>
      <c r="I1496">
        <v>1874</v>
      </c>
      <c r="J1496">
        <v>2006</v>
      </c>
      <c r="K1496">
        <v>74</v>
      </c>
      <c r="L1496" t="s">
        <v>40</v>
      </c>
      <c r="M1496" t="s">
        <v>204</v>
      </c>
      <c r="N1496" s="2" t="s">
        <v>3031</v>
      </c>
      <c r="O1496" t="s">
        <v>3032</v>
      </c>
      <c r="P1496" t="s">
        <v>26</v>
      </c>
      <c r="Q1496">
        <v>434.41675560298825</v>
      </c>
      <c r="R1496">
        <f ca="1">YEAR(TODAY())-Table1[[#This Row],[Year Built]]</f>
        <v>20</v>
      </c>
      <c r="S1496" t="str">
        <f>IF(Table1[[#This Row],[Days on Market]] &lt; 30,"Fast",IF(Table1[[#This Row],[Days on Market]]&lt;= 90,"Average", "Slow"))</f>
        <v>Average</v>
      </c>
      <c r="T1496" t="str">
        <f>IF(Table1[[#This Row],[Price2]]&lt;500000,"Affordable",IF(Table1[[#This Row],[Price2]]&lt;1000000,"Mid range","Luxury"))</f>
        <v>Mid range</v>
      </c>
    </row>
    <row r="1497" spans="1:20" x14ac:dyDescent="0.35">
      <c r="A1497" s="3">
        <v>814719</v>
      </c>
      <c r="B1497" s="2" t="s">
        <v>27</v>
      </c>
      <c r="C1497">
        <v>72653</v>
      </c>
      <c r="D1497" s="2" t="s">
        <v>23</v>
      </c>
      <c r="E1497">
        <v>3</v>
      </c>
      <c r="F1497">
        <v>3</v>
      </c>
      <c r="G1497" s="4">
        <f>VALUE(SUBSTITUTE(SUBSTITUTE(Table1[[#This Row],[Price]],"$",""),",",""))</f>
        <v>814719</v>
      </c>
      <c r="H1497" s="1">
        <f>Table1[[#This Row],[Price2]]/Table1[[#This Row],[Area]]</f>
        <v>253.49066583696327</v>
      </c>
      <c r="I1497">
        <v>3214</v>
      </c>
      <c r="J1497">
        <v>1966</v>
      </c>
      <c r="K1497">
        <v>30</v>
      </c>
      <c r="L1497" t="s">
        <v>52</v>
      </c>
      <c r="M1497" t="s">
        <v>2792</v>
      </c>
      <c r="N1497" s="2" t="s">
        <v>3033</v>
      </c>
      <c r="O1497" t="s">
        <v>3034</v>
      </c>
      <c r="P1497" t="s">
        <v>26</v>
      </c>
      <c r="Q1497">
        <v>253.49066583696327</v>
      </c>
      <c r="R1497">
        <f ca="1">YEAR(TODAY())-Table1[[#This Row],[Year Built]]</f>
        <v>60</v>
      </c>
      <c r="S1497" t="str">
        <f>IF(Table1[[#This Row],[Days on Market]] &lt; 30,"Fast",IF(Table1[[#This Row],[Days on Market]]&lt;= 90,"Average", "Slow"))</f>
        <v>Average</v>
      </c>
      <c r="T1497" t="str">
        <f>IF(Table1[[#This Row],[Price2]]&lt;500000,"Affordable",IF(Table1[[#This Row],[Price2]]&lt;1000000,"Mid range","Luxury"))</f>
        <v>Mid range</v>
      </c>
    </row>
    <row r="1498" spans="1:20" x14ac:dyDescent="0.35">
      <c r="A1498" s="3">
        <v>814836</v>
      </c>
      <c r="B1498" s="2" t="s">
        <v>17</v>
      </c>
      <c r="C1498">
        <v>13916</v>
      </c>
      <c r="D1498" s="2" t="s">
        <v>35</v>
      </c>
      <c r="E1498">
        <v>6</v>
      </c>
      <c r="F1498">
        <v>4</v>
      </c>
      <c r="G1498" s="4">
        <f>VALUE(SUBSTITUTE(SUBSTITUTE(Table1[[#This Row],[Price]],"$",""),",",""))</f>
        <v>814836</v>
      </c>
      <c r="H1498" s="1">
        <f>Table1[[#This Row],[Price2]]/Table1[[#This Row],[Area]]</f>
        <v>1041.9897698209718</v>
      </c>
      <c r="I1498">
        <v>782</v>
      </c>
      <c r="J1498">
        <v>2003</v>
      </c>
      <c r="K1498">
        <v>45</v>
      </c>
      <c r="L1498" t="s">
        <v>19</v>
      </c>
      <c r="M1498" t="s">
        <v>1733</v>
      </c>
      <c r="N1498" s="2" t="s">
        <v>3035</v>
      </c>
      <c r="O1498" t="s">
        <v>3036</v>
      </c>
      <c r="P1498" t="s">
        <v>16</v>
      </c>
      <c r="Q1498">
        <v>1041.9897698209718</v>
      </c>
      <c r="R1498">
        <f ca="1">YEAR(TODAY())-Table1[[#This Row],[Year Built]]</f>
        <v>23</v>
      </c>
      <c r="S1498" t="str">
        <f>IF(Table1[[#This Row],[Days on Market]] &lt; 30,"Fast",IF(Table1[[#This Row],[Days on Market]]&lt;= 90,"Average", "Slow"))</f>
        <v>Average</v>
      </c>
      <c r="T1498" t="str">
        <f>IF(Table1[[#This Row],[Price2]]&lt;500000,"Affordable",IF(Table1[[#This Row],[Price2]]&lt;1000000,"Mid range","Luxury"))</f>
        <v>Mid range</v>
      </c>
    </row>
    <row r="1499" spans="1:20" x14ac:dyDescent="0.35">
      <c r="A1499" s="3">
        <v>815451</v>
      </c>
      <c r="B1499" s="2" t="s">
        <v>17</v>
      </c>
      <c r="C1499">
        <v>95682</v>
      </c>
      <c r="D1499" s="2" t="s">
        <v>13</v>
      </c>
      <c r="E1499">
        <v>4</v>
      </c>
      <c r="F1499">
        <v>2</v>
      </c>
      <c r="G1499" s="4">
        <f>VALUE(SUBSTITUTE(SUBSTITUTE(Table1[[#This Row],[Price]],"$",""),",",""))</f>
        <v>815451</v>
      </c>
      <c r="H1499" s="1">
        <f>Table1[[#This Row],[Price2]]/Table1[[#This Row],[Area]]</f>
        <v>692.23344651952459</v>
      </c>
      <c r="I1499">
        <v>1178</v>
      </c>
      <c r="J1499">
        <v>1952</v>
      </c>
      <c r="K1499">
        <v>65</v>
      </c>
      <c r="L1499" t="s">
        <v>40</v>
      </c>
      <c r="M1499" t="s">
        <v>1526</v>
      </c>
      <c r="N1499" s="2" t="s">
        <v>3029</v>
      </c>
      <c r="O1499" t="s">
        <v>3030</v>
      </c>
      <c r="P1499" t="s">
        <v>21</v>
      </c>
      <c r="Q1499">
        <v>692.23344651952459</v>
      </c>
      <c r="R1499">
        <f ca="1">YEAR(TODAY())-Table1[[#This Row],[Year Built]]</f>
        <v>74</v>
      </c>
      <c r="S1499" t="str">
        <f>IF(Table1[[#This Row],[Days on Market]] &lt; 30,"Fast",IF(Table1[[#This Row],[Days on Market]]&lt;= 90,"Average", "Slow"))</f>
        <v>Average</v>
      </c>
      <c r="T1499" t="str">
        <f>IF(Table1[[#This Row],[Price2]]&lt;500000,"Affordable",IF(Table1[[#This Row],[Price2]]&lt;1000000,"Mid range","Luxury"))</f>
        <v>Mid range</v>
      </c>
    </row>
    <row r="1500" spans="1:20" x14ac:dyDescent="0.35">
      <c r="A1500" s="3">
        <v>815809</v>
      </c>
      <c r="B1500" s="2" t="s">
        <v>12</v>
      </c>
      <c r="C1500">
        <v>10072</v>
      </c>
      <c r="D1500" s="2" t="s">
        <v>18</v>
      </c>
      <c r="E1500">
        <v>3</v>
      </c>
      <c r="F1500">
        <v>4</v>
      </c>
      <c r="G1500" s="4">
        <f>VALUE(SUBSTITUTE(SUBSTITUTE(Table1[[#This Row],[Price]],"$",""),",",""))</f>
        <v>815809</v>
      </c>
      <c r="H1500" s="1">
        <f>Table1[[#This Row],[Price2]]/Table1[[#This Row],[Area]]</f>
        <v>725.80871886120997</v>
      </c>
      <c r="I1500">
        <v>1124</v>
      </c>
      <c r="J1500">
        <v>1962</v>
      </c>
      <c r="K1500">
        <v>88</v>
      </c>
      <c r="L1500" t="s">
        <v>19</v>
      </c>
      <c r="M1500" t="s">
        <v>2922</v>
      </c>
      <c r="N1500" s="2" t="s">
        <v>3027</v>
      </c>
      <c r="O1500" t="s">
        <v>3028</v>
      </c>
      <c r="P1500" t="s">
        <v>16</v>
      </c>
      <c r="Q1500">
        <v>725.80871886120997</v>
      </c>
      <c r="R1500">
        <f ca="1">YEAR(TODAY())-Table1[[#This Row],[Year Built]]</f>
        <v>64</v>
      </c>
      <c r="S1500" t="str">
        <f>IF(Table1[[#This Row],[Days on Market]] &lt; 30,"Fast",IF(Table1[[#This Row],[Days on Market]]&lt;= 90,"Average", "Slow"))</f>
        <v>Average</v>
      </c>
      <c r="T1500" t="str">
        <f>IF(Table1[[#This Row],[Price2]]&lt;500000,"Affordable",IF(Table1[[#This Row],[Price2]]&lt;1000000,"Mid range","Luxury"))</f>
        <v>Mid range</v>
      </c>
    </row>
    <row r="1501" spans="1:20" x14ac:dyDescent="0.35">
      <c r="A1501" s="3">
        <v>816152</v>
      </c>
      <c r="B1501" s="2" t="s">
        <v>34</v>
      </c>
      <c r="C1501">
        <v>59016</v>
      </c>
      <c r="D1501" s="2" t="s">
        <v>23</v>
      </c>
      <c r="E1501">
        <v>5</v>
      </c>
      <c r="F1501">
        <v>2</v>
      </c>
      <c r="G1501" s="4">
        <f>VALUE(SUBSTITUTE(SUBSTITUTE(Table1[[#This Row],[Price]],"$",""),",",""))</f>
        <v>816152</v>
      </c>
      <c r="H1501" s="1">
        <f>Table1[[#This Row],[Price2]]/Table1[[#This Row],[Area]]</f>
        <v>218.0475554368154</v>
      </c>
      <c r="I1501">
        <v>3743</v>
      </c>
      <c r="J1501">
        <v>2005</v>
      </c>
      <c r="K1501">
        <v>106</v>
      </c>
      <c r="L1501" t="s">
        <v>30</v>
      </c>
      <c r="M1501" t="s">
        <v>1172</v>
      </c>
      <c r="N1501" s="2" t="s">
        <v>3033</v>
      </c>
      <c r="O1501" t="s">
        <v>3034</v>
      </c>
      <c r="P1501" t="s">
        <v>26</v>
      </c>
      <c r="Q1501">
        <v>218.0475554368154</v>
      </c>
      <c r="R1501">
        <f ca="1">YEAR(TODAY())-Table1[[#This Row],[Year Built]]</f>
        <v>21</v>
      </c>
      <c r="S1501" t="str">
        <f>IF(Table1[[#This Row],[Days on Market]] &lt; 30,"Fast",IF(Table1[[#This Row],[Days on Market]]&lt;= 90,"Average", "Slow"))</f>
        <v>Slow</v>
      </c>
      <c r="T1501" t="str">
        <f>IF(Table1[[#This Row],[Price2]]&lt;500000,"Affordable",IF(Table1[[#This Row],[Price2]]&lt;1000000,"Mid range","Luxury"))</f>
        <v>Mid range</v>
      </c>
    </row>
    <row r="1502" spans="1:20" x14ac:dyDescent="0.35">
      <c r="A1502" s="3">
        <v>816254</v>
      </c>
      <c r="B1502" s="2" t="s">
        <v>34</v>
      </c>
      <c r="C1502">
        <v>22485</v>
      </c>
      <c r="D1502" s="2" t="s">
        <v>35</v>
      </c>
      <c r="E1502">
        <v>5</v>
      </c>
      <c r="F1502">
        <v>1</v>
      </c>
      <c r="G1502" s="4">
        <f>VALUE(SUBSTITUTE(SUBSTITUTE(Table1[[#This Row],[Price]],"$",""),",",""))</f>
        <v>816254</v>
      </c>
      <c r="H1502" s="1">
        <f>Table1[[#This Row],[Price2]]/Table1[[#This Row],[Area]]</f>
        <v>493.20483383685803</v>
      </c>
      <c r="I1502">
        <v>1655</v>
      </c>
      <c r="J1502">
        <v>1950</v>
      </c>
      <c r="K1502">
        <v>45</v>
      </c>
      <c r="L1502" t="s">
        <v>52</v>
      </c>
      <c r="M1502" t="s">
        <v>1909</v>
      </c>
      <c r="N1502" s="2" t="s">
        <v>3035</v>
      </c>
      <c r="O1502" t="s">
        <v>3036</v>
      </c>
      <c r="P1502" t="s">
        <v>26</v>
      </c>
      <c r="Q1502">
        <v>493.20483383685803</v>
      </c>
      <c r="R1502">
        <f ca="1">YEAR(TODAY())-Table1[[#This Row],[Year Built]]</f>
        <v>76</v>
      </c>
      <c r="S1502" t="str">
        <f>IF(Table1[[#This Row],[Days on Market]] &lt; 30,"Fast",IF(Table1[[#This Row],[Days on Market]]&lt;= 90,"Average", "Slow"))</f>
        <v>Average</v>
      </c>
      <c r="T1502" t="str">
        <f>IF(Table1[[#This Row],[Price2]]&lt;500000,"Affordable",IF(Table1[[#This Row],[Price2]]&lt;1000000,"Mid range","Luxury"))</f>
        <v>Mid range</v>
      </c>
    </row>
    <row r="1503" spans="1:20" x14ac:dyDescent="0.35">
      <c r="A1503" s="3">
        <v>816304</v>
      </c>
      <c r="B1503" s="2" t="s">
        <v>12</v>
      </c>
      <c r="C1503">
        <v>11517</v>
      </c>
      <c r="D1503" s="2" t="s">
        <v>23</v>
      </c>
      <c r="E1503">
        <v>4</v>
      </c>
      <c r="F1503">
        <v>1</v>
      </c>
      <c r="G1503" s="4">
        <f>VALUE(SUBSTITUTE(SUBSTITUTE(Table1[[#This Row],[Price]],"$",""),",",""))</f>
        <v>816304</v>
      </c>
      <c r="H1503" s="1">
        <f>Table1[[#This Row],[Price2]]/Table1[[#This Row],[Area]]</f>
        <v>336.89806025588115</v>
      </c>
      <c r="I1503">
        <v>2423</v>
      </c>
      <c r="J1503">
        <v>1970</v>
      </c>
      <c r="K1503">
        <v>68</v>
      </c>
      <c r="L1503" t="s">
        <v>40</v>
      </c>
      <c r="M1503" t="s">
        <v>2278</v>
      </c>
      <c r="N1503" s="2" t="s">
        <v>3031</v>
      </c>
      <c r="O1503" t="s">
        <v>3032</v>
      </c>
      <c r="P1503" t="s">
        <v>21</v>
      </c>
      <c r="Q1503">
        <v>336.89806025588115</v>
      </c>
      <c r="R1503">
        <f ca="1">YEAR(TODAY())-Table1[[#This Row],[Year Built]]</f>
        <v>56</v>
      </c>
      <c r="S1503" t="str">
        <f>IF(Table1[[#This Row],[Days on Market]] &lt; 30,"Fast",IF(Table1[[#This Row],[Days on Market]]&lt;= 90,"Average", "Slow"))</f>
        <v>Average</v>
      </c>
      <c r="T1503" t="str">
        <f>IF(Table1[[#This Row],[Price2]]&lt;500000,"Affordable",IF(Table1[[#This Row],[Price2]]&lt;1000000,"Mid range","Luxury"))</f>
        <v>Mid range</v>
      </c>
    </row>
    <row r="1504" spans="1:20" x14ac:dyDescent="0.35">
      <c r="A1504" s="3">
        <v>816399</v>
      </c>
      <c r="B1504" s="2" t="s">
        <v>27</v>
      </c>
      <c r="C1504">
        <v>13336</v>
      </c>
      <c r="D1504" s="2" t="s">
        <v>35</v>
      </c>
      <c r="E1504">
        <v>3</v>
      </c>
      <c r="F1504">
        <v>3</v>
      </c>
      <c r="G1504" s="4">
        <f>VALUE(SUBSTITUTE(SUBSTITUTE(Table1[[#This Row],[Price]],"$",""),",",""))</f>
        <v>816399</v>
      </c>
      <c r="H1504" s="1">
        <f>Table1[[#This Row],[Price2]]/Table1[[#This Row],[Area]]</f>
        <v>283.27515614156835</v>
      </c>
      <c r="I1504">
        <v>2882</v>
      </c>
      <c r="J1504">
        <v>1989</v>
      </c>
      <c r="K1504">
        <v>74</v>
      </c>
      <c r="L1504" t="s">
        <v>19</v>
      </c>
      <c r="M1504" t="s">
        <v>2225</v>
      </c>
      <c r="N1504" s="2" t="s">
        <v>3031</v>
      </c>
      <c r="O1504" t="s">
        <v>3032</v>
      </c>
      <c r="P1504" t="s">
        <v>16</v>
      </c>
      <c r="Q1504">
        <v>283.27515614156835</v>
      </c>
      <c r="R1504">
        <f ca="1">YEAR(TODAY())-Table1[[#This Row],[Year Built]]</f>
        <v>37</v>
      </c>
      <c r="S1504" t="str">
        <f>IF(Table1[[#This Row],[Days on Market]] &lt; 30,"Fast",IF(Table1[[#This Row],[Days on Market]]&lt;= 90,"Average", "Slow"))</f>
        <v>Average</v>
      </c>
      <c r="T1504" t="str">
        <f>IF(Table1[[#This Row],[Price2]]&lt;500000,"Affordable",IF(Table1[[#This Row],[Price2]]&lt;1000000,"Mid range","Luxury"))</f>
        <v>Mid range</v>
      </c>
    </row>
    <row r="1505" spans="1:20" x14ac:dyDescent="0.35">
      <c r="A1505" s="3">
        <v>816755</v>
      </c>
      <c r="B1505" s="2" t="s">
        <v>27</v>
      </c>
      <c r="C1505">
        <v>31199</v>
      </c>
      <c r="D1505" s="2" t="s">
        <v>35</v>
      </c>
      <c r="E1505">
        <v>3</v>
      </c>
      <c r="F1505">
        <v>4</v>
      </c>
      <c r="G1505" s="4">
        <f>VALUE(SUBSTITUTE(SUBSTITUTE(Table1[[#This Row],[Price]],"$",""),",",""))</f>
        <v>816755</v>
      </c>
      <c r="H1505" s="1">
        <f>Table1[[#This Row],[Price2]]/Table1[[#This Row],[Area]]</f>
        <v>670.57060755336613</v>
      </c>
      <c r="I1505">
        <v>1218</v>
      </c>
      <c r="J1505">
        <v>1962</v>
      </c>
      <c r="K1505">
        <v>62</v>
      </c>
      <c r="L1505" t="s">
        <v>19</v>
      </c>
      <c r="M1505" t="s">
        <v>1902</v>
      </c>
      <c r="N1505" s="2" t="s">
        <v>3031</v>
      </c>
      <c r="O1505" t="s">
        <v>3032</v>
      </c>
      <c r="P1505" t="s">
        <v>26</v>
      </c>
      <c r="Q1505">
        <v>670.57060755336613</v>
      </c>
      <c r="R1505">
        <f ca="1">YEAR(TODAY())-Table1[[#This Row],[Year Built]]</f>
        <v>64</v>
      </c>
      <c r="S1505" t="str">
        <f>IF(Table1[[#This Row],[Days on Market]] &lt; 30,"Fast",IF(Table1[[#This Row],[Days on Market]]&lt;= 90,"Average", "Slow"))</f>
        <v>Average</v>
      </c>
      <c r="T1505" t="str">
        <f>IF(Table1[[#This Row],[Price2]]&lt;500000,"Affordable",IF(Table1[[#This Row],[Price2]]&lt;1000000,"Mid range","Luxury"))</f>
        <v>Mid range</v>
      </c>
    </row>
    <row r="1506" spans="1:20" x14ac:dyDescent="0.35">
      <c r="A1506" s="3">
        <v>817052</v>
      </c>
      <c r="B1506" s="2" t="s">
        <v>12</v>
      </c>
      <c r="C1506">
        <v>32524</v>
      </c>
      <c r="D1506" s="2" t="s">
        <v>29</v>
      </c>
      <c r="E1506">
        <v>5</v>
      </c>
      <c r="F1506">
        <v>4</v>
      </c>
      <c r="G1506" s="4">
        <f>VALUE(SUBSTITUTE(SUBSTITUTE(Table1[[#This Row],[Price]],"$",""),",",""))</f>
        <v>817052</v>
      </c>
      <c r="H1506" s="1">
        <f>Table1[[#This Row],[Price2]]/Table1[[#This Row],[Area]]</f>
        <v>1128.5248618784531</v>
      </c>
      <c r="I1506">
        <v>724</v>
      </c>
      <c r="J1506">
        <v>2009</v>
      </c>
      <c r="K1506">
        <v>47</v>
      </c>
      <c r="L1506" t="s">
        <v>52</v>
      </c>
      <c r="M1506" t="s">
        <v>1669</v>
      </c>
      <c r="N1506" s="2" t="s">
        <v>3033</v>
      </c>
      <c r="O1506" t="s">
        <v>3034</v>
      </c>
      <c r="P1506" t="s">
        <v>26</v>
      </c>
      <c r="Q1506">
        <v>1128.5248618784531</v>
      </c>
      <c r="R1506">
        <f ca="1">YEAR(TODAY())-Table1[[#This Row],[Year Built]]</f>
        <v>17</v>
      </c>
      <c r="S1506" t="str">
        <f>IF(Table1[[#This Row],[Days on Market]] &lt; 30,"Fast",IF(Table1[[#This Row],[Days on Market]]&lt;= 90,"Average", "Slow"))</f>
        <v>Average</v>
      </c>
      <c r="T1506" t="str">
        <f>IF(Table1[[#This Row],[Price2]]&lt;500000,"Affordable",IF(Table1[[#This Row],[Price2]]&lt;1000000,"Mid range","Luxury"))</f>
        <v>Mid range</v>
      </c>
    </row>
    <row r="1507" spans="1:20" x14ac:dyDescent="0.35">
      <c r="A1507" s="3">
        <v>817524</v>
      </c>
      <c r="B1507" s="2" t="s">
        <v>27</v>
      </c>
      <c r="C1507">
        <v>41408</v>
      </c>
      <c r="D1507" s="2" t="s">
        <v>13</v>
      </c>
      <c r="E1507">
        <v>3</v>
      </c>
      <c r="F1507">
        <v>3</v>
      </c>
      <c r="G1507" s="4">
        <f>VALUE(SUBSTITUTE(SUBSTITUTE(Table1[[#This Row],[Price]],"$",""),",",""))</f>
        <v>817524</v>
      </c>
      <c r="H1507" s="1">
        <f>Table1[[#This Row],[Price2]]/Table1[[#This Row],[Area]]</f>
        <v>574.50737877723122</v>
      </c>
      <c r="I1507">
        <v>1423</v>
      </c>
      <c r="J1507">
        <v>1963</v>
      </c>
      <c r="K1507">
        <v>97</v>
      </c>
      <c r="L1507" t="s">
        <v>14</v>
      </c>
      <c r="M1507" t="s">
        <v>2734</v>
      </c>
      <c r="N1507" s="2" t="s">
        <v>3029</v>
      </c>
      <c r="O1507" t="s">
        <v>3030</v>
      </c>
      <c r="P1507" t="s">
        <v>16</v>
      </c>
      <c r="Q1507">
        <v>574.50737877723122</v>
      </c>
      <c r="R1507">
        <f ca="1">YEAR(TODAY())-Table1[[#This Row],[Year Built]]</f>
        <v>63</v>
      </c>
      <c r="S1507" t="str">
        <f>IF(Table1[[#This Row],[Days on Market]] &lt; 30,"Fast",IF(Table1[[#This Row],[Days on Market]]&lt;= 90,"Average", "Slow"))</f>
        <v>Slow</v>
      </c>
      <c r="T1507" t="str">
        <f>IF(Table1[[#This Row],[Price2]]&lt;500000,"Affordable",IF(Table1[[#This Row],[Price2]]&lt;1000000,"Mid range","Luxury"))</f>
        <v>Mid range</v>
      </c>
    </row>
    <row r="1508" spans="1:20" x14ac:dyDescent="0.35">
      <c r="A1508" s="3">
        <v>817577</v>
      </c>
      <c r="B1508" s="2" t="s">
        <v>34</v>
      </c>
      <c r="C1508">
        <v>70953</v>
      </c>
      <c r="D1508" s="2" t="s">
        <v>23</v>
      </c>
      <c r="E1508">
        <v>6</v>
      </c>
      <c r="F1508">
        <v>3</v>
      </c>
      <c r="G1508" s="4">
        <f>VALUE(SUBSTITUTE(SUBSTITUTE(Table1[[#This Row],[Price]],"$",""),",",""))</f>
        <v>817577</v>
      </c>
      <c r="H1508" s="1">
        <f>Table1[[#This Row],[Price2]]/Table1[[#This Row],[Area]]</f>
        <v>574.94866385372711</v>
      </c>
      <c r="I1508">
        <v>1422</v>
      </c>
      <c r="J1508">
        <v>1958</v>
      </c>
      <c r="K1508">
        <v>67</v>
      </c>
      <c r="L1508" t="s">
        <v>19</v>
      </c>
      <c r="M1508" t="s">
        <v>2032</v>
      </c>
      <c r="N1508" s="2" t="s">
        <v>3029</v>
      </c>
      <c r="O1508" t="s">
        <v>3030</v>
      </c>
      <c r="P1508" t="s">
        <v>16</v>
      </c>
      <c r="Q1508">
        <v>574.94866385372711</v>
      </c>
      <c r="R1508">
        <f ca="1">YEAR(TODAY())-Table1[[#This Row],[Year Built]]</f>
        <v>68</v>
      </c>
      <c r="S1508" t="str">
        <f>IF(Table1[[#This Row],[Days on Market]] &lt; 30,"Fast",IF(Table1[[#This Row],[Days on Market]]&lt;= 90,"Average", "Slow"))</f>
        <v>Average</v>
      </c>
      <c r="T1508" t="str">
        <f>IF(Table1[[#This Row],[Price2]]&lt;500000,"Affordable",IF(Table1[[#This Row],[Price2]]&lt;1000000,"Mid range","Luxury"))</f>
        <v>Mid range</v>
      </c>
    </row>
    <row r="1509" spans="1:20" x14ac:dyDescent="0.35">
      <c r="A1509" s="3">
        <v>818315</v>
      </c>
      <c r="B1509" s="2" t="s">
        <v>34</v>
      </c>
      <c r="C1509">
        <v>22482</v>
      </c>
      <c r="D1509" s="2" t="s">
        <v>13</v>
      </c>
      <c r="E1509">
        <v>6</v>
      </c>
      <c r="F1509">
        <v>1</v>
      </c>
      <c r="G1509" s="4">
        <f>VALUE(SUBSTITUTE(SUBSTITUTE(Table1[[#This Row],[Price]],"$",""),",",""))</f>
        <v>818315</v>
      </c>
      <c r="H1509" s="1">
        <f>Table1[[#This Row],[Price2]]/Table1[[#This Row],[Area]]</f>
        <v>398.20681265206815</v>
      </c>
      <c r="I1509">
        <v>2055</v>
      </c>
      <c r="J1509">
        <v>2005</v>
      </c>
      <c r="K1509">
        <v>83</v>
      </c>
      <c r="L1509" t="s">
        <v>40</v>
      </c>
      <c r="M1509" t="s">
        <v>397</v>
      </c>
      <c r="N1509" s="2" t="s">
        <v>3029</v>
      </c>
      <c r="O1509" t="s">
        <v>3030</v>
      </c>
      <c r="P1509" t="s">
        <v>16</v>
      </c>
      <c r="Q1509">
        <v>398.20681265206815</v>
      </c>
      <c r="R1509">
        <f ca="1">YEAR(TODAY())-Table1[[#This Row],[Year Built]]</f>
        <v>21</v>
      </c>
      <c r="S1509" t="str">
        <f>IF(Table1[[#This Row],[Days on Market]] &lt; 30,"Fast",IF(Table1[[#This Row],[Days on Market]]&lt;= 90,"Average", "Slow"))</f>
        <v>Average</v>
      </c>
      <c r="T1509" t="str">
        <f>IF(Table1[[#This Row],[Price2]]&lt;500000,"Affordable",IF(Table1[[#This Row],[Price2]]&lt;1000000,"Mid range","Luxury"))</f>
        <v>Mid range</v>
      </c>
    </row>
    <row r="1510" spans="1:20" x14ac:dyDescent="0.35">
      <c r="A1510" s="3">
        <v>818587</v>
      </c>
      <c r="B1510" s="2" t="s">
        <v>34</v>
      </c>
      <c r="C1510">
        <v>83451</v>
      </c>
      <c r="D1510" s="2" t="s">
        <v>35</v>
      </c>
      <c r="E1510">
        <v>1</v>
      </c>
      <c r="F1510">
        <v>4</v>
      </c>
      <c r="G1510" s="4">
        <f>VALUE(SUBSTITUTE(SUBSTITUTE(Table1[[#This Row],[Price]],"$",""),",",""))</f>
        <v>818587</v>
      </c>
      <c r="H1510" s="1">
        <f>Table1[[#This Row],[Price2]]/Table1[[#This Row],[Area]]</f>
        <v>549.75621222296843</v>
      </c>
      <c r="I1510">
        <v>1489</v>
      </c>
      <c r="J1510">
        <v>2019</v>
      </c>
      <c r="K1510">
        <v>67</v>
      </c>
      <c r="L1510" t="s">
        <v>52</v>
      </c>
      <c r="M1510" t="s">
        <v>2804</v>
      </c>
      <c r="N1510" s="2" t="s">
        <v>3033</v>
      </c>
      <c r="O1510" t="s">
        <v>3034</v>
      </c>
      <c r="P1510" t="s">
        <v>26</v>
      </c>
      <c r="Q1510">
        <v>549.75621222296843</v>
      </c>
      <c r="R1510">
        <f ca="1">YEAR(TODAY())-Table1[[#This Row],[Year Built]]</f>
        <v>7</v>
      </c>
      <c r="S1510" t="str">
        <f>IF(Table1[[#This Row],[Days on Market]] &lt; 30,"Fast",IF(Table1[[#This Row],[Days on Market]]&lt;= 90,"Average", "Slow"))</f>
        <v>Average</v>
      </c>
      <c r="T1510" t="str">
        <f>IF(Table1[[#This Row],[Price2]]&lt;500000,"Affordable",IF(Table1[[#This Row],[Price2]]&lt;1000000,"Mid range","Luxury"))</f>
        <v>Mid range</v>
      </c>
    </row>
    <row r="1511" spans="1:20" x14ac:dyDescent="0.35">
      <c r="A1511" s="3">
        <v>818796</v>
      </c>
      <c r="B1511" s="2" t="s">
        <v>12</v>
      </c>
      <c r="C1511">
        <v>53653</v>
      </c>
      <c r="D1511" s="2" t="s">
        <v>13</v>
      </c>
      <c r="E1511">
        <v>3</v>
      </c>
      <c r="F1511">
        <v>1</v>
      </c>
      <c r="G1511" s="4">
        <f>VALUE(SUBSTITUTE(SUBSTITUTE(Table1[[#This Row],[Price]],"$",""),",",""))</f>
        <v>818796</v>
      </c>
      <c r="H1511" s="1">
        <f>Table1[[#This Row],[Price2]]/Table1[[#This Row],[Area]]</f>
        <v>383.33146067415731</v>
      </c>
      <c r="I1511">
        <v>2136</v>
      </c>
      <c r="J1511">
        <v>1988</v>
      </c>
      <c r="K1511">
        <v>67</v>
      </c>
      <c r="L1511" t="s">
        <v>52</v>
      </c>
      <c r="M1511" t="s">
        <v>2840</v>
      </c>
      <c r="N1511" s="2" t="s">
        <v>3031</v>
      </c>
      <c r="O1511" t="s">
        <v>3032</v>
      </c>
      <c r="P1511" t="s">
        <v>16</v>
      </c>
      <c r="Q1511">
        <v>383.33146067415731</v>
      </c>
      <c r="R1511">
        <f ca="1">YEAR(TODAY())-Table1[[#This Row],[Year Built]]</f>
        <v>38</v>
      </c>
      <c r="S1511" t="str">
        <f>IF(Table1[[#This Row],[Days on Market]] &lt; 30,"Fast",IF(Table1[[#This Row],[Days on Market]]&lt;= 90,"Average", "Slow"))</f>
        <v>Average</v>
      </c>
      <c r="T1511" t="str">
        <f>IF(Table1[[#This Row],[Price2]]&lt;500000,"Affordable",IF(Table1[[#This Row],[Price2]]&lt;1000000,"Mid range","Luxury"))</f>
        <v>Mid range</v>
      </c>
    </row>
    <row r="1512" spans="1:20" x14ac:dyDescent="0.35">
      <c r="A1512" s="3">
        <v>819446</v>
      </c>
      <c r="B1512" s="2" t="s">
        <v>12</v>
      </c>
      <c r="C1512">
        <v>68659</v>
      </c>
      <c r="D1512" s="2" t="s">
        <v>23</v>
      </c>
      <c r="E1512">
        <v>5</v>
      </c>
      <c r="F1512">
        <v>2</v>
      </c>
      <c r="G1512" s="4">
        <f>VALUE(SUBSTITUTE(SUBSTITUTE(Table1[[#This Row],[Price]],"$",""),",",""))</f>
        <v>819446</v>
      </c>
      <c r="H1512" s="1">
        <f>Table1[[#This Row],[Price2]]/Table1[[#This Row],[Area]]</f>
        <v>278.7231292517007</v>
      </c>
      <c r="I1512">
        <v>2940</v>
      </c>
      <c r="J1512">
        <v>1995</v>
      </c>
      <c r="K1512">
        <v>98</v>
      </c>
      <c r="L1512" t="s">
        <v>52</v>
      </c>
      <c r="M1512" t="s">
        <v>2603</v>
      </c>
      <c r="N1512" s="2" t="s">
        <v>3027</v>
      </c>
      <c r="O1512" t="s">
        <v>3028</v>
      </c>
      <c r="P1512" t="s">
        <v>26</v>
      </c>
      <c r="Q1512">
        <v>278.7231292517007</v>
      </c>
      <c r="R1512">
        <f ca="1">YEAR(TODAY())-Table1[[#This Row],[Year Built]]</f>
        <v>31</v>
      </c>
      <c r="S1512" t="str">
        <f>IF(Table1[[#This Row],[Days on Market]] &lt; 30,"Fast",IF(Table1[[#This Row],[Days on Market]]&lt;= 90,"Average", "Slow"))</f>
        <v>Slow</v>
      </c>
      <c r="T1512" t="str">
        <f>IF(Table1[[#This Row],[Price2]]&lt;500000,"Affordable",IF(Table1[[#This Row],[Price2]]&lt;1000000,"Mid range","Luxury"))</f>
        <v>Mid range</v>
      </c>
    </row>
    <row r="1513" spans="1:20" x14ac:dyDescent="0.35">
      <c r="A1513" s="3">
        <v>822548</v>
      </c>
      <c r="B1513" s="2" t="s">
        <v>17</v>
      </c>
      <c r="C1513">
        <v>59397</v>
      </c>
      <c r="D1513" s="2" t="s">
        <v>35</v>
      </c>
      <c r="E1513">
        <v>3</v>
      </c>
      <c r="F1513">
        <v>4</v>
      </c>
      <c r="G1513" s="4">
        <f>VALUE(SUBSTITUTE(SUBSTITUTE(Table1[[#This Row],[Price]],"$",""),",",""))</f>
        <v>822548</v>
      </c>
      <c r="H1513" s="1">
        <f>Table1[[#This Row],[Price2]]/Table1[[#This Row],[Area]]</f>
        <v>671.46775510204077</v>
      </c>
      <c r="I1513">
        <v>1225</v>
      </c>
      <c r="J1513">
        <v>2008</v>
      </c>
      <c r="K1513">
        <v>73</v>
      </c>
      <c r="L1513" t="s">
        <v>40</v>
      </c>
      <c r="M1513" t="s">
        <v>1507</v>
      </c>
      <c r="N1513" s="2" t="s">
        <v>3035</v>
      </c>
      <c r="O1513" t="s">
        <v>3036</v>
      </c>
      <c r="P1513" t="s">
        <v>16</v>
      </c>
      <c r="Q1513">
        <v>671.46775510204077</v>
      </c>
      <c r="R1513">
        <f ca="1">YEAR(TODAY())-Table1[[#This Row],[Year Built]]</f>
        <v>18</v>
      </c>
      <c r="S1513" t="str">
        <f>IF(Table1[[#This Row],[Days on Market]] &lt; 30,"Fast",IF(Table1[[#This Row],[Days on Market]]&lt;= 90,"Average", "Slow"))</f>
        <v>Average</v>
      </c>
      <c r="T1513" t="str">
        <f>IF(Table1[[#This Row],[Price2]]&lt;500000,"Affordable",IF(Table1[[#This Row],[Price2]]&lt;1000000,"Mid range","Luxury"))</f>
        <v>Mid range</v>
      </c>
    </row>
    <row r="1514" spans="1:20" x14ac:dyDescent="0.35">
      <c r="A1514" s="3">
        <v>823571</v>
      </c>
      <c r="B1514" s="2" t="s">
        <v>34</v>
      </c>
      <c r="C1514">
        <v>75048</v>
      </c>
      <c r="D1514" s="2" t="s">
        <v>35</v>
      </c>
      <c r="E1514">
        <v>2</v>
      </c>
      <c r="F1514">
        <v>2</v>
      </c>
      <c r="G1514" s="4">
        <f>VALUE(SUBSTITUTE(SUBSTITUTE(Table1[[#This Row],[Price]],"$",""),",",""))</f>
        <v>823571</v>
      </c>
      <c r="H1514" s="1">
        <f>Table1[[#This Row],[Price2]]/Table1[[#This Row],[Area]]</f>
        <v>208.71033958438926</v>
      </c>
      <c r="I1514">
        <v>3946</v>
      </c>
      <c r="J1514">
        <v>1997</v>
      </c>
      <c r="K1514">
        <v>48</v>
      </c>
      <c r="L1514" t="s">
        <v>52</v>
      </c>
      <c r="M1514" t="s">
        <v>1250</v>
      </c>
      <c r="N1514" s="2" t="s">
        <v>3031</v>
      </c>
      <c r="O1514" t="s">
        <v>3032</v>
      </c>
      <c r="P1514" t="s">
        <v>21</v>
      </c>
      <c r="Q1514">
        <v>208.71033958438926</v>
      </c>
      <c r="R1514">
        <f ca="1">YEAR(TODAY())-Table1[[#This Row],[Year Built]]</f>
        <v>29</v>
      </c>
      <c r="S1514" t="str">
        <f>IF(Table1[[#This Row],[Days on Market]] &lt; 30,"Fast",IF(Table1[[#This Row],[Days on Market]]&lt;= 90,"Average", "Slow"))</f>
        <v>Average</v>
      </c>
      <c r="T1514" t="str">
        <f>IF(Table1[[#This Row],[Price2]]&lt;500000,"Affordable",IF(Table1[[#This Row],[Price2]]&lt;1000000,"Mid range","Luxury"))</f>
        <v>Mid range</v>
      </c>
    </row>
    <row r="1515" spans="1:20" x14ac:dyDescent="0.35">
      <c r="A1515" s="3">
        <v>823602</v>
      </c>
      <c r="B1515" s="2" t="s">
        <v>27</v>
      </c>
      <c r="C1515">
        <v>61827</v>
      </c>
      <c r="D1515" s="2" t="s">
        <v>29</v>
      </c>
      <c r="E1515">
        <v>2</v>
      </c>
      <c r="F1515">
        <v>1</v>
      </c>
      <c r="G1515" s="4">
        <f>VALUE(SUBSTITUTE(SUBSTITUTE(Table1[[#This Row],[Price]],"$",""),",",""))</f>
        <v>823602</v>
      </c>
      <c r="H1515" s="1">
        <f>Table1[[#This Row],[Price2]]/Table1[[#This Row],[Area]]</f>
        <v>416.59180576631258</v>
      </c>
      <c r="I1515">
        <v>1977</v>
      </c>
      <c r="J1515">
        <v>1995</v>
      </c>
      <c r="K1515">
        <v>35</v>
      </c>
      <c r="L1515" t="s">
        <v>52</v>
      </c>
      <c r="M1515" t="s">
        <v>2855</v>
      </c>
      <c r="N1515" s="2" t="s">
        <v>3031</v>
      </c>
      <c r="O1515" t="s">
        <v>3032</v>
      </c>
      <c r="P1515" t="s">
        <v>16</v>
      </c>
      <c r="Q1515">
        <v>416.59180576631258</v>
      </c>
      <c r="R1515">
        <f ca="1">YEAR(TODAY())-Table1[[#This Row],[Year Built]]</f>
        <v>31</v>
      </c>
      <c r="S1515" t="str">
        <f>IF(Table1[[#This Row],[Days on Market]] &lt; 30,"Fast",IF(Table1[[#This Row],[Days on Market]]&lt;= 90,"Average", "Slow"))</f>
        <v>Average</v>
      </c>
      <c r="T1515" t="str">
        <f>IF(Table1[[#This Row],[Price2]]&lt;500000,"Affordable",IF(Table1[[#This Row],[Price2]]&lt;1000000,"Mid range","Luxury"))</f>
        <v>Mid range</v>
      </c>
    </row>
    <row r="1516" spans="1:20" x14ac:dyDescent="0.35">
      <c r="A1516" s="3">
        <v>824024</v>
      </c>
      <c r="B1516" s="2" t="s">
        <v>22</v>
      </c>
      <c r="C1516">
        <v>34584</v>
      </c>
      <c r="D1516" s="2" t="s">
        <v>23</v>
      </c>
      <c r="E1516">
        <v>5</v>
      </c>
      <c r="F1516">
        <v>4</v>
      </c>
      <c r="G1516" s="4">
        <f>VALUE(SUBSTITUTE(SUBSTITUTE(Table1[[#This Row],[Price]],"$",""),",",""))</f>
        <v>824024</v>
      </c>
      <c r="H1516" s="1">
        <f>Table1[[#This Row],[Price2]]/Table1[[#This Row],[Area]]</f>
        <v>264.27966645285437</v>
      </c>
      <c r="I1516">
        <v>3118</v>
      </c>
      <c r="J1516">
        <v>1992</v>
      </c>
      <c r="K1516">
        <v>48</v>
      </c>
      <c r="L1516" t="s">
        <v>52</v>
      </c>
      <c r="M1516" t="s">
        <v>1992</v>
      </c>
      <c r="N1516" s="2" t="s">
        <v>3029</v>
      </c>
      <c r="O1516" t="s">
        <v>3030</v>
      </c>
      <c r="P1516" t="s">
        <v>21</v>
      </c>
      <c r="Q1516">
        <v>264.27966645285437</v>
      </c>
      <c r="R1516">
        <f ca="1">YEAR(TODAY())-Table1[[#This Row],[Year Built]]</f>
        <v>34</v>
      </c>
      <c r="S1516" t="str">
        <f>IF(Table1[[#This Row],[Days on Market]] &lt; 30,"Fast",IF(Table1[[#This Row],[Days on Market]]&lt;= 90,"Average", "Slow"))</f>
        <v>Average</v>
      </c>
      <c r="T1516" t="str">
        <f>IF(Table1[[#This Row],[Price2]]&lt;500000,"Affordable",IF(Table1[[#This Row],[Price2]]&lt;1000000,"Mid range","Luxury"))</f>
        <v>Mid range</v>
      </c>
    </row>
    <row r="1517" spans="1:20" x14ac:dyDescent="0.35">
      <c r="A1517" s="3">
        <v>824375</v>
      </c>
      <c r="B1517" s="2" t="s">
        <v>12</v>
      </c>
      <c r="C1517">
        <v>60417</v>
      </c>
      <c r="D1517" s="2" t="s">
        <v>18</v>
      </c>
      <c r="E1517">
        <v>5</v>
      </c>
      <c r="F1517">
        <v>3</v>
      </c>
      <c r="G1517" s="4">
        <f>VALUE(SUBSTITUTE(SUBSTITUTE(Table1[[#This Row],[Price]],"$",""),",",""))</f>
        <v>824375</v>
      </c>
      <c r="H1517" s="1">
        <f>Table1[[#This Row],[Price2]]/Table1[[#This Row],[Area]]</f>
        <v>361.56798245614033</v>
      </c>
      <c r="I1517">
        <v>2280</v>
      </c>
      <c r="J1517">
        <v>1979</v>
      </c>
      <c r="K1517">
        <v>27</v>
      </c>
      <c r="L1517" t="s">
        <v>14</v>
      </c>
      <c r="M1517" t="s">
        <v>1865</v>
      </c>
      <c r="N1517" s="2" t="s">
        <v>3031</v>
      </c>
      <c r="O1517" t="s">
        <v>3032</v>
      </c>
      <c r="P1517" t="s">
        <v>26</v>
      </c>
      <c r="Q1517">
        <v>361.56798245614033</v>
      </c>
      <c r="R1517">
        <f ca="1">YEAR(TODAY())-Table1[[#This Row],[Year Built]]</f>
        <v>47</v>
      </c>
      <c r="S1517" t="str">
        <f>IF(Table1[[#This Row],[Days on Market]] &lt; 30,"Fast",IF(Table1[[#This Row],[Days on Market]]&lt;= 90,"Average", "Slow"))</f>
        <v>Fast</v>
      </c>
      <c r="T1517" t="str">
        <f>IF(Table1[[#This Row],[Price2]]&lt;500000,"Affordable",IF(Table1[[#This Row],[Price2]]&lt;1000000,"Mid range","Luxury"))</f>
        <v>Mid range</v>
      </c>
    </row>
    <row r="1518" spans="1:20" x14ac:dyDescent="0.35">
      <c r="A1518" s="3">
        <v>824851</v>
      </c>
      <c r="B1518" s="2" t="s">
        <v>12</v>
      </c>
      <c r="C1518">
        <v>66109</v>
      </c>
      <c r="D1518" s="2" t="s">
        <v>18</v>
      </c>
      <c r="E1518">
        <v>3</v>
      </c>
      <c r="F1518">
        <v>4</v>
      </c>
      <c r="G1518" s="4">
        <f>VALUE(SUBSTITUTE(SUBSTITUTE(Table1[[#This Row],[Price]],"$",""),",",""))</f>
        <v>824851</v>
      </c>
      <c r="H1518" s="1">
        <f>Table1[[#This Row],[Price2]]/Table1[[#This Row],[Area]]</f>
        <v>321.45401402961807</v>
      </c>
      <c r="I1518">
        <v>2566</v>
      </c>
      <c r="J1518">
        <v>1968</v>
      </c>
      <c r="K1518">
        <v>59</v>
      </c>
      <c r="L1518" t="s">
        <v>14</v>
      </c>
      <c r="M1518" t="s">
        <v>2167</v>
      </c>
      <c r="N1518" s="2" t="s">
        <v>3029</v>
      </c>
      <c r="O1518" t="s">
        <v>3030</v>
      </c>
      <c r="P1518" t="s">
        <v>16</v>
      </c>
      <c r="Q1518">
        <v>321.45401402961807</v>
      </c>
      <c r="R1518">
        <f ca="1">YEAR(TODAY())-Table1[[#This Row],[Year Built]]</f>
        <v>58</v>
      </c>
      <c r="S1518" t="str">
        <f>IF(Table1[[#This Row],[Days on Market]] &lt; 30,"Fast",IF(Table1[[#This Row],[Days on Market]]&lt;= 90,"Average", "Slow"))</f>
        <v>Average</v>
      </c>
      <c r="T1518" t="str">
        <f>IF(Table1[[#This Row],[Price2]]&lt;500000,"Affordable",IF(Table1[[#This Row],[Price2]]&lt;1000000,"Mid range","Luxury"))</f>
        <v>Mid range</v>
      </c>
    </row>
    <row r="1519" spans="1:20" x14ac:dyDescent="0.35">
      <c r="A1519" s="3">
        <v>825032</v>
      </c>
      <c r="B1519" s="2" t="s">
        <v>34</v>
      </c>
      <c r="C1519">
        <v>41817</v>
      </c>
      <c r="D1519" s="2" t="s">
        <v>35</v>
      </c>
      <c r="E1519">
        <v>5</v>
      </c>
      <c r="F1519">
        <v>4</v>
      </c>
      <c r="G1519" s="4">
        <f>VALUE(SUBSTITUTE(SUBSTITUTE(Table1[[#This Row],[Price]],"$",""),",",""))</f>
        <v>825032</v>
      </c>
      <c r="H1519" s="1">
        <f>Table1[[#This Row],[Price2]]/Table1[[#This Row],[Area]]</f>
        <v>214.96404377279833</v>
      </c>
      <c r="I1519">
        <v>3838</v>
      </c>
      <c r="J1519">
        <v>1983</v>
      </c>
      <c r="K1519">
        <v>43</v>
      </c>
      <c r="L1519" t="s">
        <v>14</v>
      </c>
      <c r="M1519" t="s">
        <v>2271</v>
      </c>
      <c r="N1519" s="2" t="s">
        <v>3031</v>
      </c>
      <c r="O1519" t="s">
        <v>3032</v>
      </c>
      <c r="P1519" t="s">
        <v>21</v>
      </c>
      <c r="Q1519">
        <v>214.96404377279833</v>
      </c>
      <c r="R1519">
        <f ca="1">YEAR(TODAY())-Table1[[#This Row],[Year Built]]</f>
        <v>43</v>
      </c>
      <c r="S1519" t="str">
        <f>IF(Table1[[#This Row],[Days on Market]] &lt; 30,"Fast",IF(Table1[[#This Row],[Days on Market]]&lt;= 90,"Average", "Slow"))</f>
        <v>Average</v>
      </c>
      <c r="T1519" t="str">
        <f>IF(Table1[[#This Row],[Price2]]&lt;500000,"Affordable",IF(Table1[[#This Row],[Price2]]&lt;1000000,"Mid range","Luxury"))</f>
        <v>Mid range</v>
      </c>
    </row>
    <row r="1520" spans="1:20" x14ac:dyDescent="0.35">
      <c r="A1520" s="3">
        <v>825149</v>
      </c>
      <c r="B1520" s="2" t="s">
        <v>22</v>
      </c>
      <c r="C1520">
        <v>79684</v>
      </c>
      <c r="D1520" s="2" t="s">
        <v>29</v>
      </c>
      <c r="E1520">
        <v>6</v>
      </c>
      <c r="F1520">
        <v>3</v>
      </c>
      <c r="G1520" s="4">
        <f>VALUE(SUBSTITUTE(SUBSTITUTE(Table1[[#This Row],[Price]],"$",""),",",""))</f>
        <v>825149</v>
      </c>
      <c r="H1520" s="1">
        <f>Table1[[#This Row],[Price2]]/Table1[[#This Row],[Area]]</f>
        <v>556.78070175438597</v>
      </c>
      <c r="I1520">
        <v>1482</v>
      </c>
      <c r="J1520">
        <v>1952</v>
      </c>
      <c r="K1520">
        <v>63</v>
      </c>
      <c r="L1520" t="s">
        <v>14</v>
      </c>
      <c r="M1520" t="s">
        <v>327</v>
      </c>
      <c r="N1520" s="2" t="s">
        <v>3031</v>
      </c>
      <c r="O1520" t="s">
        <v>3032</v>
      </c>
      <c r="P1520" t="s">
        <v>16</v>
      </c>
      <c r="Q1520">
        <v>556.78070175438597</v>
      </c>
      <c r="R1520">
        <f ca="1">YEAR(TODAY())-Table1[[#This Row],[Year Built]]</f>
        <v>74</v>
      </c>
      <c r="S1520" t="str">
        <f>IF(Table1[[#This Row],[Days on Market]] &lt; 30,"Fast",IF(Table1[[#This Row],[Days on Market]]&lt;= 90,"Average", "Slow"))</f>
        <v>Average</v>
      </c>
      <c r="T1520" t="str">
        <f>IF(Table1[[#This Row],[Price2]]&lt;500000,"Affordable",IF(Table1[[#This Row],[Price2]]&lt;1000000,"Mid range","Luxury"))</f>
        <v>Mid range</v>
      </c>
    </row>
    <row r="1521" spans="1:20" x14ac:dyDescent="0.35">
      <c r="A1521" s="3">
        <v>825178</v>
      </c>
      <c r="B1521" s="2" t="s">
        <v>27</v>
      </c>
      <c r="C1521">
        <v>48570</v>
      </c>
      <c r="D1521" s="2" t="s">
        <v>23</v>
      </c>
      <c r="E1521">
        <v>5</v>
      </c>
      <c r="F1521">
        <v>4</v>
      </c>
      <c r="G1521" s="4">
        <f>VALUE(SUBSTITUTE(SUBSTITUTE(Table1[[#This Row],[Price]],"$",""),",",""))</f>
        <v>825178</v>
      </c>
      <c r="H1521" s="1">
        <f>Table1[[#This Row],[Price2]]/Table1[[#This Row],[Area]]</f>
        <v>626.55884586180719</v>
      </c>
      <c r="I1521">
        <v>1317</v>
      </c>
      <c r="J1521">
        <v>1976</v>
      </c>
      <c r="K1521">
        <v>31</v>
      </c>
      <c r="L1521" t="s">
        <v>19</v>
      </c>
      <c r="M1521" t="s">
        <v>857</v>
      </c>
      <c r="N1521" s="2" t="s">
        <v>3029</v>
      </c>
      <c r="O1521" t="s">
        <v>3030</v>
      </c>
      <c r="P1521" t="s">
        <v>26</v>
      </c>
      <c r="Q1521">
        <v>626.55884586180719</v>
      </c>
      <c r="R1521">
        <f ca="1">YEAR(TODAY())-Table1[[#This Row],[Year Built]]</f>
        <v>50</v>
      </c>
      <c r="S1521" t="str">
        <f>IF(Table1[[#This Row],[Days on Market]] &lt; 30,"Fast",IF(Table1[[#This Row],[Days on Market]]&lt;= 90,"Average", "Slow"))</f>
        <v>Average</v>
      </c>
      <c r="T1521" t="str">
        <f>IF(Table1[[#This Row],[Price2]]&lt;500000,"Affordable",IF(Table1[[#This Row],[Price2]]&lt;1000000,"Mid range","Luxury"))</f>
        <v>Mid range</v>
      </c>
    </row>
    <row r="1522" spans="1:20" x14ac:dyDescent="0.35">
      <c r="A1522" s="3">
        <v>825324</v>
      </c>
      <c r="B1522" s="2" t="s">
        <v>22</v>
      </c>
      <c r="C1522">
        <v>72726</v>
      </c>
      <c r="D1522" s="2" t="s">
        <v>18</v>
      </c>
      <c r="E1522">
        <v>3</v>
      </c>
      <c r="F1522">
        <v>3</v>
      </c>
      <c r="G1522" s="4">
        <f>VALUE(SUBSTITUTE(SUBSTITUTE(Table1[[#This Row],[Price]],"$",""),",",""))</f>
        <v>825324</v>
      </c>
      <c r="H1522" s="1">
        <f>Table1[[#This Row],[Price2]]/Table1[[#This Row],[Area]]</f>
        <v>416.19969742813919</v>
      </c>
      <c r="I1522">
        <v>1983</v>
      </c>
      <c r="J1522">
        <v>1992</v>
      </c>
      <c r="K1522">
        <v>92</v>
      </c>
      <c r="L1522" t="s">
        <v>40</v>
      </c>
      <c r="M1522" t="s">
        <v>666</v>
      </c>
      <c r="N1522" s="2" t="s">
        <v>3029</v>
      </c>
      <c r="O1522" t="s">
        <v>3030</v>
      </c>
      <c r="P1522" t="s">
        <v>16</v>
      </c>
      <c r="Q1522">
        <v>416.19969742813919</v>
      </c>
      <c r="R1522">
        <f ca="1">YEAR(TODAY())-Table1[[#This Row],[Year Built]]</f>
        <v>34</v>
      </c>
      <c r="S1522" t="str">
        <f>IF(Table1[[#This Row],[Days on Market]] &lt; 30,"Fast",IF(Table1[[#This Row],[Days on Market]]&lt;= 90,"Average", "Slow"))</f>
        <v>Slow</v>
      </c>
      <c r="T1522" t="str">
        <f>IF(Table1[[#This Row],[Price2]]&lt;500000,"Affordable",IF(Table1[[#This Row],[Price2]]&lt;1000000,"Mid range","Luxury"))</f>
        <v>Mid range</v>
      </c>
    </row>
    <row r="1523" spans="1:20" x14ac:dyDescent="0.35">
      <c r="A1523" s="3">
        <v>825806</v>
      </c>
      <c r="B1523" s="2" t="s">
        <v>22</v>
      </c>
      <c r="C1523">
        <v>78721</v>
      </c>
      <c r="D1523" s="2" t="s">
        <v>13</v>
      </c>
      <c r="E1523">
        <v>3</v>
      </c>
      <c r="F1523">
        <v>1</v>
      </c>
      <c r="G1523" s="4">
        <f>VALUE(SUBSTITUTE(SUBSTITUTE(Table1[[#This Row],[Price]],"$",""),",",""))</f>
        <v>825806</v>
      </c>
      <c r="H1523" s="1">
        <f>Table1[[#This Row],[Price2]]/Table1[[#This Row],[Area]]</f>
        <v>304.38849981570218</v>
      </c>
      <c r="I1523">
        <v>2713</v>
      </c>
      <c r="J1523">
        <v>1985</v>
      </c>
      <c r="K1523">
        <v>15</v>
      </c>
      <c r="L1523" t="s">
        <v>19</v>
      </c>
      <c r="M1523" t="s">
        <v>658</v>
      </c>
      <c r="N1523" s="2" t="s">
        <v>3033</v>
      </c>
      <c r="O1523" t="s">
        <v>3034</v>
      </c>
      <c r="P1523" t="s">
        <v>21</v>
      </c>
      <c r="Q1523">
        <v>304.38849981570218</v>
      </c>
      <c r="R1523">
        <f ca="1">YEAR(TODAY())-Table1[[#This Row],[Year Built]]</f>
        <v>41</v>
      </c>
      <c r="S1523" t="str">
        <f>IF(Table1[[#This Row],[Days on Market]] &lt; 30,"Fast",IF(Table1[[#This Row],[Days on Market]]&lt;= 90,"Average", "Slow"))</f>
        <v>Fast</v>
      </c>
      <c r="T1523" t="str">
        <f>IF(Table1[[#This Row],[Price2]]&lt;500000,"Affordable",IF(Table1[[#This Row],[Price2]]&lt;1000000,"Mid range","Luxury"))</f>
        <v>Mid range</v>
      </c>
    </row>
    <row r="1524" spans="1:20" x14ac:dyDescent="0.35">
      <c r="A1524" s="3">
        <v>827388</v>
      </c>
      <c r="B1524" s="2" t="s">
        <v>22</v>
      </c>
      <c r="C1524">
        <v>56988</v>
      </c>
      <c r="D1524" s="2" t="s">
        <v>29</v>
      </c>
      <c r="E1524">
        <v>6</v>
      </c>
      <c r="F1524">
        <v>3</v>
      </c>
      <c r="G1524" s="4">
        <f>VALUE(SUBSTITUTE(SUBSTITUTE(Table1[[#This Row],[Price]],"$",""),",",""))</f>
        <v>827388</v>
      </c>
      <c r="H1524" s="1">
        <f>Table1[[#This Row],[Price2]]/Table1[[#This Row],[Area]]</f>
        <v>218.59656538969617</v>
      </c>
      <c r="I1524">
        <v>3785</v>
      </c>
      <c r="J1524">
        <v>2006</v>
      </c>
      <c r="K1524">
        <v>53</v>
      </c>
      <c r="L1524" t="s">
        <v>52</v>
      </c>
      <c r="M1524" t="s">
        <v>1692</v>
      </c>
      <c r="N1524" s="2" t="s">
        <v>3033</v>
      </c>
      <c r="O1524" t="s">
        <v>3034</v>
      </c>
      <c r="P1524" t="s">
        <v>26</v>
      </c>
      <c r="Q1524">
        <v>218.59656538969617</v>
      </c>
      <c r="R1524">
        <f ca="1">YEAR(TODAY())-Table1[[#This Row],[Year Built]]</f>
        <v>20</v>
      </c>
      <c r="S1524" t="str">
        <f>IF(Table1[[#This Row],[Days on Market]] &lt; 30,"Fast",IF(Table1[[#This Row],[Days on Market]]&lt;= 90,"Average", "Slow"))</f>
        <v>Average</v>
      </c>
      <c r="T1524" t="str">
        <f>IF(Table1[[#This Row],[Price2]]&lt;500000,"Affordable",IF(Table1[[#This Row],[Price2]]&lt;1000000,"Mid range","Luxury"))</f>
        <v>Mid range</v>
      </c>
    </row>
    <row r="1525" spans="1:20" x14ac:dyDescent="0.35">
      <c r="A1525" s="3">
        <v>827893</v>
      </c>
      <c r="B1525" s="2" t="s">
        <v>22</v>
      </c>
      <c r="C1525">
        <v>28407</v>
      </c>
      <c r="D1525" s="2" t="s">
        <v>23</v>
      </c>
      <c r="E1525">
        <v>1</v>
      </c>
      <c r="F1525">
        <v>4</v>
      </c>
      <c r="G1525" s="4">
        <f>VALUE(SUBSTITUTE(SUBSTITUTE(Table1[[#This Row],[Price]],"$",""),",",""))</f>
        <v>827893</v>
      </c>
      <c r="H1525" s="1">
        <f>Table1[[#This Row],[Price2]]/Table1[[#This Row],[Area]]</f>
        <v>294.30963384287236</v>
      </c>
      <c r="I1525">
        <v>2813</v>
      </c>
      <c r="J1525">
        <v>2022</v>
      </c>
      <c r="K1525">
        <v>15</v>
      </c>
      <c r="L1525" t="s">
        <v>52</v>
      </c>
      <c r="M1525" t="s">
        <v>646</v>
      </c>
      <c r="N1525" s="2" t="s">
        <v>3033</v>
      </c>
      <c r="O1525" t="s">
        <v>3034</v>
      </c>
      <c r="P1525" t="s">
        <v>16</v>
      </c>
      <c r="Q1525">
        <v>294.30963384287236</v>
      </c>
      <c r="R1525">
        <f ca="1">YEAR(TODAY())-Table1[[#This Row],[Year Built]]</f>
        <v>4</v>
      </c>
      <c r="S1525" t="str">
        <f>IF(Table1[[#This Row],[Days on Market]] &lt; 30,"Fast",IF(Table1[[#This Row],[Days on Market]]&lt;= 90,"Average", "Slow"))</f>
        <v>Fast</v>
      </c>
      <c r="T1525" t="str">
        <f>IF(Table1[[#This Row],[Price2]]&lt;500000,"Affordable",IF(Table1[[#This Row],[Price2]]&lt;1000000,"Mid range","Luxury"))</f>
        <v>Mid range</v>
      </c>
    </row>
    <row r="1526" spans="1:20" x14ac:dyDescent="0.35">
      <c r="A1526" s="3">
        <v>828082</v>
      </c>
      <c r="B1526" s="2" t="s">
        <v>12</v>
      </c>
      <c r="C1526">
        <v>19844</v>
      </c>
      <c r="D1526" s="2" t="s">
        <v>23</v>
      </c>
      <c r="E1526">
        <v>4</v>
      </c>
      <c r="F1526">
        <v>1</v>
      </c>
      <c r="G1526" s="4">
        <f>VALUE(SUBSTITUTE(SUBSTITUTE(Table1[[#This Row],[Price]],"$",""),",",""))</f>
        <v>828082</v>
      </c>
      <c r="H1526" s="1">
        <f>Table1[[#This Row],[Price2]]/Table1[[#This Row],[Area]]</f>
        <v>472.64954337899542</v>
      </c>
      <c r="I1526">
        <v>1752</v>
      </c>
      <c r="J1526">
        <v>2007</v>
      </c>
      <c r="K1526">
        <v>78</v>
      </c>
      <c r="L1526" t="s">
        <v>19</v>
      </c>
      <c r="M1526" t="s">
        <v>1275</v>
      </c>
      <c r="N1526" s="2" t="s">
        <v>3029</v>
      </c>
      <c r="O1526" t="s">
        <v>3030</v>
      </c>
      <c r="P1526" t="s">
        <v>26</v>
      </c>
      <c r="Q1526">
        <v>472.64954337899542</v>
      </c>
      <c r="R1526">
        <f ca="1">YEAR(TODAY())-Table1[[#This Row],[Year Built]]</f>
        <v>19</v>
      </c>
      <c r="S1526" t="str">
        <f>IF(Table1[[#This Row],[Days on Market]] &lt; 30,"Fast",IF(Table1[[#This Row],[Days on Market]]&lt;= 90,"Average", "Slow"))</f>
        <v>Average</v>
      </c>
      <c r="T1526" t="str">
        <f>IF(Table1[[#This Row],[Price2]]&lt;500000,"Affordable",IF(Table1[[#This Row],[Price2]]&lt;1000000,"Mid range","Luxury"))</f>
        <v>Mid range</v>
      </c>
    </row>
    <row r="1527" spans="1:20" x14ac:dyDescent="0.35">
      <c r="A1527" s="3">
        <v>829817</v>
      </c>
      <c r="B1527" s="2" t="s">
        <v>34</v>
      </c>
      <c r="C1527">
        <v>74559</v>
      </c>
      <c r="D1527" s="2" t="s">
        <v>23</v>
      </c>
      <c r="E1527">
        <v>1</v>
      </c>
      <c r="F1527">
        <v>2</v>
      </c>
      <c r="G1527" s="4">
        <f>VALUE(SUBSTITUTE(SUBSTITUTE(Table1[[#This Row],[Price]],"$",""),",",""))</f>
        <v>829817</v>
      </c>
      <c r="H1527" s="1">
        <f>Table1[[#This Row],[Price2]]/Table1[[#This Row],[Area]]</f>
        <v>217.68546694648478</v>
      </c>
      <c r="I1527">
        <v>3812</v>
      </c>
      <c r="J1527">
        <v>1963</v>
      </c>
      <c r="K1527">
        <v>120</v>
      </c>
      <c r="L1527" t="s">
        <v>19</v>
      </c>
      <c r="M1527" t="s">
        <v>1820</v>
      </c>
      <c r="N1527" s="2" t="s">
        <v>3035</v>
      </c>
      <c r="O1527" t="s">
        <v>3036</v>
      </c>
      <c r="P1527" t="s">
        <v>16</v>
      </c>
      <c r="Q1527">
        <v>217.68546694648478</v>
      </c>
      <c r="R1527">
        <f ca="1">YEAR(TODAY())-Table1[[#This Row],[Year Built]]</f>
        <v>63</v>
      </c>
      <c r="S1527" t="str">
        <f>IF(Table1[[#This Row],[Days on Market]] &lt; 30,"Fast",IF(Table1[[#This Row],[Days on Market]]&lt;= 90,"Average", "Slow"))</f>
        <v>Slow</v>
      </c>
      <c r="T1527" t="str">
        <f>IF(Table1[[#This Row],[Price2]]&lt;500000,"Affordable",IF(Table1[[#This Row],[Price2]]&lt;1000000,"Mid range","Luxury"))</f>
        <v>Mid range</v>
      </c>
    </row>
    <row r="1528" spans="1:20" x14ac:dyDescent="0.35">
      <c r="A1528" s="3">
        <v>830496</v>
      </c>
      <c r="B1528" s="2" t="s">
        <v>17</v>
      </c>
      <c r="C1528">
        <v>98607</v>
      </c>
      <c r="D1528" s="2" t="s">
        <v>35</v>
      </c>
      <c r="E1528">
        <v>4</v>
      </c>
      <c r="F1528">
        <v>3</v>
      </c>
      <c r="G1528" s="4">
        <f>VALUE(SUBSTITUTE(SUBSTITUTE(Table1[[#This Row],[Price]],"$",""),",",""))</f>
        <v>830496</v>
      </c>
      <c r="H1528" s="1">
        <f>Table1[[#This Row],[Price2]]/Table1[[#This Row],[Area]]</f>
        <v>415.04047976011992</v>
      </c>
      <c r="I1528">
        <v>2001</v>
      </c>
      <c r="J1528">
        <v>1977</v>
      </c>
      <c r="K1528">
        <v>96</v>
      </c>
      <c r="L1528" t="s">
        <v>19</v>
      </c>
      <c r="M1528" t="s">
        <v>2822</v>
      </c>
      <c r="N1528" s="2" t="s">
        <v>3035</v>
      </c>
      <c r="O1528" t="s">
        <v>3036</v>
      </c>
      <c r="P1528" t="s">
        <v>21</v>
      </c>
      <c r="Q1528">
        <v>415.04047976011992</v>
      </c>
      <c r="R1528">
        <f ca="1">YEAR(TODAY())-Table1[[#This Row],[Year Built]]</f>
        <v>49</v>
      </c>
      <c r="S1528" t="str">
        <f>IF(Table1[[#This Row],[Days on Market]] &lt; 30,"Fast",IF(Table1[[#This Row],[Days on Market]]&lt;= 90,"Average", "Slow"))</f>
        <v>Slow</v>
      </c>
      <c r="T1528" t="str">
        <f>IF(Table1[[#This Row],[Price2]]&lt;500000,"Affordable",IF(Table1[[#This Row],[Price2]]&lt;1000000,"Mid range","Luxury"))</f>
        <v>Mid range</v>
      </c>
    </row>
    <row r="1529" spans="1:20" x14ac:dyDescent="0.35">
      <c r="A1529" s="3">
        <v>830727</v>
      </c>
      <c r="B1529" s="2" t="s">
        <v>34</v>
      </c>
      <c r="C1529">
        <v>49783</v>
      </c>
      <c r="D1529" s="2" t="s">
        <v>35</v>
      </c>
      <c r="E1529">
        <v>3</v>
      </c>
      <c r="F1529">
        <v>4</v>
      </c>
      <c r="G1529" s="4">
        <f>VALUE(SUBSTITUTE(SUBSTITUTE(Table1[[#This Row],[Price]],"$",""),",",""))</f>
        <v>830727</v>
      </c>
      <c r="H1529" s="1">
        <f>Table1[[#This Row],[Price2]]/Table1[[#This Row],[Area]]</f>
        <v>1024.3242909987669</v>
      </c>
      <c r="I1529">
        <v>811</v>
      </c>
      <c r="J1529">
        <v>1956</v>
      </c>
      <c r="K1529">
        <v>97</v>
      </c>
      <c r="L1529" t="s">
        <v>52</v>
      </c>
      <c r="M1529" t="s">
        <v>1936</v>
      </c>
      <c r="N1529" s="2" t="s">
        <v>3027</v>
      </c>
      <c r="O1529" t="s">
        <v>3028</v>
      </c>
      <c r="P1529" t="s">
        <v>16</v>
      </c>
      <c r="Q1529">
        <v>1024.3242909987669</v>
      </c>
      <c r="R1529">
        <f ca="1">YEAR(TODAY())-Table1[[#This Row],[Year Built]]</f>
        <v>70</v>
      </c>
      <c r="S1529" t="str">
        <f>IF(Table1[[#This Row],[Days on Market]] &lt; 30,"Fast",IF(Table1[[#This Row],[Days on Market]]&lt;= 90,"Average", "Slow"))</f>
        <v>Slow</v>
      </c>
      <c r="T1529" t="str">
        <f>IF(Table1[[#This Row],[Price2]]&lt;500000,"Affordable",IF(Table1[[#This Row],[Price2]]&lt;1000000,"Mid range","Luxury"))</f>
        <v>Mid range</v>
      </c>
    </row>
    <row r="1530" spans="1:20" x14ac:dyDescent="0.35">
      <c r="A1530" s="3">
        <v>830918</v>
      </c>
      <c r="B1530" s="2" t="s">
        <v>27</v>
      </c>
      <c r="C1530">
        <v>68268</v>
      </c>
      <c r="D1530" s="2" t="s">
        <v>29</v>
      </c>
      <c r="E1530">
        <v>3</v>
      </c>
      <c r="F1530">
        <v>3</v>
      </c>
      <c r="G1530" s="4">
        <f>VALUE(SUBSTITUTE(SUBSTITUTE(Table1[[#This Row],[Price]],"$",""),",",""))</f>
        <v>830918</v>
      </c>
      <c r="H1530" s="1">
        <f>Table1[[#This Row],[Price2]]/Table1[[#This Row],[Area]]</f>
        <v>596.92385057471267</v>
      </c>
      <c r="I1530">
        <v>1392</v>
      </c>
      <c r="J1530">
        <v>1997</v>
      </c>
      <c r="K1530">
        <v>68</v>
      </c>
      <c r="L1530" t="s">
        <v>14</v>
      </c>
      <c r="M1530" t="s">
        <v>309</v>
      </c>
      <c r="N1530" s="2" t="s">
        <v>3027</v>
      </c>
      <c r="O1530" t="s">
        <v>3028</v>
      </c>
      <c r="P1530" t="s">
        <v>21</v>
      </c>
      <c r="Q1530">
        <v>596.92385057471267</v>
      </c>
      <c r="R1530">
        <f ca="1">YEAR(TODAY())-Table1[[#This Row],[Year Built]]</f>
        <v>29</v>
      </c>
      <c r="S1530" t="str">
        <f>IF(Table1[[#This Row],[Days on Market]] &lt; 30,"Fast",IF(Table1[[#This Row],[Days on Market]]&lt;= 90,"Average", "Slow"))</f>
        <v>Average</v>
      </c>
      <c r="T1530" t="str">
        <f>IF(Table1[[#This Row],[Price2]]&lt;500000,"Affordable",IF(Table1[[#This Row],[Price2]]&lt;1000000,"Mid range","Luxury"))</f>
        <v>Mid range</v>
      </c>
    </row>
    <row r="1531" spans="1:20" x14ac:dyDescent="0.35">
      <c r="A1531" s="3">
        <v>831403</v>
      </c>
      <c r="B1531" s="2" t="s">
        <v>27</v>
      </c>
      <c r="C1531">
        <v>10580</v>
      </c>
      <c r="D1531" s="2" t="s">
        <v>29</v>
      </c>
      <c r="E1531">
        <v>5</v>
      </c>
      <c r="F1531">
        <v>3</v>
      </c>
      <c r="G1531" s="4">
        <f>VALUE(SUBSTITUTE(SUBSTITUTE(Table1[[#This Row],[Price]],"$",""),",",""))</f>
        <v>831403</v>
      </c>
      <c r="H1531" s="1">
        <f>Table1[[#This Row],[Price2]]/Table1[[#This Row],[Area]]</f>
        <v>1315.5110759493671</v>
      </c>
      <c r="I1531">
        <v>632</v>
      </c>
      <c r="J1531">
        <v>2010</v>
      </c>
      <c r="K1531">
        <v>89</v>
      </c>
      <c r="L1531" t="s">
        <v>19</v>
      </c>
      <c r="M1531" t="s">
        <v>1855</v>
      </c>
      <c r="N1531" s="2" t="s">
        <v>3029</v>
      </c>
      <c r="O1531" t="s">
        <v>3030</v>
      </c>
      <c r="P1531" t="s">
        <v>16</v>
      </c>
      <c r="Q1531">
        <v>1315.5110759493671</v>
      </c>
      <c r="R1531">
        <f ca="1">YEAR(TODAY())-Table1[[#This Row],[Year Built]]</f>
        <v>16</v>
      </c>
      <c r="S1531" t="str">
        <f>IF(Table1[[#This Row],[Days on Market]] &lt; 30,"Fast",IF(Table1[[#This Row],[Days on Market]]&lt;= 90,"Average", "Slow"))</f>
        <v>Average</v>
      </c>
      <c r="T1531" t="str">
        <f>IF(Table1[[#This Row],[Price2]]&lt;500000,"Affordable",IF(Table1[[#This Row],[Price2]]&lt;1000000,"Mid range","Luxury"))</f>
        <v>Mid range</v>
      </c>
    </row>
    <row r="1532" spans="1:20" x14ac:dyDescent="0.35">
      <c r="A1532" s="3">
        <v>831489</v>
      </c>
      <c r="B1532" s="2" t="s">
        <v>27</v>
      </c>
      <c r="C1532">
        <v>81107</v>
      </c>
      <c r="D1532" s="2" t="s">
        <v>13</v>
      </c>
      <c r="E1532">
        <v>2</v>
      </c>
      <c r="F1532">
        <v>3</v>
      </c>
      <c r="G1532" s="4">
        <f>VALUE(SUBSTITUTE(SUBSTITUTE(Table1[[#This Row],[Price]],"$",""),",",""))</f>
        <v>831489</v>
      </c>
      <c r="H1532" s="1">
        <f>Table1[[#This Row],[Price2]]/Table1[[#This Row],[Area]]</f>
        <v>338.83007334963327</v>
      </c>
      <c r="I1532">
        <v>2454</v>
      </c>
      <c r="J1532">
        <v>1992</v>
      </c>
      <c r="K1532">
        <v>3</v>
      </c>
      <c r="L1532" t="s">
        <v>40</v>
      </c>
      <c r="M1532" t="s">
        <v>1943</v>
      </c>
      <c r="N1532" s="2" t="s">
        <v>3027</v>
      </c>
      <c r="O1532" t="s">
        <v>3028</v>
      </c>
      <c r="P1532" t="s">
        <v>26</v>
      </c>
      <c r="Q1532">
        <v>338.83007334963327</v>
      </c>
      <c r="R1532">
        <f ca="1">YEAR(TODAY())-Table1[[#This Row],[Year Built]]</f>
        <v>34</v>
      </c>
      <c r="S1532" t="str">
        <f>IF(Table1[[#This Row],[Days on Market]] &lt; 30,"Fast",IF(Table1[[#This Row],[Days on Market]]&lt;= 90,"Average", "Slow"))</f>
        <v>Fast</v>
      </c>
      <c r="T1532" t="str">
        <f>IF(Table1[[#This Row],[Price2]]&lt;500000,"Affordable",IF(Table1[[#This Row],[Price2]]&lt;1000000,"Mid range","Luxury"))</f>
        <v>Mid range</v>
      </c>
    </row>
    <row r="1533" spans="1:20" x14ac:dyDescent="0.35">
      <c r="A1533" s="3">
        <v>831525</v>
      </c>
      <c r="B1533" s="2" t="s">
        <v>22</v>
      </c>
      <c r="C1533">
        <v>45375</v>
      </c>
      <c r="D1533" s="2" t="s">
        <v>13</v>
      </c>
      <c r="E1533">
        <v>4</v>
      </c>
      <c r="F1533">
        <v>3</v>
      </c>
      <c r="G1533" s="4">
        <f>VALUE(SUBSTITUTE(SUBSTITUTE(Table1[[#This Row],[Price]],"$",""),",",""))</f>
        <v>831525</v>
      </c>
      <c r="H1533" s="1">
        <f>Table1[[#This Row],[Price2]]/Table1[[#This Row],[Area]]</f>
        <v>713.75536480686696</v>
      </c>
      <c r="I1533">
        <v>1165</v>
      </c>
      <c r="J1533">
        <v>1954</v>
      </c>
      <c r="K1533">
        <v>57</v>
      </c>
      <c r="L1533" t="s">
        <v>14</v>
      </c>
      <c r="M1533" t="s">
        <v>57</v>
      </c>
      <c r="N1533" s="2" t="s">
        <v>3027</v>
      </c>
      <c r="O1533" t="s">
        <v>3028</v>
      </c>
      <c r="P1533" t="s">
        <v>16</v>
      </c>
      <c r="Q1533">
        <v>713.75536480686696</v>
      </c>
      <c r="R1533">
        <f ca="1">YEAR(TODAY())-Table1[[#This Row],[Year Built]]</f>
        <v>72</v>
      </c>
      <c r="S1533" t="str">
        <f>IF(Table1[[#This Row],[Days on Market]] &lt; 30,"Fast",IF(Table1[[#This Row],[Days on Market]]&lt;= 90,"Average", "Slow"))</f>
        <v>Average</v>
      </c>
      <c r="T1533" t="str">
        <f>IF(Table1[[#This Row],[Price2]]&lt;500000,"Affordable",IF(Table1[[#This Row],[Price2]]&lt;1000000,"Mid range","Luxury"))</f>
        <v>Mid range</v>
      </c>
    </row>
    <row r="1534" spans="1:20" x14ac:dyDescent="0.35">
      <c r="A1534" s="3">
        <v>831611</v>
      </c>
      <c r="B1534" s="2" t="s">
        <v>27</v>
      </c>
      <c r="C1534">
        <v>59917</v>
      </c>
      <c r="D1534" s="2" t="s">
        <v>29</v>
      </c>
      <c r="E1534">
        <v>5</v>
      </c>
      <c r="F1534">
        <v>1</v>
      </c>
      <c r="G1534" s="4">
        <f>VALUE(SUBSTITUTE(SUBSTITUTE(Table1[[#This Row],[Price]],"$",""),",",""))</f>
        <v>831611</v>
      </c>
      <c r="H1534" s="1">
        <f>Table1[[#This Row],[Price2]]/Table1[[#This Row],[Area]]</f>
        <v>241.11655552334011</v>
      </c>
      <c r="I1534">
        <v>3449</v>
      </c>
      <c r="J1534">
        <v>1981</v>
      </c>
      <c r="K1534">
        <v>94</v>
      </c>
      <c r="L1534" t="s">
        <v>14</v>
      </c>
      <c r="M1534" t="s">
        <v>2610</v>
      </c>
      <c r="N1534" s="2" t="s">
        <v>3031</v>
      </c>
      <c r="O1534" t="s">
        <v>3032</v>
      </c>
      <c r="P1534" t="s">
        <v>26</v>
      </c>
      <c r="Q1534">
        <v>241.11655552334011</v>
      </c>
      <c r="R1534">
        <f ca="1">YEAR(TODAY())-Table1[[#This Row],[Year Built]]</f>
        <v>45</v>
      </c>
      <c r="S1534" t="str">
        <f>IF(Table1[[#This Row],[Days on Market]] &lt; 30,"Fast",IF(Table1[[#This Row],[Days on Market]]&lt;= 90,"Average", "Slow"))</f>
        <v>Slow</v>
      </c>
      <c r="T1534" t="str">
        <f>IF(Table1[[#This Row],[Price2]]&lt;500000,"Affordable",IF(Table1[[#This Row],[Price2]]&lt;1000000,"Mid range","Luxury"))</f>
        <v>Mid range</v>
      </c>
    </row>
    <row r="1535" spans="1:20" x14ac:dyDescent="0.35">
      <c r="A1535" s="3">
        <v>832115</v>
      </c>
      <c r="B1535" s="2" t="s">
        <v>22</v>
      </c>
      <c r="C1535">
        <v>51205</v>
      </c>
      <c r="D1535" s="2" t="s">
        <v>23</v>
      </c>
      <c r="E1535">
        <v>3</v>
      </c>
      <c r="F1535">
        <v>1</v>
      </c>
      <c r="G1535" s="4">
        <f>VALUE(SUBSTITUTE(SUBSTITUTE(Table1[[#This Row],[Price]],"$",""),",",""))</f>
        <v>832115</v>
      </c>
      <c r="H1535" s="1">
        <f>Table1[[#This Row],[Price2]]/Table1[[#This Row],[Area]]</f>
        <v>268.16467934257173</v>
      </c>
      <c r="I1535">
        <v>3103</v>
      </c>
      <c r="J1535">
        <v>2016</v>
      </c>
      <c r="K1535">
        <v>75</v>
      </c>
      <c r="L1535" t="s">
        <v>52</v>
      </c>
      <c r="M1535" t="s">
        <v>267</v>
      </c>
      <c r="N1535" s="2" t="s">
        <v>3035</v>
      </c>
      <c r="O1535" t="s">
        <v>3036</v>
      </c>
      <c r="P1535" t="s">
        <v>26</v>
      </c>
      <c r="Q1535">
        <v>268.16467934257173</v>
      </c>
      <c r="R1535">
        <f ca="1">YEAR(TODAY())-Table1[[#This Row],[Year Built]]</f>
        <v>10</v>
      </c>
      <c r="S1535" t="str">
        <f>IF(Table1[[#This Row],[Days on Market]] &lt; 30,"Fast",IF(Table1[[#This Row],[Days on Market]]&lt;= 90,"Average", "Slow"))</f>
        <v>Average</v>
      </c>
      <c r="T1535" t="str">
        <f>IF(Table1[[#This Row],[Price2]]&lt;500000,"Affordable",IF(Table1[[#This Row],[Price2]]&lt;1000000,"Mid range","Luxury"))</f>
        <v>Mid range</v>
      </c>
    </row>
    <row r="1536" spans="1:20" x14ac:dyDescent="0.35">
      <c r="A1536" s="3">
        <v>833057</v>
      </c>
      <c r="B1536" s="2" t="s">
        <v>17</v>
      </c>
      <c r="C1536">
        <v>88534</v>
      </c>
      <c r="D1536" s="2" t="s">
        <v>23</v>
      </c>
      <c r="E1536">
        <v>1</v>
      </c>
      <c r="F1536">
        <v>1</v>
      </c>
      <c r="G1536" s="4">
        <f>VALUE(SUBSTITUTE(SUBSTITUTE(Table1[[#This Row],[Price]],"$",""),",",""))</f>
        <v>833057</v>
      </c>
      <c r="H1536" s="1">
        <f>Table1[[#This Row],[Price2]]/Table1[[#This Row],[Area]]</f>
        <v>1074.9122580645162</v>
      </c>
      <c r="I1536">
        <v>775</v>
      </c>
      <c r="J1536">
        <v>1999</v>
      </c>
      <c r="K1536">
        <v>17</v>
      </c>
      <c r="L1536" t="s">
        <v>30</v>
      </c>
      <c r="M1536" t="s">
        <v>2312</v>
      </c>
      <c r="N1536" s="2" t="s">
        <v>3033</v>
      </c>
      <c r="O1536" t="s">
        <v>3034</v>
      </c>
      <c r="P1536" t="s">
        <v>26</v>
      </c>
      <c r="Q1536">
        <v>1074.9122580645162</v>
      </c>
      <c r="R1536">
        <f ca="1">YEAR(TODAY())-Table1[[#This Row],[Year Built]]</f>
        <v>27</v>
      </c>
      <c r="S1536" t="str">
        <f>IF(Table1[[#This Row],[Days on Market]] &lt; 30,"Fast",IF(Table1[[#This Row],[Days on Market]]&lt;= 90,"Average", "Slow"))</f>
        <v>Fast</v>
      </c>
      <c r="T1536" t="str">
        <f>IF(Table1[[#This Row],[Price2]]&lt;500000,"Affordable",IF(Table1[[#This Row],[Price2]]&lt;1000000,"Mid range","Luxury"))</f>
        <v>Mid range</v>
      </c>
    </row>
    <row r="1537" spans="1:20" x14ac:dyDescent="0.35">
      <c r="A1537" s="3">
        <v>833347</v>
      </c>
      <c r="B1537" s="2" t="s">
        <v>12</v>
      </c>
      <c r="C1537">
        <v>87642</v>
      </c>
      <c r="D1537" s="2" t="s">
        <v>23</v>
      </c>
      <c r="E1537">
        <v>4</v>
      </c>
      <c r="F1537">
        <v>4</v>
      </c>
      <c r="G1537" s="4">
        <f>VALUE(SUBSTITUTE(SUBSTITUTE(Table1[[#This Row],[Price]],"$",""),",",""))</f>
        <v>833347</v>
      </c>
      <c r="H1537" s="1">
        <f>Table1[[#This Row],[Price2]]/Table1[[#This Row],[Area]]</f>
        <v>312.23192206819033</v>
      </c>
      <c r="I1537">
        <v>2669</v>
      </c>
      <c r="J1537">
        <v>1958</v>
      </c>
      <c r="K1537">
        <v>40</v>
      </c>
      <c r="L1537" t="s">
        <v>30</v>
      </c>
      <c r="M1537" t="s">
        <v>132</v>
      </c>
      <c r="N1537" s="2" t="s">
        <v>3035</v>
      </c>
      <c r="O1537" t="s">
        <v>3036</v>
      </c>
      <c r="P1537" t="s">
        <v>21</v>
      </c>
      <c r="Q1537">
        <v>312.23192206819033</v>
      </c>
      <c r="R1537">
        <f ca="1">YEAR(TODAY())-Table1[[#This Row],[Year Built]]</f>
        <v>68</v>
      </c>
      <c r="S1537" t="str">
        <f>IF(Table1[[#This Row],[Days on Market]] &lt; 30,"Fast",IF(Table1[[#This Row],[Days on Market]]&lt;= 90,"Average", "Slow"))</f>
        <v>Average</v>
      </c>
      <c r="T1537" t="str">
        <f>IF(Table1[[#This Row],[Price2]]&lt;500000,"Affordable",IF(Table1[[#This Row],[Price2]]&lt;1000000,"Mid range","Luxury"))</f>
        <v>Mid range</v>
      </c>
    </row>
    <row r="1538" spans="1:20" x14ac:dyDescent="0.35">
      <c r="A1538" s="3">
        <v>833490</v>
      </c>
      <c r="B1538" s="2" t="s">
        <v>22</v>
      </c>
      <c r="C1538">
        <v>47481</v>
      </c>
      <c r="D1538" s="2" t="s">
        <v>13</v>
      </c>
      <c r="E1538">
        <v>5</v>
      </c>
      <c r="F1538">
        <v>1</v>
      </c>
      <c r="G1538" s="4">
        <f>VALUE(SUBSTITUTE(SUBSTITUTE(Table1[[#This Row],[Price]],"$",""),",",""))</f>
        <v>833490</v>
      </c>
      <c r="H1538" s="1">
        <f>Table1[[#This Row],[Price2]]/Table1[[#This Row],[Area]]</f>
        <v>304.86100950987566</v>
      </c>
      <c r="I1538">
        <v>2734</v>
      </c>
      <c r="J1538">
        <v>1998</v>
      </c>
      <c r="K1538">
        <v>82</v>
      </c>
      <c r="L1538" t="s">
        <v>52</v>
      </c>
      <c r="M1538" t="s">
        <v>2724</v>
      </c>
      <c r="N1538" s="2" t="s">
        <v>3029</v>
      </c>
      <c r="O1538" t="s">
        <v>3030</v>
      </c>
      <c r="P1538" t="s">
        <v>26</v>
      </c>
      <c r="Q1538">
        <v>304.86100950987566</v>
      </c>
      <c r="R1538">
        <f ca="1">YEAR(TODAY())-Table1[[#This Row],[Year Built]]</f>
        <v>28</v>
      </c>
      <c r="S1538" t="str">
        <f>IF(Table1[[#This Row],[Days on Market]] &lt; 30,"Fast",IF(Table1[[#This Row],[Days on Market]]&lt;= 90,"Average", "Slow"))</f>
        <v>Average</v>
      </c>
      <c r="T1538" t="str">
        <f>IF(Table1[[#This Row],[Price2]]&lt;500000,"Affordable",IF(Table1[[#This Row],[Price2]]&lt;1000000,"Mid range","Luxury"))</f>
        <v>Mid range</v>
      </c>
    </row>
    <row r="1539" spans="1:20" x14ac:dyDescent="0.35">
      <c r="A1539" s="3">
        <v>834757</v>
      </c>
      <c r="B1539" s="2" t="s">
        <v>34</v>
      </c>
      <c r="C1539">
        <v>16939</v>
      </c>
      <c r="D1539" s="2" t="s">
        <v>29</v>
      </c>
      <c r="E1539">
        <v>2</v>
      </c>
      <c r="F1539">
        <v>4</v>
      </c>
      <c r="G1539" s="4">
        <f>VALUE(SUBSTITUTE(SUBSTITUTE(Table1[[#This Row],[Price]],"$",""),",",""))</f>
        <v>834757</v>
      </c>
      <c r="H1539" s="1">
        <f>Table1[[#This Row],[Price2]]/Table1[[#This Row],[Area]]</f>
        <v>275.40646651270208</v>
      </c>
      <c r="I1539">
        <v>3031</v>
      </c>
      <c r="J1539">
        <v>1974</v>
      </c>
      <c r="K1539">
        <v>102</v>
      </c>
      <c r="L1539" t="s">
        <v>40</v>
      </c>
      <c r="M1539" t="s">
        <v>1288</v>
      </c>
      <c r="N1539" s="2" t="s">
        <v>3035</v>
      </c>
      <c r="O1539" t="s">
        <v>3036</v>
      </c>
      <c r="P1539" t="s">
        <v>21</v>
      </c>
      <c r="Q1539">
        <v>275.40646651270208</v>
      </c>
      <c r="R1539">
        <f ca="1">YEAR(TODAY())-Table1[[#This Row],[Year Built]]</f>
        <v>52</v>
      </c>
      <c r="S1539" t="str">
        <f>IF(Table1[[#This Row],[Days on Market]] &lt; 30,"Fast",IF(Table1[[#This Row],[Days on Market]]&lt;= 90,"Average", "Slow"))</f>
        <v>Slow</v>
      </c>
      <c r="T1539" t="str">
        <f>IF(Table1[[#This Row],[Price2]]&lt;500000,"Affordable",IF(Table1[[#This Row],[Price2]]&lt;1000000,"Mid range","Luxury"))</f>
        <v>Mid range</v>
      </c>
    </row>
    <row r="1540" spans="1:20" x14ac:dyDescent="0.35">
      <c r="A1540" s="3">
        <v>835365</v>
      </c>
      <c r="B1540" s="2" t="s">
        <v>17</v>
      </c>
      <c r="C1540">
        <v>19990</v>
      </c>
      <c r="D1540" s="2" t="s">
        <v>18</v>
      </c>
      <c r="E1540">
        <v>4</v>
      </c>
      <c r="F1540">
        <v>1</v>
      </c>
      <c r="G1540" s="4">
        <f>VALUE(SUBSTITUTE(SUBSTITUTE(Table1[[#This Row],[Price]],"$",""),",",""))</f>
        <v>835365</v>
      </c>
      <c r="H1540" s="1">
        <f>Table1[[#This Row],[Price2]]/Table1[[#This Row],[Area]]</f>
        <v>892.48397435897436</v>
      </c>
      <c r="I1540">
        <v>936</v>
      </c>
      <c r="J1540">
        <v>1996</v>
      </c>
      <c r="K1540">
        <v>77</v>
      </c>
      <c r="L1540" t="s">
        <v>40</v>
      </c>
      <c r="M1540" t="s">
        <v>2235</v>
      </c>
      <c r="N1540" s="2" t="s">
        <v>3031</v>
      </c>
      <c r="O1540" t="s">
        <v>3032</v>
      </c>
      <c r="P1540" t="s">
        <v>26</v>
      </c>
      <c r="Q1540">
        <v>892.48397435897436</v>
      </c>
      <c r="R1540">
        <f ca="1">YEAR(TODAY())-Table1[[#This Row],[Year Built]]</f>
        <v>30</v>
      </c>
      <c r="S1540" t="str">
        <f>IF(Table1[[#This Row],[Days on Market]] &lt; 30,"Fast",IF(Table1[[#This Row],[Days on Market]]&lt;= 90,"Average", "Slow"))</f>
        <v>Average</v>
      </c>
      <c r="T1540" t="str">
        <f>IF(Table1[[#This Row],[Price2]]&lt;500000,"Affordable",IF(Table1[[#This Row],[Price2]]&lt;1000000,"Mid range","Luxury"))</f>
        <v>Mid range</v>
      </c>
    </row>
    <row r="1541" spans="1:20" x14ac:dyDescent="0.35">
      <c r="A1541" s="3">
        <v>835493</v>
      </c>
      <c r="B1541" s="2" t="s">
        <v>22</v>
      </c>
      <c r="C1541">
        <v>43472</v>
      </c>
      <c r="D1541" s="2" t="s">
        <v>18</v>
      </c>
      <c r="E1541">
        <v>6</v>
      </c>
      <c r="F1541">
        <v>2</v>
      </c>
      <c r="G1541" s="4">
        <f>VALUE(SUBSTITUTE(SUBSTITUTE(Table1[[#This Row],[Price]],"$",""),",",""))</f>
        <v>835493</v>
      </c>
      <c r="H1541" s="1">
        <f>Table1[[#This Row],[Price2]]/Table1[[#This Row],[Area]]</f>
        <v>220.6213361499868</v>
      </c>
      <c r="I1541">
        <v>3787</v>
      </c>
      <c r="J1541">
        <v>2008</v>
      </c>
      <c r="K1541">
        <v>106</v>
      </c>
      <c r="L1541" t="s">
        <v>14</v>
      </c>
      <c r="M1541" t="s">
        <v>752</v>
      </c>
      <c r="N1541" s="2" t="s">
        <v>3027</v>
      </c>
      <c r="O1541" t="s">
        <v>3028</v>
      </c>
      <c r="P1541" t="s">
        <v>16</v>
      </c>
      <c r="Q1541">
        <v>220.6213361499868</v>
      </c>
      <c r="R1541">
        <f ca="1">YEAR(TODAY())-Table1[[#This Row],[Year Built]]</f>
        <v>18</v>
      </c>
      <c r="S1541" t="str">
        <f>IF(Table1[[#This Row],[Days on Market]] &lt; 30,"Fast",IF(Table1[[#This Row],[Days on Market]]&lt;= 90,"Average", "Slow"))</f>
        <v>Slow</v>
      </c>
      <c r="T1541" t="str">
        <f>IF(Table1[[#This Row],[Price2]]&lt;500000,"Affordable",IF(Table1[[#This Row],[Price2]]&lt;1000000,"Mid range","Luxury"))</f>
        <v>Mid range</v>
      </c>
    </row>
    <row r="1542" spans="1:20" x14ac:dyDescent="0.35">
      <c r="A1542" s="3">
        <v>835582</v>
      </c>
      <c r="B1542" s="2" t="s">
        <v>34</v>
      </c>
      <c r="C1542">
        <v>25426</v>
      </c>
      <c r="D1542" s="2" t="s">
        <v>35</v>
      </c>
      <c r="E1542">
        <v>4</v>
      </c>
      <c r="F1542">
        <v>2</v>
      </c>
      <c r="G1542" s="4">
        <f>VALUE(SUBSTITUTE(SUBSTITUTE(Table1[[#This Row],[Price]],"$",""),",",""))</f>
        <v>835582</v>
      </c>
      <c r="H1542" s="1">
        <f>Table1[[#This Row],[Price2]]/Table1[[#This Row],[Area]]</f>
        <v>392.10793054903803</v>
      </c>
      <c r="I1542">
        <v>2131</v>
      </c>
      <c r="J1542">
        <v>2015</v>
      </c>
      <c r="K1542">
        <v>106</v>
      </c>
      <c r="L1542" t="s">
        <v>40</v>
      </c>
      <c r="M1542" t="s">
        <v>1212</v>
      </c>
      <c r="N1542" s="2" t="s">
        <v>3029</v>
      </c>
      <c r="O1542" t="s">
        <v>3030</v>
      </c>
      <c r="P1542" t="s">
        <v>16</v>
      </c>
      <c r="Q1542">
        <v>392.10793054903803</v>
      </c>
      <c r="R1542">
        <f ca="1">YEAR(TODAY())-Table1[[#This Row],[Year Built]]</f>
        <v>11</v>
      </c>
      <c r="S1542" t="str">
        <f>IF(Table1[[#This Row],[Days on Market]] &lt; 30,"Fast",IF(Table1[[#This Row],[Days on Market]]&lt;= 90,"Average", "Slow"))</f>
        <v>Slow</v>
      </c>
      <c r="T1542" t="str">
        <f>IF(Table1[[#This Row],[Price2]]&lt;500000,"Affordable",IF(Table1[[#This Row],[Price2]]&lt;1000000,"Mid range","Luxury"))</f>
        <v>Mid range</v>
      </c>
    </row>
    <row r="1543" spans="1:20" x14ac:dyDescent="0.35">
      <c r="A1543" s="3">
        <v>835837</v>
      </c>
      <c r="B1543" s="2" t="s">
        <v>17</v>
      </c>
      <c r="C1543">
        <v>16887</v>
      </c>
      <c r="D1543" s="2" t="s">
        <v>18</v>
      </c>
      <c r="E1543">
        <v>6</v>
      </c>
      <c r="F1543">
        <v>1</v>
      </c>
      <c r="G1543" s="4">
        <f>VALUE(SUBSTITUTE(SUBSTITUTE(Table1[[#This Row],[Price]],"$",""),",",""))</f>
        <v>835837</v>
      </c>
      <c r="H1543" s="1">
        <f>Table1[[#This Row],[Price2]]/Table1[[#This Row],[Area]]</f>
        <v>266.19012738853502</v>
      </c>
      <c r="I1543">
        <v>3140</v>
      </c>
      <c r="J1543">
        <v>1958</v>
      </c>
      <c r="K1543">
        <v>104</v>
      </c>
      <c r="L1543" t="s">
        <v>30</v>
      </c>
      <c r="M1543" t="s">
        <v>1925</v>
      </c>
      <c r="N1543" s="2" t="s">
        <v>3029</v>
      </c>
      <c r="O1543" t="s">
        <v>3030</v>
      </c>
      <c r="P1543" t="s">
        <v>26</v>
      </c>
      <c r="Q1543">
        <v>266.19012738853502</v>
      </c>
      <c r="R1543">
        <f ca="1">YEAR(TODAY())-Table1[[#This Row],[Year Built]]</f>
        <v>68</v>
      </c>
      <c r="S1543" t="str">
        <f>IF(Table1[[#This Row],[Days on Market]] &lt; 30,"Fast",IF(Table1[[#This Row],[Days on Market]]&lt;= 90,"Average", "Slow"))</f>
        <v>Slow</v>
      </c>
      <c r="T1543" t="str">
        <f>IF(Table1[[#This Row],[Price2]]&lt;500000,"Affordable",IF(Table1[[#This Row],[Price2]]&lt;1000000,"Mid range","Luxury"))</f>
        <v>Mid range</v>
      </c>
    </row>
    <row r="1544" spans="1:20" x14ac:dyDescent="0.35">
      <c r="A1544" s="3">
        <v>836243</v>
      </c>
      <c r="B1544" s="2" t="s">
        <v>12</v>
      </c>
      <c r="C1544">
        <v>50673</v>
      </c>
      <c r="D1544" s="2" t="s">
        <v>35</v>
      </c>
      <c r="E1544">
        <v>1</v>
      </c>
      <c r="F1544">
        <v>1</v>
      </c>
      <c r="G1544" s="4">
        <f>VALUE(SUBSTITUTE(SUBSTITUTE(Table1[[#This Row],[Price]],"$",""),",",""))</f>
        <v>836243</v>
      </c>
      <c r="H1544" s="1">
        <f>Table1[[#This Row],[Price2]]/Table1[[#This Row],[Area]]</f>
        <v>1120.9691689008043</v>
      </c>
      <c r="I1544">
        <v>746</v>
      </c>
      <c r="J1544">
        <v>2017</v>
      </c>
      <c r="K1544">
        <v>54</v>
      </c>
      <c r="L1544" t="s">
        <v>19</v>
      </c>
      <c r="M1544" t="s">
        <v>1594</v>
      </c>
      <c r="N1544" s="2" t="s">
        <v>3033</v>
      </c>
      <c r="O1544" t="s">
        <v>3034</v>
      </c>
      <c r="P1544" t="s">
        <v>21</v>
      </c>
      <c r="Q1544">
        <v>1120.9691689008043</v>
      </c>
      <c r="R1544">
        <f ca="1">YEAR(TODAY())-Table1[[#This Row],[Year Built]]</f>
        <v>9</v>
      </c>
      <c r="S1544" t="str">
        <f>IF(Table1[[#This Row],[Days on Market]] &lt; 30,"Fast",IF(Table1[[#This Row],[Days on Market]]&lt;= 90,"Average", "Slow"))</f>
        <v>Average</v>
      </c>
      <c r="T1544" t="str">
        <f>IF(Table1[[#This Row],[Price2]]&lt;500000,"Affordable",IF(Table1[[#This Row],[Price2]]&lt;1000000,"Mid range","Luxury"))</f>
        <v>Mid range</v>
      </c>
    </row>
    <row r="1545" spans="1:20" x14ac:dyDescent="0.35">
      <c r="A1545" s="3">
        <v>836369</v>
      </c>
      <c r="B1545" s="2" t="s">
        <v>34</v>
      </c>
      <c r="C1545">
        <v>47349</v>
      </c>
      <c r="D1545" s="2" t="s">
        <v>35</v>
      </c>
      <c r="E1545">
        <v>3</v>
      </c>
      <c r="F1545">
        <v>2</v>
      </c>
      <c r="G1545" s="4">
        <f>VALUE(SUBSTITUTE(SUBSTITUTE(Table1[[#This Row],[Price]],"$",""),",",""))</f>
        <v>836369</v>
      </c>
      <c r="H1545" s="1">
        <f>Table1[[#This Row],[Price2]]/Table1[[#This Row],[Area]]</f>
        <v>391.37529246607392</v>
      </c>
      <c r="I1545">
        <v>2137</v>
      </c>
      <c r="J1545">
        <v>1967</v>
      </c>
      <c r="K1545">
        <v>91</v>
      </c>
      <c r="L1545" t="s">
        <v>40</v>
      </c>
      <c r="M1545" t="s">
        <v>1076</v>
      </c>
      <c r="N1545" s="2" t="s">
        <v>3033</v>
      </c>
      <c r="O1545" t="s">
        <v>3034</v>
      </c>
      <c r="P1545" t="s">
        <v>21</v>
      </c>
      <c r="Q1545">
        <v>391.37529246607392</v>
      </c>
      <c r="R1545">
        <f ca="1">YEAR(TODAY())-Table1[[#This Row],[Year Built]]</f>
        <v>59</v>
      </c>
      <c r="S1545" t="str">
        <f>IF(Table1[[#This Row],[Days on Market]] &lt; 30,"Fast",IF(Table1[[#This Row],[Days on Market]]&lt;= 90,"Average", "Slow"))</f>
        <v>Slow</v>
      </c>
      <c r="T1545" t="str">
        <f>IF(Table1[[#This Row],[Price2]]&lt;500000,"Affordable",IF(Table1[[#This Row],[Price2]]&lt;1000000,"Mid range","Luxury"))</f>
        <v>Mid range</v>
      </c>
    </row>
    <row r="1546" spans="1:20" x14ac:dyDescent="0.35">
      <c r="A1546" s="3">
        <v>837398</v>
      </c>
      <c r="B1546" s="2" t="s">
        <v>17</v>
      </c>
      <c r="C1546">
        <v>90168</v>
      </c>
      <c r="D1546" s="2" t="s">
        <v>35</v>
      </c>
      <c r="E1546">
        <v>3</v>
      </c>
      <c r="F1546">
        <v>1</v>
      </c>
      <c r="G1546" s="4">
        <f>VALUE(SUBSTITUTE(SUBSTITUTE(Table1[[#This Row],[Price]],"$",""),",",""))</f>
        <v>837398</v>
      </c>
      <c r="H1546" s="1">
        <f>Table1[[#This Row],[Price2]]/Table1[[#This Row],[Area]]</f>
        <v>398.7609523809524</v>
      </c>
      <c r="I1546">
        <v>2100</v>
      </c>
      <c r="J1546">
        <v>1971</v>
      </c>
      <c r="K1546">
        <v>7</v>
      </c>
      <c r="L1546" t="s">
        <v>30</v>
      </c>
      <c r="M1546" t="s">
        <v>719</v>
      </c>
      <c r="N1546" s="2" t="s">
        <v>3033</v>
      </c>
      <c r="O1546" t="s">
        <v>3034</v>
      </c>
      <c r="P1546" t="s">
        <v>26</v>
      </c>
      <c r="Q1546">
        <v>398.7609523809524</v>
      </c>
      <c r="R1546">
        <f ca="1">YEAR(TODAY())-Table1[[#This Row],[Year Built]]</f>
        <v>55</v>
      </c>
      <c r="S1546" t="str">
        <f>IF(Table1[[#This Row],[Days on Market]] &lt; 30,"Fast",IF(Table1[[#This Row],[Days on Market]]&lt;= 90,"Average", "Slow"))</f>
        <v>Fast</v>
      </c>
      <c r="T1546" t="str">
        <f>IF(Table1[[#This Row],[Price2]]&lt;500000,"Affordable",IF(Table1[[#This Row],[Price2]]&lt;1000000,"Mid range","Luxury"))</f>
        <v>Mid range</v>
      </c>
    </row>
    <row r="1547" spans="1:20" x14ac:dyDescent="0.35">
      <c r="A1547" s="3">
        <v>837572</v>
      </c>
      <c r="B1547" s="2" t="s">
        <v>22</v>
      </c>
      <c r="C1547">
        <v>88532</v>
      </c>
      <c r="D1547" s="2" t="s">
        <v>18</v>
      </c>
      <c r="E1547">
        <v>2</v>
      </c>
      <c r="F1547">
        <v>2</v>
      </c>
      <c r="G1547" s="4">
        <f>VALUE(SUBSTITUTE(SUBSTITUTE(Table1[[#This Row],[Price]],"$",""),",",""))</f>
        <v>837572</v>
      </c>
      <c r="H1547" s="1">
        <f>Table1[[#This Row],[Price2]]/Table1[[#This Row],[Area]]</f>
        <v>373.74921909861666</v>
      </c>
      <c r="I1547">
        <v>2241</v>
      </c>
      <c r="J1547">
        <v>1986</v>
      </c>
      <c r="K1547">
        <v>41</v>
      </c>
      <c r="L1547" t="s">
        <v>14</v>
      </c>
      <c r="M1547" t="s">
        <v>2550</v>
      </c>
      <c r="N1547" s="2" t="s">
        <v>3029</v>
      </c>
      <c r="O1547" t="s">
        <v>3030</v>
      </c>
      <c r="P1547" t="s">
        <v>16</v>
      </c>
      <c r="Q1547">
        <v>373.74921909861666</v>
      </c>
      <c r="R1547">
        <f ca="1">YEAR(TODAY())-Table1[[#This Row],[Year Built]]</f>
        <v>40</v>
      </c>
      <c r="S1547" t="str">
        <f>IF(Table1[[#This Row],[Days on Market]] &lt; 30,"Fast",IF(Table1[[#This Row],[Days on Market]]&lt;= 90,"Average", "Slow"))</f>
        <v>Average</v>
      </c>
      <c r="T1547" t="str">
        <f>IF(Table1[[#This Row],[Price2]]&lt;500000,"Affordable",IF(Table1[[#This Row],[Price2]]&lt;1000000,"Mid range","Luxury"))</f>
        <v>Mid range</v>
      </c>
    </row>
    <row r="1548" spans="1:20" x14ac:dyDescent="0.35">
      <c r="A1548" s="3">
        <v>837702</v>
      </c>
      <c r="B1548" s="2" t="s">
        <v>22</v>
      </c>
      <c r="C1548">
        <v>93365</v>
      </c>
      <c r="D1548" s="2" t="s">
        <v>18</v>
      </c>
      <c r="E1548">
        <v>5</v>
      </c>
      <c r="F1548">
        <v>1</v>
      </c>
      <c r="G1548" s="4">
        <f>VALUE(SUBSTITUTE(SUBSTITUTE(Table1[[#This Row],[Price]],"$",""),",",""))</f>
        <v>837702</v>
      </c>
      <c r="H1548" s="1">
        <f>Table1[[#This Row],[Price2]]/Table1[[#This Row],[Area]]</f>
        <v>228.31888798037613</v>
      </c>
      <c r="I1548">
        <v>3669</v>
      </c>
      <c r="J1548">
        <v>1967</v>
      </c>
      <c r="K1548">
        <v>119</v>
      </c>
      <c r="L1548" t="s">
        <v>30</v>
      </c>
      <c r="M1548" t="s">
        <v>1535</v>
      </c>
      <c r="N1548" s="2" t="s">
        <v>3035</v>
      </c>
      <c r="O1548" t="s">
        <v>3036</v>
      </c>
      <c r="P1548" t="s">
        <v>16</v>
      </c>
      <c r="Q1548">
        <v>228.31888798037613</v>
      </c>
      <c r="R1548">
        <f ca="1">YEAR(TODAY())-Table1[[#This Row],[Year Built]]</f>
        <v>59</v>
      </c>
      <c r="S1548" t="str">
        <f>IF(Table1[[#This Row],[Days on Market]] &lt; 30,"Fast",IF(Table1[[#This Row],[Days on Market]]&lt;= 90,"Average", "Slow"))</f>
        <v>Slow</v>
      </c>
      <c r="T1548" t="str">
        <f>IF(Table1[[#This Row],[Price2]]&lt;500000,"Affordable",IF(Table1[[#This Row],[Price2]]&lt;1000000,"Mid range","Luxury"))</f>
        <v>Mid range</v>
      </c>
    </row>
    <row r="1549" spans="1:20" x14ac:dyDescent="0.35">
      <c r="A1549" s="3">
        <v>837749</v>
      </c>
      <c r="B1549" s="2" t="s">
        <v>34</v>
      </c>
      <c r="C1549">
        <v>66809</v>
      </c>
      <c r="D1549" s="2" t="s">
        <v>23</v>
      </c>
      <c r="E1549">
        <v>5</v>
      </c>
      <c r="F1549">
        <v>1</v>
      </c>
      <c r="G1549" s="4">
        <f>VALUE(SUBSTITUTE(SUBSTITUTE(Table1[[#This Row],[Price]],"$",""),",",""))</f>
        <v>837749</v>
      </c>
      <c r="H1549" s="1">
        <f>Table1[[#This Row],[Price2]]/Table1[[#This Row],[Area]]</f>
        <v>633.21919879062739</v>
      </c>
      <c r="I1549">
        <v>1323</v>
      </c>
      <c r="J1549">
        <v>1966</v>
      </c>
      <c r="K1549">
        <v>108</v>
      </c>
      <c r="L1549" t="s">
        <v>14</v>
      </c>
      <c r="M1549" t="s">
        <v>971</v>
      </c>
      <c r="N1549" s="2" t="s">
        <v>3035</v>
      </c>
      <c r="O1549" t="s">
        <v>3036</v>
      </c>
      <c r="P1549" t="s">
        <v>16</v>
      </c>
      <c r="Q1549">
        <v>633.21919879062739</v>
      </c>
      <c r="R1549">
        <f ca="1">YEAR(TODAY())-Table1[[#This Row],[Year Built]]</f>
        <v>60</v>
      </c>
      <c r="S1549" t="str">
        <f>IF(Table1[[#This Row],[Days on Market]] &lt; 30,"Fast",IF(Table1[[#This Row],[Days on Market]]&lt;= 90,"Average", "Slow"))</f>
        <v>Slow</v>
      </c>
      <c r="T1549" t="str">
        <f>IF(Table1[[#This Row],[Price2]]&lt;500000,"Affordable",IF(Table1[[#This Row],[Price2]]&lt;1000000,"Mid range","Luxury"))</f>
        <v>Mid range</v>
      </c>
    </row>
    <row r="1550" spans="1:20" x14ac:dyDescent="0.35">
      <c r="A1550" s="3">
        <v>838113</v>
      </c>
      <c r="B1550" s="2" t="s">
        <v>12</v>
      </c>
      <c r="C1550">
        <v>66128</v>
      </c>
      <c r="D1550" s="2" t="s">
        <v>29</v>
      </c>
      <c r="E1550">
        <v>4</v>
      </c>
      <c r="F1550">
        <v>4</v>
      </c>
      <c r="G1550" s="4">
        <f>VALUE(SUBSTITUTE(SUBSTITUTE(Table1[[#This Row],[Price]],"$",""),",",""))</f>
        <v>838113</v>
      </c>
      <c r="H1550" s="1">
        <f>Table1[[#This Row],[Price2]]/Table1[[#This Row],[Area]]</f>
        <v>229.11782394751231</v>
      </c>
      <c r="I1550">
        <v>3658</v>
      </c>
      <c r="J1550">
        <v>1962</v>
      </c>
      <c r="K1550">
        <v>67</v>
      </c>
      <c r="L1550" t="s">
        <v>19</v>
      </c>
      <c r="M1550" t="s">
        <v>1185</v>
      </c>
      <c r="N1550" s="2" t="s">
        <v>3035</v>
      </c>
      <c r="O1550" t="s">
        <v>3036</v>
      </c>
      <c r="P1550" t="s">
        <v>21</v>
      </c>
      <c r="Q1550">
        <v>229.11782394751231</v>
      </c>
      <c r="R1550">
        <f ca="1">YEAR(TODAY())-Table1[[#This Row],[Year Built]]</f>
        <v>64</v>
      </c>
      <c r="S1550" t="str">
        <f>IF(Table1[[#This Row],[Days on Market]] &lt; 30,"Fast",IF(Table1[[#This Row],[Days on Market]]&lt;= 90,"Average", "Slow"))</f>
        <v>Average</v>
      </c>
      <c r="T1550" t="str">
        <f>IF(Table1[[#This Row],[Price2]]&lt;500000,"Affordable",IF(Table1[[#This Row],[Price2]]&lt;1000000,"Mid range","Luxury"))</f>
        <v>Mid range</v>
      </c>
    </row>
    <row r="1551" spans="1:20" x14ac:dyDescent="0.35">
      <c r="A1551" s="3">
        <v>838822</v>
      </c>
      <c r="B1551" s="2" t="s">
        <v>22</v>
      </c>
      <c r="C1551">
        <v>77190</v>
      </c>
      <c r="D1551" s="2" t="s">
        <v>23</v>
      </c>
      <c r="E1551">
        <v>6</v>
      </c>
      <c r="F1551">
        <v>1</v>
      </c>
      <c r="G1551" s="4">
        <f>VALUE(SUBSTITUTE(SUBSTITUTE(Table1[[#This Row],[Price]],"$",""),",",""))</f>
        <v>838822</v>
      </c>
      <c r="H1551" s="1">
        <f>Table1[[#This Row],[Price2]]/Table1[[#This Row],[Area]]</f>
        <v>1125.9355704697987</v>
      </c>
      <c r="I1551">
        <v>745</v>
      </c>
      <c r="J1551">
        <v>1979</v>
      </c>
      <c r="K1551">
        <v>65</v>
      </c>
      <c r="L1551" t="s">
        <v>40</v>
      </c>
      <c r="M1551" t="s">
        <v>1910</v>
      </c>
      <c r="N1551" s="2" t="s">
        <v>3027</v>
      </c>
      <c r="O1551" t="s">
        <v>3028</v>
      </c>
      <c r="P1551" t="s">
        <v>26</v>
      </c>
      <c r="Q1551">
        <v>1125.9355704697987</v>
      </c>
      <c r="R1551">
        <f ca="1">YEAR(TODAY())-Table1[[#This Row],[Year Built]]</f>
        <v>47</v>
      </c>
      <c r="S1551" t="str">
        <f>IF(Table1[[#This Row],[Days on Market]] &lt; 30,"Fast",IF(Table1[[#This Row],[Days on Market]]&lt;= 90,"Average", "Slow"))</f>
        <v>Average</v>
      </c>
      <c r="T1551" t="str">
        <f>IF(Table1[[#This Row],[Price2]]&lt;500000,"Affordable",IF(Table1[[#This Row],[Price2]]&lt;1000000,"Mid range","Luxury"))</f>
        <v>Mid range</v>
      </c>
    </row>
    <row r="1552" spans="1:20" x14ac:dyDescent="0.35">
      <c r="A1552" s="3">
        <v>839325</v>
      </c>
      <c r="B1552" s="2" t="s">
        <v>34</v>
      </c>
      <c r="C1552">
        <v>50549</v>
      </c>
      <c r="D1552" s="2" t="s">
        <v>18</v>
      </c>
      <c r="E1552">
        <v>5</v>
      </c>
      <c r="F1552">
        <v>2</v>
      </c>
      <c r="G1552" s="4">
        <f>VALUE(SUBSTITUTE(SUBSTITUTE(Table1[[#This Row],[Price]],"$",""),",",""))</f>
        <v>839325</v>
      </c>
      <c r="H1552" s="1">
        <f>Table1[[#This Row],[Price2]]/Table1[[#This Row],[Area]]</f>
        <v>223.04677119319692</v>
      </c>
      <c r="I1552">
        <v>3763</v>
      </c>
      <c r="J1552">
        <v>1985</v>
      </c>
      <c r="K1552">
        <v>12</v>
      </c>
      <c r="L1552" t="s">
        <v>52</v>
      </c>
      <c r="M1552" t="s">
        <v>1704</v>
      </c>
      <c r="N1552" s="2" t="s">
        <v>3035</v>
      </c>
      <c r="O1552" t="s">
        <v>3036</v>
      </c>
      <c r="P1552" t="s">
        <v>16</v>
      </c>
      <c r="Q1552">
        <v>223.04677119319692</v>
      </c>
      <c r="R1552">
        <f ca="1">YEAR(TODAY())-Table1[[#This Row],[Year Built]]</f>
        <v>41</v>
      </c>
      <c r="S1552" t="str">
        <f>IF(Table1[[#This Row],[Days on Market]] &lt; 30,"Fast",IF(Table1[[#This Row],[Days on Market]]&lt;= 90,"Average", "Slow"))</f>
        <v>Fast</v>
      </c>
      <c r="T1552" t="str">
        <f>IF(Table1[[#This Row],[Price2]]&lt;500000,"Affordable",IF(Table1[[#This Row],[Price2]]&lt;1000000,"Mid range","Luxury"))</f>
        <v>Mid range</v>
      </c>
    </row>
    <row r="1553" spans="1:20" x14ac:dyDescent="0.35">
      <c r="A1553" s="3">
        <v>839428</v>
      </c>
      <c r="B1553" s="2" t="s">
        <v>12</v>
      </c>
      <c r="C1553">
        <v>82188</v>
      </c>
      <c r="D1553" s="2" t="s">
        <v>35</v>
      </c>
      <c r="E1553">
        <v>4</v>
      </c>
      <c r="F1553">
        <v>4</v>
      </c>
      <c r="G1553" s="4">
        <f>VALUE(SUBSTITUTE(SUBSTITUTE(Table1[[#This Row],[Price]],"$",""),",",""))</f>
        <v>839428</v>
      </c>
      <c r="H1553" s="1">
        <f>Table1[[#This Row],[Price2]]/Table1[[#This Row],[Area]]</f>
        <v>529.27364438839845</v>
      </c>
      <c r="I1553">
        <v>1586</v>
      </c>
      <c r="J1553">
        <v>1980</v>
      </c>
      <c r="K1553">
        <v>52</v>
      </c>
      <c r="L1553" t="s">
        <v>14</v>
      </c>
      <c r="M1553" t="s">
        <v>2257</v>
      </c>
      <c r="N1553" s="2" t="s">
        <v>3033</v>
      </c>
      <c r="O1553" t="s">
        <v>3034</v>
      </c>
      <c r="P1553" t="s">
        <v>16</v>
      </c>
      <c r="Q1553">
        <v>529.27364438839845</v>
      </c>
      <c r="R1553">
        <f ca="1">YEAR(TODAY())-Table1[[#This Row],[Year Built]]</f>
        <v>46</v>
      </c>
      <c r="S1553" t="str">
        <f>IF(Table1[[#This Row],[Days on Market]] &lt; 30,"Fast",IF(Table1[[#This Row],[Days on Market]]&lt;= 90,"Average", "Slow"))</f>
        <v>Average</v>
      </c>
      <c r="T1553" t="str">
        <f>IF(Table1[[#This Row],[Price2]]&lt;500000,"Affordable",IF(Table1[[#This Row],[Price2]]&lt;1000000,"Mid range","Luxury"))</f>
        <v>Mid range</v>
      </c>
    </row>
    <row r="1554" spans="1:20" x14ac:dyDescent="0.35">
      <c r="A1554" s="3">
        <v>840528</v>
      </c>
      <c r="B1554" s="2" t="s">
        <v>27</v>
      </c>
      <c r="C1554">
        <v>29161</v>
      </c>
      <c r="D1554" s="2" t="s">
        <v>35</v>
      </c>
      <c r="E1554">
        <v>2</v>
      </c>
      <c r="F1554">
        <v>3</v>
      </c>
      <c r="G1554" s="4">
        <f>VALUE(SUBSTITUTE(SUBSTITUTE(Table1[[#This Row],[Price]],"$",""),",",""))</f>
        <v>840528</v>
      </c>
      <c r="H1554" s="1">
        <f>Table1[[#This Row],[Price2]]/Table1[[#This Row],[Area]]</f>
        <v>358.28132992327363</v>
      </c>
      <c r="I1554">
        <v>2346</v>
      </c>
      <c r="J1554">
        <v>1966</v>
      </c>
      <c r="K1554">
        <v>102</v>
      </c>
      <c r="L1554" t="s">
        <v>14</v>
      </c>
      <c r="M1554" t="s">
        <v>489</v>
      </c>
      <c r="N1554" s="2" t="s">
        <v>3033</v>
      </c>
      <c r="O1554" t="s">
        <v>3034</v>
      </c>
      <c r="P1554" t="s">
        <v>26</v>
      </c>
      <c r="Q1554">
        <v>358.28132992327363</v>
      </c>
      <c r="R1554">
        <f ca="1">YEAR(TODAY())-Table1[[#This Row],[Year Built]]</f>
        <v>60</v>
      </c>
      <c r="S1554" t="str">
        <f>IF(Table1[[#This Row],[Days on Market]] &lt; 30,"Fast",IF(Table1[[#This Row],[Days on Market]]&lt;= 90,"Average", "Slow"))</f>
        <v>Slow</v>
      </c>
      <c r="T1554" t="str">
        <f>IF(Table1[[#This Row],[Price2]]&lt;500000,"Affordable",IF(Table1[[#This Row],[Price2]]&lt;1000000,"Mid range","Luxury"))</f>
        <v>Mid range</v>
      </c>
    </row>
    <row r="1555" spans="1:20" x14ac:dyDescent="0.35">
      <c r="A1555" s="3">
        <v>841296</v>
      </c>
      <c r="B1555" s="2" t="s">
        <v>22</v>
      </c>
      <c r="C1555">
        <v>74923</v>
      </c>
      <c r="D1555" s="2" t="s">
        <v>13</v>
      </c>
      <c r="E1555">
        <v>6</v>
      </c>
      <c r="F1555">
        <v>4</v>
      </c>
      <c r="G1555" s="4">
        <f>VALUE(SUBSTITUTE(SUBSTITUTE(Table1[[#This Row],[Price]],"$",""),",",""))</f>
        <v>841296</v>
      </c>
      <c r="H1555" s="1">
        <f>Table1[[#This Row],[Price2]]/Table1[[#This Row],[Area]]</f>
        <v>512.98536585365855</v>
      </c>
      <c r="I1555">
        <v>1640</v>
      </c>
      <c r="J1555">
        <v>1951</v>
      </c>
      <c r="K1555">
        <v>36</v>
      </c>
      <c r="L1555" t="s">
        <v>19</v>
      </c>
      <c r="M1555" t="s">
        <v>1849</v>
      </c>
      <c r="N1555" s="2" t="s">
        <v>3029</v>
      </c>
      <c r="O1555" t="s">
        <v>3030</v>
      </c>
      <c r="P1555" t="s">
        <v>21</v>
      </c>
      <c r="Q1555">
        <v>512.98536585365855</v>
      </c>
      <c r="R1555">
        <f ca="1">YEAR(TODAY())-Table1[[#This Row],[Year Built]]</f>
        <v>75</v>
      </c>
      <c r="S1555" t="str">
        <f>IF(Table1[[#This Row],[Days on Market]] &lt; 30,"Fast",IF(Table1[[#This Row],[Days on Market]]&lt;= 90,"Average", "Slow"))</f>
        <v>Average</v>
      </c>
      <c r="T1555" t="str">
        <f>IF(Table1[[#This Row],[Price2]]&lt;500000,"Affordable",IF(Table1[[#This Row],[Price2]]&lt;1000000,"Mid range","Luxury"))</f>
        <v>Mid range</v>
      </c>
    </row>
    <row r="1556" spans="1:20" x14ac:dyDescent="0.35">
      <c r="A1556" s="3">
        <v>841326</v>
      </c>
      <c r="B1556" s="2" t="s">
        <v>27</v>
      </c>
      <c r="C1556">
        <v>67275</v>
      </c>
      <c r="D1556" s="2" t="s">
        <v>35</v>
      </c>
      <c r="E1556">
        <v>5</v>
      </c>
      <c r="F1556">
        <v>1</v>
      </c>
      <c r="G1556" s="4">
        <f>VALUE(SUBSTITUTE(SUBSTITUTE(Table1[[#This Row],[Price]],"$",""),",",""))</f>
        <v>841326</v>
      </c>
      <c r="H1556" s="1">
        <f>Table1[[#This Row],[Price2]]/Table1[[#This Row],[Area]]</f>
        <v>722.16824034334763</v>
      </c>
      <c r="I1556">
        <v>1165</v>
      </c>
      <c r="J1556">
        <v>1980</v>
      </c>
      <c r="K1556">
        <v>81</v>
      </c>
      <c r="L1556" t="s">
        <v>30</v>
      </c>
      <c r="M1556" t="s">
        <v>1516</v>
      </c>
      <c r="N1556" s="2" t="s">
        <v>3035</v>
      </c>
      <c r="O1556" t="s">
        <v>3036</v>
      </c>
      <c r="P1556" t="s">
        <v>26</v>
      </c>
      <c r="Q1556">
        <v>722.16824034334763</v>
      </c>
      <c r="R1556">
        <f ca="1">YEAR(TODAY())-Table1[[#This Row],[Year Built]]</f>
        <v>46</v>
      </c>
      <c r="S1556" t="str">
        <f>IF(Table1[[#This Row],[Days on Market]] &lt; 30,"Fast",IF(Table1[[#This Row],[Days on Market]]&lt;= 90,"Average", "Slow"))</f>
        <v>Average</v>
      </c>
      <c r="T1556" t="str">
        <f>IF(Table1[[#This Row],[Price2]]&lt;500000,"Affordable",IF(Table1[[#This Row],[Price2]]&lt;1000000,"Mid range","Luxury"))</f>
        <v>Mid range</v>
      </c>
    </row>
    <row r="1557" spans="1:20" x14ac:dyDescent="0.35">
      <c r="A1557" s="3">
        <v>841531</v>
      </c>
      <c r="B1557" s="2" t="s">
        <v>12</v>
      </c>
      <c r="C1557">
        <v>98726</v>
      </c>
      <c r="D1557" s="2" t="s">
        <v>23</v>
      </c>
      <c r="E1557">
        <v>3</v>
      </c>
      <c r="F1557">
        <v>4</v>
      </c>
      <c r="G1557" s="4">
        <f>VALUE(SUBSTITUTE(SUBSTITUTE(Table1[[#This Row],[Price]],"$",""),",",""))</f>
        <v>841531</v>
      </c>
      <c r="H1557" s="1">
        <f>Table1[[#This Row],[Price2]]/Table1[[#This Row],[Area]]</f>
        <v>309.38639705882355</v>
      </c>
      <c r="I1557">
        <v>2720</v>
      </c>
      <c r="J1557">
        <v>1967</v>
      </c>
      <c r="K1557">
        <v>118</v>
      </c>
      <c r="L1557" t="s">
        <v>40</v>
      </c>
      <c r="M1557" t="s">
        <v>1546</v>
      </c>
      <c r="N1557" s="2" t="s">
        <v>3031</v>
      </c>
      <c r="O1557" t="s">
        <v>3032</v>
      </c>
      <c r="P1557" t="s">
        <v>26</v>
      </c>
      <c r="Q1557">
        <v>309.38639705882355</v>
      </c>
      <c r="R1557">
        <f ca="1">YEAR(TODAY())-Table1[[#This Row],[Year Built]]</f>
        <v>59</v>
      </c>
      <c r="S1557" t="str">
        <f>IF(Table1[[#This Row],[Days on Market]] &lt; 30,"Fast",IF(Table1[[#This Row],[Days on Market]]&lt;= 90,"Average", "Slow"))</f>
        <v>Slow</v>
      </c>
      <c r="T1557" t="str">
        <f>IF(Table1[[#This Row],[Price2]]&lt;500000,"Affordable",IF(Table1[[#This Row],[Price2]]&lt;1000000,"Mid range","Luxury"))</f>
        <v>Mid range</v>
      </c>
    </row>
    <row r="1558" spans="1:20" x14ac:dyDescent="0.35">
      <c r="A1558" s="3">
        <v>842075</v>
      </c>
      <c r="B1558" s="2" t="s">
        <v>34</v>
      </c>
      <c r="C1558">
        <v>77567</v>
      </c>
      <c r="D1558" s="2" t="s">
        <v>23</v>
      </c>
      <c r="E1558">
        <v>4</v>
      </c>
      <c r="F1558">
        <v>3</v>
      </c>
      <c r="G1558" s="4">
        <f>VALUE(SUBSTITUTE(SUBSTITUTE(Table1[[#This Row],[Price]],"$",""),",",""))</f>
        <v>842075</v>
      </c>
      <c r="H1558" s="1">
        <f>Table1[[#This Row],[Price2]]/Table1[[#This Row],[Area]]</f>
        <v>236.33875947235475</v>
      </c>
      <c r="I1558">
        <v>3563</v>
      </c>
      <c r="J1558">
        <v>1954</v>
      </c>
      <c r="K1558">
        <v>54</v>
      </c>
      <c r="L1558" t="s">
        <v>40</v>
      </c>
      <c r="M1558" t="s">
        <v>523</v>
      </c>
      <c r="N1558" s="2" t="s">
        <v>3027</v>
      </c>
      <c r="O1558" t="s">
        <v>3028</v>
      </c>
      <c r="P1558" t="s">
        <v>26</v>
      </c>
      <c r="Q1558">
        <v>236.33875947235475</v>
      </c>
      <c r="R1558">
        <f ca="1">YEAR(TODAY())-Table1[[#This Row],[Year Built]]</f>
        <v>72</v>
      </c>
      <c r="S1558" t="str">
        <f>IF(Table1[[#This Row],[Days on Market]] &lt; 30,"Fast",IF(Table1[[#This Row],[Days on Market]]&lt;= 90,"Average", "Slow"))</f>
        <v>Average</v>
      </c>
      <c r="T1558" t="str">
        <f>IF(Table1[[#This Row],[Price2]]&lt;500000,"Affordable",IF(Table1[[#This Row],[Price2]]&lt;1000000,"Mid range","Luxury"))</f>
        <v>Mid range</v>
      </c>
    </row>
    <row r="1559" spans="1:20" x14ac:dyDescent="0.35">
      <c r="A1559" s="3">
        <v>842454</v>
      </c>
      <c r="B1559" s="2" t="s">
        <v>12</v>
      </c>
      <c r="C1559">
        <v>15718</v>
      </c>
      <c r="D1559" s="2" t="s">
        <v>29</v>
      </c>
      <c r="E1559">
        <v>6</v>
      </c>
      <c r="F1559">
        <v>1</v>
      </c>
      <c r="G1559" s="4">
        <f>VALUE(SUBSTITUTE(SUBSTITUTE(Table1[[#This Row],[Price]],"$",""),",",""))</f>
        <v>842454</v>
      </c>
      <c r="H1559" s="1">
        <f>Table1[[#This Row],[Price2]]/Table1[[#This Row],[Area]]</f>
        <v>367.08235294117645</v>
      </c>
      <c r="I1559">
        <v>2295</v>
      </c>
      <c r="J1559">
        <v>1995</v>
      </c>
      <c r="K1559">
        <v>60</v>
      </c>
      <c r="L1559" t="s">
        <v>19</v>
      </c>
      <c r="M1559" t="s">
        <v>463</v>
      </c>
      <c r="N1559" s="2" t="s">
        <v>3033</v>
      </c>
      <c r="O1559" t="s">
        <v>3034</v>
      </c>
      <c r="P1559" t="s">
        <v>26</v>
      </c>
      <c r="Q1559">
        <v>367.08235294117645</v>
      </c>
      <c r="R1559">
        <f ca="1">YEAR(TODAY())-Table1[[#This Row],[Year Built]]</f>
        <v>31</v>
      </c>
      <c r="S1559" t="str">
        <f>IF(Table1[[#This Row],[Days on Market]] &lt; 30,"Fast",IF(Table1[[#This Row],[Days on Market]]&lt;= 90,"Average", "Slow"))</f>
        <v>Average</v>
      </c>
      <c r="T1559" t="str">
        <f>IF(Table1[[#This Row],[Price2]]&lt;500000,"Affordable",IF(Table1[[#This Row],[Price2]]&lt;1000000,"Mid range","Luxury"))</f>
        <v>Mid range</v>
      </c>
    </row>
    <row r="1560" spans="1:20" x14ac:dyDescent="0.35">
      <c r="A1560" s="3">
        <v>842483</v>
      </c>
      <c r="B1560" s="2" t="s">
        <v>34</v>
      </c>
      <c r="C1560">
        <v>38263</v>
      </c>
      <c r="D1560" s="2" t="s">
        <v>18</v>
      </c>
      <c r="E1560">
        <v>3</v>
      </c>
      <c r="F1560">
        <v>1</v>
      </c>
      <c r="G1560" s="4">
        <f>VALUE(SUBSTITUTE(SUBSTITUTE(Table1[[#This Row],[Price]],"$",""),",",""))</f>
        <v>842483</v>
      </c>
      <c r="H1560" s="1">
        <f>Table1[[#This Row],[Price2]]/Table1[[#This Row],[Area]]</f>
        <v>380.69724356077722</v>
      </c>
      <c r="I1560">
        <v>2213</v>
      </c>
      <c r="J1560">
        <v>1980</v>
      </c>
      <c r="K1560">
        <v>58</v>
      </c>
      <c r="L1560" t="s">
        <v>52</v>
      </c>
      <c r="M1560" t="s">
        <v>1070</v>
      </c>
      <c r="N1560" s="2" t="s">
        <v>3027</v>
      </c>
      <c r="O1560" t="s">
        <v>3028</v>
      </c>
      <c r="P1560" t="s">
        <v>16</v>
      </c>
      <c r="Q1560">
        <v>380.69724356077722</v>
      </c>
      <c r="R1560">
        <f ca="1">YEAR(TODAY())-Table1[[#This Row],[Year Built]]</f>
        <v>46</v>
      </c>
      <c r="S1560" t="str">
        <f>IF(Table1[[#This Row],[Days on Market]] &lt; 30,"Fast",IF(Table1[[#This Row],[Days on Market]]&lt;= 90,"Average", "Slow"))</f>
        <v>Average</v>
      </c>
      <c r="T1560" t="str">
        <f>IF(Table1[[#This Row],[Price2]]&lt;500000,"Affordable",IF(Table1[[#This Row],[Price2]]&lt;1000000,"Mid range","Luxury"))</f>
        <v>Mid range</v>
      </c>
    </row>
    <row r="1561" spans="1:20" x14ac:dyDescent="0.35">
      <c r="A1561" s="3">
        <v>842595</v>
      </c>
      <c r="B1561" s="2" t="s">
        <v>27</v>
      </c>
      <c r="C1561">
        <v>20558</v>
      </c>
      <c r="D1561" s="2" t="s">
        <v>35</v>
      </c>
      <c r="E1561">
        <v>1</v>
      </c>
      <c r="F1561">
        <v>3</v>
      </c>
      <c r="G1561" s="4">
        <f>VALUE(SUBSTITUTE(SUBSTITUTE(Table1[[#This Row],[Price]],"$",""),",",""))</f>
        <v>842595</v>
      </c>
      <c r="H1561" s="1">
        <f>Table1[[#This Row],[Price2]]/Table1[[#This Row],[Area]]</f>
        <v>305.39869517941281</v>
      </c>
      <c r="I1561">
        <v>2759</v>
      </c>
      <c r="J1561">
        <v>1981</v>
      </c>
      <c r="K1561">
        <v>80</v>
      </c>
      <c r="L1561" t="s">
        <v>19</v>
      </c>
      <c r="M1561" t="s">
        <v>2793</v>
      </c>
      <c r="N1561" s="2" t="s">
        <v>3031</v>
      </c>
      <c r="O1561" t="s">
        <v>3032</v>
      </c>
      <c r="P1561" t="s">
        <v>21</v>
      </c>
      <c r="Q1561">
        <v>305.39869517941281</v>
      </c>
      <c r="R1561">
        <f ca="1">YEAR(TODAY())-Table1[[#This Row],[Year Built]]</f>
        <v>45</v>
      </c>
      <c r="S1561" t="str">
        <f>IF(Table1[[#This Row],[Days on Market]] &lt; 30,"Fast",IF(Table1[[#This Row],[Days on Market]]&lt;= 90,"Average", "Slow"))</f>
        <v>Average</v>
      </c>
      <c r="T1561" t="str">
        <f>IF(Table1[[#This Row],[Price2]]&lt;500000,"Affordable",IF(Table1[[#This Row],[Price2]]&lt;1000000,"Mid range","Luxury"))</f>
        <v>Mid range</v>
      </c>
    </row>
    <row r="1562" spans="1:20" x14ac:dyDescent="0.35">
      <c r="A1562" s="3">
        <v>842927</v>
      </c>
      <c r="B1562" s="2" t="s">
        <v>17</v>
      </c>
      <c r="C1562">
        <v>85253</v>
      </c>
      <c r="D1562" s="2" t="s">
        <v>23</v>
      </c>
      <c r="E1562">
        <v>2</v>
      </c>
      <c r="F1562">
        <v>1</v>
      </c>
      <c r="G1562" s="4">
        <f>VALUE(SUBSTITUTE(SUBSTITUTE(Table1[[#This Row],[Price]],"$",""),",",""))</f>
        <v>842927</v>
      </c>
      <c r="H1562" s="1">
        <f>Table1[[#This Row],[Price2]]/Table1[[#This Row],[Area]]</f>
        <v>294.52375960866527</v>
      </c>
      <c r="I1562">
        <v>2862</v>
      </c>
      <c r="J1562">
        <v>2018</v>
      </c>
      <c r="K1562">
        <v>55</v>
      </c>
      <c r="L1562" t="s">
        <v>19</v>
      </c>
      <c r="M1562" t="s">
        <v>1327</v>
      </c>
      <c r="N1562" s="2" t="s">
        <v>3035</v>
      </c>
      <c r="O1562" t="s">
        <v>3036</v>
      </c>
      <c r="P1562" t="s">
        <v>16</v>
      </c>
      <c r="Q1562">
        <v>294.52375960866527</v>
      </c>
      <c r="R1562">
        <f ca="1">YEAR(TODAY())-Table1[[#This Row],[Year Built]]</f>
        <v>8</v>
      </c>
      <c r="S1562" t="str">
        <f>IF(Table1[[#This Row],[Days on Market]] &lt; 30,"Fast",IF(Table1[[#This Row],[Days on Market]]&lt;= 90,"Average", "Slow"))</f>
        <v>Average</v>
      </c>
      <c r="T1562" t="str">
        <f>IF(Table1[[#This Row],[Price2]]&lt;500000,"Affordable",IF(Table1[[#This Row],[Price2]]&lt;1000000,"Mid range","Luxury"))</f>
        <v>Mid range</v>
      </c>
    </row>
    <row r="1563" spans="1:20" x14ac:dyDescent="0.35">
      <c r="A1563" s="3">
        <v>843419</v>
      </c>
      <c r="B1563" s="2" t="s">
        <v>17</v>
      </c>
      <c r="C1563">
        <v>57885</v>
      </c>
      <c r="D1563" s="2" t="s">
        <v>29</v>
      </c>
      <c r="E1563">
        <v>3</v>
      </c>
      <c r="F1563">
        <v>3</v>
      </c>
      <c r="G1563" s="4">
        <f>VALUE(SUBSTITUTE(SUBSTITUTE(Table1[[#This Row],[Price]],"$",""),",",""))</f>
        <v>843419</v>
      </c>
      <c r="H1563" s="1">
        <f>Table1[[#This Row],[Price2]]/Table1[[#This Row],[Area]]</f>
        <v>791.94272300469481</v>
      </c>
      <c r="I1563">
        <v>1065</v>
      </c>
      <c r="J1563">
        <v>2012</v>
      </c>
      <c r="K1563">
        <v>87</v>
      </c>
      <c r="L1563" t="s">
        <v>19</v>
      </c>
      <c r="M1563" t="s">
        <v>2728</v>
      </c>
      <c r="N1563" s="2" t="s">
        <v>3035</v>
      </c>
      <c r="O1563" t="s">
        <v>3036</v>
      </c>
      <c r="P1563" t="s">
        <v>21</v>
      </c>
      <c r="Q1563">
        <v>791.94272300469481</v>
      </c>
      <c r="R1563">
        <f ca="1">YEAR(TODAY())-Table1[[#This Row],[Year Built]]</f>
        <v>14</v>
      </c>
      <c r="S1563" t="str">
        <f>IF(Table1[[#This Row],[Days on Market]] &lt; 30,"Fast",IF(Table1[[#This Row],[Days on Market]]&lt;= 90,"Average", "Slow"))</f>
        <v>Average</v>
      </c>
      <c r="T1563" t="str">
        <f>IF(Table1[[#This Row],[Price2]]&lt;500000,"Affordable",IF(Table1[[#This Row],[Price2]]&lt;1000000,"Mid range","Luxury"))</f>
        <v>Mid range</v>
      </c>
    </row>
    <row r="1564" spans="1:20" x14ac:dyDescent="0.35">
      <c r="A1564" s="3">
        <v>843703</v>
      </c>
      <c r="B1564" s="2" t="s">
        <v>22</v>
      </c>
      <c r="C1564">
        <v>39627</v>
      </c>
      <c r="D1564" s="2" t="s">
        <v>13</v>
      </c>
      <c r="E1564">
        <v>6</v>
      </c>
      <c r="F1564">
        <v>2</v>
      </c>
      <c r="G1564" s="4">
        <f>VALUE(SUBSTITUTE(SUBSTITUTE(Table1[[#This Row],[Price]],"$",""),",",""))</f>
        <v>843703</v>
      </c>
      <c r="H1564" s="1">
        <f>Table1[[#This Row],[Price2]]/Table1[[#This Row],[Area]]</f>
        <v>937.44777777777779</v>
      </c>
      <c r="I1564">
        <v>900</v>
      </c>
      <c r="J1564">
        <v>2012</v>
      </c>
      <c r="K1564">
        <v>64</v>
      </c>
      <c r="L1564" t="s">
        <v>30</v>
      </c>
      <c r="M1564" t="s">
        <v>3023</v>
      </c>
      <c r="N1564" s="2" t="s">
        <v>3029</v>
      </c>
      <c r="O1564" t="s">
        <v>3030</v>
      </c>
      <c r="P1564" t="s">
        <v>21</v>
      </c>
      <c r="Q1564">
        <v>937.44777777777779</v>
      </c>
      <c r="R1564">
        <f ca="1">YEAR(TODAY())-Table1[[#This Row],[Year Built]]</f>
        <v>14</v>
      </c>
      <c r="S1564" t="str">
        <f>IF(Table1[[#This Row],[Days on Market]] &lt; 30,"Fast",IF(Table1[[#This Row],[Days on Market]]&lt;= 90,"Average", "Slow"))</f>
        <v>Average</v>
      </c>
      <c r="T1564" t="str">
        <f>IF(Table1[[#This Row],[Price2]]&lt;500000,"Affordable",IF(Table1[[#This Row],[Price2]]&lt;1000000,"Mid range","Luxury"))</f>
        <v>Mid range</v>
      </c>
    </row>
    <row r="1565" spans="1:20" x14ac:dyDescent="0.35">
      <c r="A1565" s="3">
        <v>843704</v>
      </c>
      <c r="B1565" s="2" t="s">
        <v>27</v>
      </c>
      <c r="C1565">
        <v>95821</v>
      </c>
      <c r="D1565" s="2" t="s">
        <v>23</v>
      </c>
      <c r="E1565">
        <v>4</v>
      </c>
      <c r="F1565">
        <v>1</v>
      </c>
      <c r="G1565" s="4">
        <f>VALUE(SUBSTITUTE(SUBSTITUTE(Table1[[#This Row],[Price]],"$",""),",",""))</f>
        <v>843704</v>
      </c>
      <c r="H1565" s="1">
        <f>Table1[[#This Row],[Price2]]/Table1[[#This Row],[Area]]</f>
        <v>221.09643605870022</v>
      </c>
      <c r="I1565">
        <v>3816</v>
      </c>
      <c r="J1565">
        <v>1963</v>
      </c>
      <c r="K1565">
        <v>114</v>
      </c>
      <c r="L1565" t="s">
        <v>14</v>
      </c>
      <c r="M1565" t="s">
        <v>512</v>
      </c>
      <c r="N1565" s="2" t="s">
        <v>3027</v>
      </c>
      <c r="O1565" t="s">
        <v>3028</v>
      </c>
      <c r="P1565" t="s">
        <v>16</v>
      </c>
      <c r="Q1565">
        <v>221.09643605870022</v>
      </c>
      <c r="R1565">
        <f ca="1">YEAR(TODAY())-Table1[[#This Row],[Year Built]]</f>
        <v>63</v>
      </c>
      <c r="S1565" t="str">
        <f>IF(Table1[[#This Row],[Days on Market]] &lt; 30,"Fast",IF(Table1[[#This Row],[Days on Market]]&lt;= 90,"Average", "Slow"))</f>
        <v>Slow</v>
      </c>
      <c r="T1565" t="str">
        <f>IF(Table1[[#This Row],[Price2]]&lt;500000,"Affordable",IF(Table1[[#This Row],[Price2]]&lt;1000000,"Mid range","Luxury"))</f>
        <v>Mid range</v>
      </c>
    </row>
    <row r="1566" spans="1:20" x14ac:dyDescent="0.35">
      <c r="A1566" s="3">
        <v>843750</v>
      </c>
      <c r="B1566" s="2" t="s">
        <v>17</v>
      </c>
      <c r="C1566">
        <v>46631</v>
      </c>
      <c r="D1566" s="2" t="s">
        <v>13</v>
      </c>
      <c r="E1566">
        <v>1</v>
      </c>
      <c r="F1566">
        <v>3</v>
      </c>
      <c r="G1566" s="4">
        <f>VALUE(SUBSTITUTE(SUBSTITUTE(Table1[[#This Row],[Price]],"$",""),",",""))</f>
        <v>843750</v>
      </c>
      <c r="H1566" s="1">
        <f>Table1[[#This Row],[Price2]]/Table1[[#This Row],[Area]]</f>
        <v>789.28905519176806</v>
      </c>
      <c r="I1566">
        <v>1069</v>
      </c>
      <c r="J1566">
        <v>2010</v>
      </c>
      <c r="K1566">
        <v>43</v>
      </c>
      <c r="L1566" t="s">
        <v>19</v>
      </c>
      <c r="M1566" t="s">
        <v>131</v>
      </c>
      <c r="N1566" s="2" t="s">
        <v>3027</v>
      </c>
      <c r="O1566" t="s">
        <v>3028</v>
      </c>
      <c r="P1566" t="s">
        <v>16</v>
      </c>
      <c r="Q1566">
        <v>789.28905519176806</v>
      </c>
      <c r="R1566">
        <f ca="1">YEAR(TODAY())-Table1[[#This Row],[Year Built]]</f>
        <v>16</v>
      </c>
      <c r="S1566" t="str">
        <f>IF(Table1[[#This Row],[Days on Market]] &lt; 30,"Fast",IF(Table1[[#This Row],[Days on Market]]&lt;= 90,"Average", "Slow"))</f>
        <v>Average</v>
      </c>
      <c r="T1566" t="str">
        <f>IF(Table1[[#This Row],[Price2]]&lt;500000,"Affordable",IF(Table1[[#This Row],[Price2]]&lt;1000000,"Mid range","Luxury"))</f>
        <v>Mid range</v>
      </c>
    </row>
    <row r="1567" spans="1:20" x14ac:dyDescent="0.35">
      <c r="A1567" s="3">
        <v>843829</v>
      </c>
      <c r="B1567" s="2" t="s">
        <v>27</v>
      </c>
      <c r="C1567">
        <v>49498</v>
      </c>
      <c r="D1567" s="2" t="s">
        <v>18</v>
      </c>
      <c r="E1567">
        <v>4</v>
      </c>
      <c r="F1567">
        <v>3</v>
      </c>
      <c r="G1567" s="4">
        <f>VALUE(SUBSTITUTE(SUBSTITUTE(Table1[[#This Row],[Price]],"$",""),",",""))</f>
        <v>843829</v>
      </c>
      <c r="H1567" s="1">
        <f>Table1[[#This Row],[Price2]]/Table1[[#This Row],[Area]]</f>
        <v>249.06404958677686</v>
      </c>
      <c r="I1567">
        <v>3388</v>
      </c>
      <c r="J1567">
        <v>2007</v>
      </c>
      <c r="K1567">
        <v>3</v>
      </c>
      <c r="L1567" t="s">
        <v>19</v>
      </c>
      <c r="M1567" t="s">
        <v>2601</v>
      </c>
      <c r="N1567" s="2" t="s">
        <v>3029</v>
      </c>
      <c r="O1567" t="s">
        <v>3030</v>
      </c>
      <c r="P1567" t="s">
        <v>21</v>
      </c>
      <c r="Q1567">
        <v>249.06404958677686</v>
      </c>
      <c r="R1567">
        <f ca="1">YEAR(TODAY())-Table1[[#This Row],[Year Built]]</f>
        <v>19</v>
      </c>
      <c r="S1567" t="str">
        <f>IF(Table1[[#This Row],[Days on Market]] &lt; 30,"Fast",IF(Table1[[#This Row],[Days on Market]]&lt;= 90,"Average", "Slow"))</f>
        <v>Fast</v>
      </c>
      <c r="T1567" t="str">
        <f>IF(Table1[[#This Row],[Price2]]&lt;500000,"Affordable",IF(Table1[[#This Row],[Price2]]&lt;1000000,"Mid range","Luxury"))</f>
        <v>Mid range</v>
      </c>
    </row>
    <row r="1568" spans="1:20" x14ac:dyDescent="0.35">
      <c r="A1568" s="3">
        <v>846494</v>
      </c>
      <c r="B1568" s="2" t="s">
        <v>12</v>
      </c>
      <c r="C1568">
        <v>10463</v>
      </c>
      <c r="D1568" s="2" t="s">
        <v>18</v>
      </c>
      <c r="E1568">
        <v>2</v>
      </c>
      <c r="F1568">
        <v>2</v>
      </c>
      <c r="G1568" s="4">
        <f>VALUE(SUBSTITUTE(SUBSTITUTE(Table1[[#This Row],[Price]],"$",""),",",""))</f>
        <v>846494</v>
      </c>
      <c r="H1568" s="1">
        <f>Table1[[#This Row],[Price2]]/Table1[[#This Row],[Area]]</f>
        <v>1369.7313915857605</v>
      </c>
      <c r="I1568">
        <v>618</v>
      </c>
      <c r="J1568">
        <v>1999</v>
      </c>
      <c r="K1568">
        <v>105</v>
      </c>
      <c r="L1568" t="s">
        <v>30</v>
      </c>
      <c r="M1568" t="s">
        <v>738</v>
      </c>
      <c r="N1568" s="2" t="s">
        <v>3035</v>
      </c>
      <c r="O1568" t="s">
        <v>3036</v>
      </c>
      <c r="P1568" t="s">
        <v>26</v>
      </c>
      <c r="Q1568">
        <v>1369.7313915857605</v>
      </c>
      <c r="R1568">
        <f ca="1">YEAR(TODAY())-Table1[[#This Row],[Year Built]]</f>
        <v>27</v>
      </c>
      <c r="S1568" t="str">
        <f>IF(Table1[[#This Row],[Days on Market]] &lt; 30,"Fast",IF(Table1[[#This Row],[Days on Market]]&lt;= 90,"Average", "Slow"))</f>
        <v>Slow</v>
      </c>
      <c r="T1568" t="str">
        <f>IF(Table1[[#This Row],[Price2]]&lt;500000,"Affordable",IF(Table1[[#This Row],[Price2]]&lt;1000000,"Mid range","Luxury"))</f>
        <v>Mid range</v>
      </c>
    </row>
    <row r="1569" spans="1:20" x14ac:dyDescent="0.35">
      <c r="A1569" s="3">
        <v>846683</v>
      </c>
      <c r="B1569" s="2" t="s">
        <v>17</v>
      </c>
      <c r="C1569">
        <v>76872</v>
      </c>
      <c r="D1569" s="2" t="s">
        <v>35</v>
      </c>
      <c r="E1569">
        <v>4</v>
      </c>
      <c r="F1569">
        <v>2</v>
      </c>
      <c r="G1569" s="4">
        <f>VALUE(SUBSTITUTE(SUBSTITUTE(Table1[[#This Row],[Price]],"$",""),",",""))</f>
        <v>846683</v>
      </c>
      <c r="H1569" s="1">
        <f>Table1[[#This Row],[Price2]]/Table1[[#This Row],[Area]]</f>
        <v>217.48856922681736</v>
      </c>
      <c r="I1569">
        <v>3893</v>
      </c>
      <c r="J1569">
        <v>1977</v>
      </c>
      <c r="K1569">
        <v>100</v>
      </c>
      <c r="L1569" t="s">
        <v>19</v>
      </c>
      <c r="M1569" t="s">
        <v>2415</v>
      </c>
      <c r="N1569" s="2" t="s">
        <v>3029</v>
      </c>
      <c r="O1569" t="s">
        <v>3030</v>
      </c>
      <c r="P1569" t="s">
        <v>26</v>
      </c>
      <c r="Q1569">
        <v>217.48856922681736</v>
      </c>
      <c r="R1569">
        <f ca="1">YEAR(TODAY())-Table1[[#This Row],[Year Built]]</f>
        <v>49</v>
      </c>
      <c r="S1569" t="str">
        <f>IF(Table1[[#This Row],[Days on Market]] &lt; 30,"Fast",IF(Table1[[#This Row],[Days on Market]]&lt;= 90,"Average", "Slow"))</f>
        <v>Slow</v>
      </c>
      <c r="T1569" t="str">
        <f>IF(Table1[[#This Row],[Price2]]&lt;500000,"Affordable",IF(Table1[[#This Row],[Price2]]&lt;1000000,"Mid range","Luxury"))</f>
        <v>Mid range</v>
      </c>
    </row>
    <row r="1570" spans="1:20" x14ac:dyDescent="0.35">
      <c r="A1570" s="3">
        <v>846925</v>
      </c>
      <c r="B1570" s="2" t="s">
        <v>27</v>
      </c>
      <c r="C1570">
        <v>12354</v>
      </c>
      <c r="D1570" s="2" t="s">
        <v>29</v>
      </c>
      <c r="E1570">
        <v>1</v>
      </c>
      <c r="F1570">
        <v>3</v>
      </c>
      <c r="G1570" s="4">
        <f>VALUE(SUBSTITUTE(SUBSTITUTE(Table1[[#This Row],[Price]],"$",""),",",""))</f>
        <v>846925</v>
      </c>
      <c r="H1570" s="1">
        <f>Table1[[#This Row],[Price2]]/Table1[[#This Row],[Area]]</f>
        <v>216.32822477650063</v>
      </c>
      <c r="I1570">
        <v>3915</v>
      </c>
      <c r="J1570">
        <v>2004</v>
      </c>
      <c r="K1570">
        <v>75</v>
      </c>
      <c r="L1570" t="s">
        <v>19</v>
      </c>
      <c r="M1570" t="s">
        <v>2796</v>
      </c>
      <c r="N1570" s="2" t="s">
        <v>3033</v>
      </c>
      <c r="O1570" t="s">
        <v>3034</v>
      </c>
      <c r="P1570" t="s">
        <v>21</v>
      </c>
      <c r="Q1570">
        <v>216.32822477650063</v>
      </c>
      <c r="R1570">
        <f ca="1">YEAR(TODAY())-Table1[[#This Row],[Year Built]]</f>
        <v>22</v>
      </c>
      <c r="S1570" t="str">
        <f>IF(Table1[[#This Row],[Days on Market]] &lt; 30,"Fast",IF(Table1[[#This Row],[Days on Market]]&lt;= 90,"Average", "Slow"))</f>
        <v>Average</v>
      </c>
      <c r="T1570" t="str">
        <f>IF(Table1[[#This Row],[Price2]]&lt;500000,"Affordable",IF(Table1[[#This Row],[Price2]]&lt;1000000,"Mid range","Luxury"))</f>
        <v>Mid range</v>
      </c>
    </row>
    <row r="1571" spans="1:20" x14ac:dyDescent="0.35">
      <c r="A1571" s="3">
        <v>847501</v>
      </c>
      <c r="B1571" s="2" t="s">
        <v>27</v>
      </c>
      <c r="C1571">
        <v>23456</v>
      </c>
      <c r="D1571" s="2" t="s">
        <v>18</v>
      </c>
      <c r="E1571">
        <v>3</v>
      </c>
      <c r="F1571">
        <v>2</v>
      </c>
      <c r="G1571" s="4">
        <f>VALUE(SUBSTITUTE(SUBSTITUTE(Table1[[#This Row],[Price]],"$",""),",",""))</f>
        <v>847501</v>
      </c>
      <c r="H1571" s="1">
        <f>Table1[[#This Row],[Price2]]/Table1[[#This Row],[Area]]</f>
        <v>576.53129251700682</v>
      </c>
      <c r="I1571">
        <v>1470</v>
      </c>
      <c r="J1571">
        <v>1952</v>
      </c>
      <c r="K1571">
        <v>27</v>
      </c>
      <c r="L1571" t="s">
        <v>40</v>
      </c>
      <c r="M1571" t="s">
        <v>2279</v>
      </c>
      <c r="N1571" s="2" t="s">
        <v>3027</v>
      </c>
      <c r="O1571" t="s">
        <v>3028</v>
      </c>
      <c r="P1571" t="s">
        <v>16</v>
      </c>
      <c r="Q1571">
        <v>576.53129251700682</v>
      </c>
      <c r="R1571">
        <f ca="1">YEAR(TODAY())-Table1[[#This Row],[Year Built]]</f>
        <v>74</v>
      </c>
      <c r="S1571" t="str">
        <f>IF(Table1[[#This Row],[Days on Market]] &lt; 30,"Fast",IF(Table1[[#This Row],[Days on Market]]&lt;= 90,"Average", "Slow"))</f>
        <v>Fast</v>
      </c>
      <c r="T1571" t="str">
        <f>IF(Table1[[#This Row],[Price2]]&lt;500000,"Affordable",IF(Table1[[#This Row],[Price2]]&lt;1000000,"Mid range","Luxury"))</f>
        <v>Mid range</v>
      </c>
    </row>
    <row r="1572" spans="1:20" x14ac:dyDescent="0.35">
      <c r="A1572" s="3">
        <v>847617</v>
      </c>
      <c r="B1572" s="2" t="s">
        <v>34</v>
      </c>
      <c r="C1572">
        <v>88554</v>
      </c>
      <c r="D1572" s="2" t="s">
        <v>35</v>
      </c>
      <c r="E1572">
        <v>2</v>
      </c>
      <c r="F1572">
        <v>4</v>
      </c>
      <c r="G1572" s="4">
        <f>VALUE(SUBSTITUTE(SUBSTITUTE(Table1[[#This Row],[Price]],"$",""),",",""))</f>
        <v>847617</v>
      </c>
      <c r="H1572" s="1">
        <f>Table1[[#This Row],[Price2]]/Table1[[#This Row],[Area]]</f>
        <v>338.64043148222135</v>
      </c>
      <c r="I1572">
        <v>2503</v>
      </c>
      <c r="J1572">
        <v>2021</v>
      </c>
      <c r="K1572">
        <v>5</v>
      </c>
      <c r="L1572" t="s">
        <v>40</v>
      </c>
      <c r="M1572" t="s">
        <v>1376</v>
      </c>
      <c r="N1572" s="2" t="s">
        <v>3029</v>
      </c>
      <c r="O1572" t="s">
        <v>3030</v>
      </c>
      <c r="P1572" t="s">
        <v>16</v>
      </c>
      <c r="Q1572">
        <v>338.64043148222135</v>
      </c>
      <c r="R1572">
        <f ca="1">YEAR(TODAY())-Table1[[#This Row],[Year Built]]</f>
        <v>5</v>
      </c>
      <c r="S1572" t="str">
        <f>IF(Table1[[#This Row],[Days on Market]] &lt; 30,"Fast",IF(Table1[[#This Row],[Days on Market]]&lt;= 90,"Average", "Slow"))</f>
        <v>Fast</v>
      </c>
      <c r="T1572" t="str">
        <f>IF(Table1[[#This Row],[Price2]]&lt;500000,"Affordable",IF(Table1[[#This Row],[Price2]]&lt;1000000,"Mid range","Luxury"))</f>
        <v>Mid range</v>
      </c>
    </row>
    <row r="1573" spans="1:20" x14ac:dyDescent="0.35">
      <c r="A1573" s="3">
        <v>848296</v>
      </c>
      <c r="B1573" s="2" t="s">
        <v>22</v>
      </c>
      <c r="C1573">
        <v>34902</v>
      </c>
      <c r="D1573" s="2" t="s">
        <v>13</v>
      </c>
      <c r="E1573">
        <v>4</v>
      </c>
      <c r="F1573">
        <v>2</v>
      </c>
      <c r="G1573" s="4">
        <f>VALUE(SUBSTITUTE(SUBSTITUTE(Table1[[#This Row],[Price]],"$",""),",",""))</f>
        <v>848296</v>
      </c>
      <c r="H1573" s="1">
        <f>Table1[[#This Row],[Price2]]/Table1[[#This Row],[Area]]</f>
        <v>413.8029268292683</v>
      </c>
      <c r="I1573">
        <v>2050</v>
      </c>
      <c r="J1573">
        <v>2004</v>
      </c>
      <c r="K1573">
        <v>104</v>
      </c>
      <c r="L1573" t="s">
        <v>14</v>
      </c>
      <c r="M1573" t="s">
        <v>410</v>
      </c>
      <c r="N1573" s="2" t="s">
        <v>3033</v>
      </c>
      <c r="O1573" t="s">
        <v>3034</v>
      </c>
      <c r="P1573" t="s">
        <v>21</v>
      </c>
      <c r="Q1573">
        <v>413.8029268292683</v>
      </c>
      <c r="R1573">
        <f ca="1">YEAR(TODAY())-Table1[[#This Row],[Year Built]]</f>
        <v>22</v>
      </c>
      <c r="S1573" t="str">
        <f>IF(Table1[[#This Row],[Days on Market]] &lt; 30,"Fast",IF(Table1[[#This Row],[Days on Market]]&lt;= 90,"Average", "Slow"))</f>
        <v>Slow</v>
      </c>
      <c r="T1573" t="str">
        <f>IF(Table1[[#This Row],[Price2]]&lt;500000,"Affordable",IF(Table1[[#This Row],[Price2]]&lt;1000000,"Mid range","Luxury"))</f>
        <v>Mid range</v>
      </c>
    </row>
    <row r="1574" spans="1:20" x14ac:dyDescent="0.35">
      <c r="A1574" s="3">
        <v>848451</v>
      </c>
      <c r="B1574" s="2" t="s">
        <v>12</v>
      </c>
      <c r="C1574">
        <v>79289</v>
      </c>
      <c r="D1574" s="2" t="s">
        <v>13</v>
      </c>
      <c r="E1574">
        <v>3</v>
      </c>
      <c r="F1574">
        <v>2</v>
      </c>
      <c r="G1574" s="4">
        <f>VALUE(SUBSTITUTE(SUBSTITUTE(Table1[[#This Row],[Price]],"$",""),",",""))</f>
        <v>848451</v>
      </c>
      <c r="H1574" s="1">
        <f>Table1[[#This Row],[Price2]]/Table1[[#This Row],[Area]]</f>
        <v>391.35193726937268</v>
      </c>
      <c r="I1574">
        <v>2168</v>
      </c>
      <c r="J1574">
        <v>1958</v>
      </c>
      <c r="K1574">
        <v>91</v>
      </c>
      <c r="L1574" t="s">
        <v>14</v>
      </c>
      <c r="M1574" t="s">
        <v>996</v>
      </c>
      <c r="N1574" s="2" t="s">
        <v>3027</v>
      </c>
      <c r="O1574" t="s">
        <v>3028</v>
      </c>
      <c r="P1574" t="s">
        <v>21</v>
      </c>
      <c r="Q1574">
        <v>391.35193726937268</v>
      </c>
      <c r="R1574">
        <f ca="1">YEAR(TODAY())-Table1[[#This Row],[Year Built]]</f>
        <v>68</v>
      </c>
      <c r="S1574" t="str">
        <f>IF(Table1[[#This Row],[Days on Market]] &lt; 30,"Fast",IF(Table1[[#This Row],[Days on Market]]&lt;= 90,"Average", "Slow"))</f>
        <v>Slow</v>
      </c>
      <c r="T1574" t="str">
        <f>IF(Table1[[#This Row],[Price2]]&lt;500000,"Affordable",IF(Table1[[#This Row],[Price2]]&lt;1000000,"Mid range","Luxury"))</f>
        <v>Mid range</v>
      </c>
    </row>
    <row r="1575" spans="1:20" x14ac:dyDescent="0.35">
      <c r="A1575" s="3">
        <v>848850</v>
      </c>
      <c r="B1575" s="2" t="s">
        <v>17</v>
      </c>
      <c r="C1575">
        <v>19834</v>
      </c>
      <c r="D1575" s="2" t="s">
        <v>13</v>
      </c>
      <c r="E1575">
        <v>1</v>
      </c>
      <c r="F1575">
        <v>2</v>
      </c>
      <c r="G1575" s="4">
        <f>VALUE(SUBSTITUTE(SUBSTITUTE(Table1[[#This Row],[Price]],"$",""),",",""))</f>
        <v>848850</v>
      </c>
      <c r="H1575" s="1">
        <f>Table1[[#This Row],[Price2]]/Table1[[#This Row],[Area]]</f>
        <v>223.49921011058453</v>
      </c>
      <c r="I1575">
        <v>3798</v>
      </c>
      <c r="J1575">
        <v>1966</v>
      </c>
      <c r="K1575">
        <v>73</v>
      </c>
      <c r="L1575" t="s">
        <v>19</v>
      </c>
      <c r="M1575" t="s">
        <v>1214</v>
      </c>
      <c r="N1575" s="2" t="s">
        <v>3033</v>
      </c>
      <c r="O1575" t="s">
        <v>3034</v>
      </c>
      <c r="P1575" t="s">
        <v>26</v>
      </c>
      <c r="Q1575">
        <v>223.49921011058453</v>
      </c>
      <c r="R1575">
        <f ca="1">YEAR(TODAY())-Table1[[#This Row],[Year Built]]</f>
        <v>60</v>
      </c>
      <c r="S1575" t="str">
        <f>IF(Table1[[#This Row],[Days on Market]] &lt; 30,"Fast",IF(Table1[[#This Row],[Days on Market]]&lt;= 90,"Average", "Slow"))</f>
        <v>Average</v>
      </c>
      <c r="T1575" t="str">
        <f>IF(Table1[[#This Row],[Price2]]&lt;500000,"Affordable",IF(Table1[[#This Row],[Price2]]&lt;1000000,"Mid range","Luxury"))</f>
        <v>Mid range</v>
      </c>
    </row>
    <row r="1576" spans="1:20" x14ac:dyDescent="0.35">
      <c r="A1576" s="3">
        <v>848974</v>
      </c>
      <c r="B1576" s="2" t="s">
        <v>17</v>
      </c>
      <c r="C1576">
        <v>18987</v>
      </c>
      <c r="D1576" s="2" t="s">
        <v>23</v>
      </c>
      <c r="E1576">
        <v>3</v>
      </c>
      <c r="F1576">
        <v>1</v>
      </c>
      <c r="G1576" s="4">
        <f>VALUE(SUBSTITUTE(SUBSTITUTE(Table1[[#This Row],[Price]],"$",""),",",""))</f>
        <v>848974</v>
      </c>
      <c r="H1576" s="1">
        <f>Table1[[#This Row],[Price2]]/Table1[[#This Row],[Area]]</f>
        <v>356.11325503355704</v>
      </c>
      <c r="I1576">
        <v>2384</v>
      </c>
      <c r="J1576">
        <v>2008</v>
      </c>
      <c r="K1576">
        <v>20</v>
      </c>
      <c r="L1576" t="s">
        <v>14</v>
      </c>
      <c r="M1576" t="s">
        <v>1487</v>
      </c>
      <c r="N1576" s="2" t="s">
        <v>3035</v>
      </c>
      <c r="O1576" t="s">
        <v>3036</v>
      </c>
      <c r="P1576" t="s">
        <v>21</v>
      </c>
      <c r="Q1576">
        <v>356.11325503355704</v>
      </c>
      <c r="R1576">
        <f ca="1">YEAR(TODAY())-Table1[[#This Row],[Year Built]]</f>
        <v>18</v>
      </c>
      <c r="S1576" t="str">
        <f>IF(Table1[[#This Row],[Days on Market]] &lt; 30,"Fast",IF(Table1[[#This Row],[Days on Market]]&lt;= 90,"Average", "Slow"))</f>
        <v>Fast</v>
      </c>
      <c r="T1576" t="str">
        <f>IF(Table1[[#This Row],[Price2]]&lt;500000,"Affordable",IF(Table1[[#This Row],[Price2]]&lt;1000000,"Mid range","Luxury"))</f>
        <v>Mid range</v>
      </c>
    </row>
    <row r="1577" spans="1:20" x14ac:dyDescent="0.35">
      <c r="A1577" s="3">
        <v>848988</v>
      </c>
      <c r="B1577" s="2" t="s">
        <v>22</v>
      </c>
      <c r="C1577">
        <v>58922</v>
      </c>
      <c r="D1577" s="2" t="s">
        <v>29</v>
      </c>
      <c r="E1577">
        <v>3</v>
      </c>
      <c r="F1577">
        <v>3</v>
      </c>
      <c r="G1577" s="4">
        <f>VALUE(SUBSTITUTE(SUBSTITUTE(Table1[[#This Row],[Price]],"$",""),",",""))</f>
        <v>848988</v>
      </c>
      <c r="H1577" s="1">
        <f>Table1[[#This Row],[Price2]]/Table1[[#This Row],[Area]]</f>
        <v>404.47260600285853</v>
      </c>
      <c r="I1577">
        <v>2099</v>
      </c>
      <c r="J1577">
        <v>1970</v>
      </c>
      <c r="K1577">
        <v>115</v>
      </c>
      <c r="L1577" t="s">
        <v>14</v>
      </c>
      <c r="M1577" t="s">
        <v>1124</v>
      </c>
      <c r="N1577" s="2" t="s">
        <v>3035</v>
      </c>
      <c r="O1577" t="s">
        <v>3036</v>
      </c>
      <c r="P1577" t="s">
        <v>16</v>
      </c>
      <c r="Q1577">
        <v>404.47260600285853</v>
      </c>
      <c r="R1577">
        <f ca="1">YEAR(TODAY())-Table1[[#This Row],[Year Built]]</f>
        <v>56</v>
      </c>
      <c r="S1577" t="str">
        <f>IF(Table1[[#This Row],[Days on Market]] &lt; 30,"Fast",IF(Table1[[#This Row],[Days on Market]]&lt;= 90,"Average", "Slow"))</f>
        <v>Slow</v>
      </c>
      <c r="T1577" t="str">
        <f>IF(Table1[[#This Row],[Price2]]&lt;500000,"Affordable",IF(Table1[[#This Row],[Price2]]&lt;1000000,"Mid range","Luxury"))</f>
        <v>Mid range</v>
      </c>
    </row>
    <row r="1578" spans="1:20" x14ac:dyDescent="0.35">
      <c r="A1578" s="3">
        <v>849363</v>
      </c>
      <c r="B1578" s="2" t="s">
        <v>27</v>
      </c>
      <c r="C1578">
        <v>88526</v>
      </c>
      <c r="D1578" s="2" t="s">
        <v>18</v>
      </c>
      <c r="E1578">
        <v>6</v>
      </c>
      <c r="F1578">
        <v>3</v>
      </c>
      <c r="G1578" s="4">
        <f>VALUE(SUBSTITUTE(SUBSTITUTE(Table1[[#This Row],[Price]],"$",""),",",""))</f>
        <v>849363</v>
      </c>
      <c r="H1578" s="1">
        <f>Table1[[#This Row],[Price2]]/Table1[[#This Row],[Area]]</f>
        <v>243.37048710601718</v>
      </c>
      <c r="I1578">
        <v>3490</v>
      </c>
      <c r="J1578">
        <v>1951</v>
      </c>
      <c r="K1578">
        <v>15</v>
      </c>
      <c r="L1578" t="s">
        <v>30</v>
      </c>
      <c r="M1578" t="s">
        <v>1592</v>
      </c>
      <c r="N1578" s="2" t="s">
        <v>3031</v>
      </c>
      <c r="O1578" t="s">
        <v>3032</v>
      </c>
      <c r="P1578" t="s">
        <v>16</v>
      </c>
      <c r="Q1578">
        <v>243.37048710601718</v>
      </c>
      <c r="R1578">
        <f ca="1">YEAR(TODAY())-Table1[[#This Row],[Year Built]]</f>
        <v>75</v>
      </c>
      <c r="S1578" t="str">
        <f>IF(Table1[[#This Row],[Days on Market]] &lt; 30,"Fast",IF(Table1[[#This Row],[Days on Market]]&lt;= 90,"Average", "Slow"))</f>
        <v>Fast</v>
      </c>
      <c r="T1578" t="str">
        <f>IF(Table1[[#This Row],[Price2]]&lt;500000,"Affordable",IF(Table1[[#This Row],[Price2]]&lt;1000000,"Mid range","Luxury"))</f>
        <v>Mid range</v>
      </c>
    </row>
    <row r="1579" spans="1:20" x14ac:dyDescent="0.35">
      <c r="A1579" s="3">
        <v>849581</v>
      </c>
      <c r="B1579" s="2" t="s">
        <v>27</v>
      </c>
      <c r="C1579">
        <v>39118</v>
      </c>
      <c r="D1579" s="2" t="s">
        <v>18</v>
      </c>
      <c r="E1579">
        <v>2</v>
      </c>
      <c r="F1579">
        <v>1</v>
      </c>
      <c r="G1579" s="4">
        <f>VALUE(SUBSTITUTE(SUBSTITUTE(Table1[[#This Row],[Price]],"$",""),",",""))</f>
        <v>849581</v>
      </c>
      <c r="H1579" s="1">
        <f>Table1[[#This Row],[Price2]]/Table1[[#This Row],[Area]]</f>
        <v>331.86757812500002</v>
      </c>
      <c r="I1579">
        <v>2560</v>
      </c>
      <c r="J1579">
        <v>1963</v>
      </c>
      <c r="K1579">
        <v>50</v>
      </c>
      <c r="L1579" t="s">
        <v>40</v>
      </c>
      <c r="M1579" t="s">
        <v>387</v>
      </c>
      <c r="N1579" s="2" t="s">
        <v>3033</v>
      </c>
      <c r="O1579" t="s">
        <v>3034</v>
      </c>
      <c r="P1579" t="s">
        <v>21</v>
      </c>
      <c r="Q1579">
        <v>331.86757812500002</v>
      </c>
      <c r="R1579">
        <f ca="1">YEAR(TODAY())-Table1[[#This Row],[Year Built]]</f>
        <v>63</v>
      </c>
      <c r="S1579" t="str">
        <f>IF(Table1[[#This Row],[Days on Market]] &lt; 30,"Fast",IF(Table1[[#This Row],[Days on Market]]&lt;= 90,"Average", "Slow"))</f>
        <v>Average</v>
      </c>
      <c r="T1579" t="str">
        <f>IF(Table1[[#This Row],[Price2]]&lt;500000,"Affordable",IF(Table1[[#This Row],[Price2]]&lt;1000000,"Mid range","Luxury"))</f>
        <v>Mid range</v>
      </c>
    </row>
    <row r="1580" spans="1:20" x14ac:dyDescent="0.35">
      <c r="A1580" s="3">
        <v>849860</v>
      </c>
      <c r="B1580" s="2" t="s">
        <v>12</v>
      </c>
      <c r="C1580">
        <v>68426</v>
      </c>
      <c r="D1580" s="2" t="s">
        <v>18</v>
      </c>
      <c r="E1580">
        <v>3</v>
      </c>
      <c r="F1580">
        <v>1</v>
      </c>
      <c r="G1580" s="4">
        <f>VALUE(SUBSTITUTE(SUBSTITUTE(Table1[[#This Row],[Price]],"$",""),",",""))</f>
        <v>849860</v>
      </c>
      <c r="H1580" s="1">
        <f>Table1[[#This Row],[Price2]]/Table1[[#This Row],[Area]]</f>
        <v>225.0092666137146</v>
      </c>
      <c r="I1580">
        <v>3777</v>
      </c>
      <c r="J1580">
        <v>2008</v>
      </c>
      <c r="K1580">
        <v>63</v>
      </c>
      <c r="L1580" t="s">
        <v>40</v>
      </c>
      <c r="M1580" t="s">
        <v>332</v>
      </c>
      <c r="N1580" s="2" t="s">
        <v>3029</v>
      </c>
      <c r="O1580" t="s">
        <v>3030</v>
      </c>
      <c r="P1580" t="s">
        <v>21</v>
      </c>
      <c r="Q1580">
        <v>225.0092666137146</v>
      </c>
      <c r="R1580">
        <f ca="1">YEAR(TODAY())-Table1[[#This Row],[Year Built]]</f>
        <v>18</v>
      </c>
      <c r="S1580" t="str">
        <f>IF(Table1[[#This Row],[Days on Market]] &lt; 30,"Fast",IF(Table1[[#This Row],[Days on Market]]&lt;= 90,"Average", "Slow"))</f>
        <v>Average</v>
      </c>
      <c r="T1580" t="str">
        <f>IF(Table1[[#This Row],[Price2]]&lt;500000,"Affordable",IF(Table1[[#This Row],[Price2]]&lt;1000000,"Mid range","Luxury"))</f>
        <v>Mid range</v>
      </c>
    </row>
    <row r="1581" spans="1:20" x14ac:dyDescent="0.35">
      <c r="A1581" s="3">
        <v>850010</v>
      </c>
      <c r="B1581" s="2" t="s">
        <v>22</v>
      </c>
      <c r="C1581">
        <v>10339</v>
      </c>
      <c r="D1581" s="2" t="s">
        <v>35</v>
      </c>
      <c r="E1581">
        <v>5</v>
      </c>
      <c r="F1581">
        <v>1</v>
      </c>
      <c r="G1581" s="4">
        <f>VALUE(SUBSTITUTE(SUBSTITUTE(Table1[[#This Row],[Price]],"$",""),",",""))</f>
        <v>850010</v>
      </c>
      <c r="H1581" s="1">
        <f>Table1[[#This Row],[Price2]]/Table1[[#This Row],[Area]]</f>
        <v>351.3890037205457</v>
      </c>
      <c r="I1581">
        <v>2419</v>
      </c>
      <c r="J1581">
        <v>1991</v>
      </c>
      <c r="K1581">
        <v>78</v>
      </c>
      <c r="L1581" t="s">
        <v>52</v>
      </c>
      <c r="M1581" t="s">
        <v>923</v>
      </c>
      <c r="N1581" s="2" t="s">
        <v>3031</v>
      </c>
      <c r="O1581" t="s">
        <v>3032</v>
      </c>
      <c r="P1581" t="s">
        <v>16</v>
      </c>
      <c r="Q1581">
        <v>351.3890037205457</v>
      </c>
      <c r="R1581">
        <f ca="1">YEAR(TODAY())-Table1[[#This Row],[Year Built]]</f>
        <v>35</v>
      </c>
      <c r="S1581" t="str">
        <f>IF(Table1[[#This Row],[Days on Market]] &lt; 30,"Fast",IF(Table1[[#This Row],[Days on Market]]&lt;= 90,"Average", "Slow"))</f>
        <v>Average</v>
      </c>
      <c r="T1581" t="str">
        <f>IF(Table1[[#This Row],[Price2]]&lt;500000,"Affordable",IF(Table1[[#This Row],[Price2]]&lt;1000000,"Mid range","Luxury"))</f>
        <v>Mid range</v>
      </c>
    </row>
    <row r="1582" spans="1:20" x14ac:dyDescent="0.35">
      <c r="A1582" s="3">
        <v>850519</v>
      </c>
      <c r="B1582" s="2" t="s">
        <v>22</v>
      </c>
      <c r="C1582">
        <v>51763</v>
      </c>
      <c r="D1582" s="2" t="s">
        <v>18</v>
      </c>
      <c r="E1582">
        <v>6</v>
      </c>
      <c r="F1582">
        <v>1</v>
      </c>
      <c r="G1582" s="4">
        <f>VALUE(SUBSTITUTE(SUBSTITUTE(Table1[[#This Row],[Price]],"$",""),",",""))</f>
        <v>850519</v>
      </c>
      <c r="H1582" s="1">
        <f>Table1[[#This Row],[Price2]]/Table1[[#This Row],[Area]]</f>
        <v>349.86384204031265</v>
      </c>
      <c r="I1582">
        <v>2431</v>
      </c>
      <c r="J1582">
        <v>2001</v>
      </c>
      <c r="K1582">
        <v>15</v>
      </c>
      <c r="L1582" t="s">
        <v>30</v>
      </c>
      <c r="M1582" t="s">
        <v>471</v>
      </c>
      <c r="N1582" s="2" t="s">
        <v>3029</v>
      </c>
      <c r="O1582" t="s">
        <v>3030</v>
      </c>
      <c r="P1582" t="s">
        <v>16</v>
      </c>
      <c r="Q1582">
        <v>349.86384204031265</v>
      </c>
      <c r="R1582">
        <f ca="1">YEAR(TODAY())-Table1[[#This Row],[Year Built]]</f>
        <v>25</v>
      </c>
      <c r="S1582" t="str">
        <f>IF(Table1[[#This Row],[Days on Market]] &lt; 30,"Fast",IF(Table1[[#This Row],[Days on Market]]&lt;= 90,"Average", "Slow"))</f>
        <v>Fast</v>
      </c>
      <c r="T1582" t="str">
        <f>IF(Table1[[#This Row],[Price2]]&lt;500000,"Affordable",IF(Table1[[#This Row],[Price2]]&lt;1000000,"Mid range","Luxury"))</f>
        <v>Mid range</v>
      </c>
    </row>
    <row r="1583" spans="1:20" x14ac:dyDescent="0.35">
      <c r="A1583" s="3">
        <v>850524</v>
      </c>
      <c r="B1583" s="2" t="s">
        <v>27</v>
      </c>
      <c r="C1583">
        <v>35378</v>
      </c>
      <c r="D1583" s="2" t="s">
        <v>18</v>
      </c>
      <c r="E1583">
        <v>1</v>
      </c>
      <c r="F1583">
        <v>2</v>
      </c>
      <c r="G1583" s="4">
        <f>VALUE(SUBSTITUTE(SUBSTITUTE(Table1[[#This Row],[Price]],"$",""),",",""))</f>
        <v>850524</v>
      </c>
      <c r="H1583" s="1">
        <f>Table1[[#This Row],[Price2]]/Table1[[#This Row],[Area]]</f>
        <v>224.82791435368756</v>
      </c>
      <c r="I1583">
        <v>3783</v>
      </c>
      <c r="J1583">
        <v>1984</v>
      </c>
      <c r="K1583">
        <v>102</v>
      </c>
      <c r="L1583" t="s">
        <v>52</v>
      </c>
      <c r="M1583" t="s">
        <v>568</v>
      </c>
      <c r="N1583" s="2" t="s">
        <v>3031</v>
      </c>
      <c r="O1583" t="s">
        <v>3032</v>
      </c>
      <c r="P1583" t="s">
        <v>26</v>
      </c>
      <c r="Q1583">
        <v>224.82791435368756</v>
      </c>
      <c r="R1583">
        <f ca="1">YEAR(TODAY())-Table1[[#This Row],[Year Built]]</f>
        <v>42</v>
      </c>
      <c r="S1583" t="str">
        <f>IF(Table1[[#This Row],[Days on Market]] &lt; 30,"Fast",IF(Table1[[#This Row],[Days on Market]]&lt;= 90,"Average", "Slow"))</f>
        <v>Slow</v>
      </c>
      <c r="T1583" t="str">
        <f>IF(Table1[[#This Row],[Price2]]&lt;500000,"Affordable",IF(Table1[[#This Row],[Price2]]&lt;1000000,"Mid range","Luxury"))</f>
        <v>Mid range</v>
      </c>
    </row>
    <row r="1584" spans="1:20" x14ac:dyDescent="0.35">
      <c r="A1584" s="3">
        <v>850616</v>
      </c>
      <c r="B1584" s="2" t="s">
        <v>22</v>
      </c>
      <c r="C1584">
        <v>57772</v>
      </c>
      <c r="D1584" s="2" t="s">
        <v>29</v>
      </c>
      <c r="E1584">
        <v>6</v>
      </c>
      <c r="F1584">
        <v>4</v>
      </c>
      <c r="G1584" s="4">
        <f>VALUE(SUBSTITUTE(SUBSTITUTE(Table1[[#This Row],[Price]],"$",""),",",""))</f>
        <v>850616</v>
      </c>
      <c r="H1584" s="1">
        <f>Table1[[#This Row],[Price2]]/Table1[[#This Row],[Area]]</f>
        <v>355.46009193480984</v>
      </c>
      <c r="I1584">
        <v>2393</v>
      </c>
      <c r="J1584">
        <v>2000</v>
      </c>
      <c r="K1584">
        <v>93</v>
      </c>
      <c r="L1584" t="s">
        <v>40</v>
      </c>
      <c r="M1584" t="s">
        <v>2900</v>
      </c>
      <c r="N1584" s="2" t="s">
        <v>3029</v>
      </c>
      <c r="O1584" t="s">
        <v>3030</v>
      </c>
      <c r="P1584" t="s">
        <v>21</v>
      </c>
      <c r="Q1584">
        <v>355.46009193480984</v>
      </c>
      <c r="R1584">
        <f ca="1">YEAR(TODAY())-Table1[[#This Row],[Year Built]]</f>
        <v>26</v>
      </c>
      <c r="S1584" t="str">
        <f>IF(Table1[[#This Row],[Days on Market]] &lt; 30,"Fast",IF(Table1[[#This Row],[Days on Market]]&lt;= 90,"Average", "Slow"))</f>
        <v>Slow</v>
      </c>
      <c r="T1584" t="str">
        <f>IF(Table1[[#This Row],[Price2]]&lt;500000,"Affordable",IF(Table1[[#This Row],[Price2]]&lt;1000000,"Mid range","Luxury"))</f>
        <v>Mid range</v>
      </c>
    </row>
    <row r="1585" spans="1:20" x14ac:dyDescent="0.35">
      <c r="A1585" s="3">
        <v>850639</v>
      </c>
      <c r="B1585" s="2" t="s">
        <v>34</v>
      </c>
      <c r="C1585">
        <v>80491</v>
      </c>
      <c r="D1585" s="2" t="s">
        <v>23</v>
      </c>
      <c r="E1585">
        <v>2</v>
      </c>
      <c r="F1585">
        <v>4</v>
      </c>
      <c r="G1585" s="4">
        <f>VALUE(SUBSTITUTE(SUBSTITUTE(Table1[[#This Row],[Price]],"$",""),",",""))</f>
        <v>850639</v>
      </c>
      <c r="H1585" s="1">
        <f>Table1[[#This Row],[Price2]]/Table1[[#This Row],[Area]]</f>
        <v>329.7050387596899</v>
      </c>
      <c r="I1585">
        <v>2580</v>
      </c>
      <c r="J1585">
        <v>1991</v>
      </c>
      <c r="K1585">
        <v>103</v>
      </c>
      <c r="L1585" t="s">
        <v>14</v>
      </c>
      <c r="M1585" t="s">
        <v>2127</v>
      </c>
      <c r="N1585" s="2" t="s">
        <v>3033</v>
      </c>
      <c r="O1585" t="s">
        <v>3034</v>
      </c>
      <c r="P1585" t="s">
        <v>26</v>
      </c>
      <c r="Q1585">
        <v>329.7050387596899</v>
      </c>
      <c r="R1585">
        <f ca="1">YEAR(TODAY())-Table1[[#This Row],[Year Built]]</f>
        <v>35</v>
      </c>
      <c r="S1585" t="str">
        <f>IF(Table1[[#This Row],[Days on Market]] &lt; 30,"Fast",IF(Table1[[#This Row],[Days on Market]]&lt;= 90,"Average", "Slow"))</f>
        <v>Slow</v>
      </c>
      <c r="T1585" t="str">
        <f>IF(Table1[[#This Row],[Price2]]&lt;500000,"Affordable",IF(Table1[[#This Row],[Price2]]&lt;1000000,"Mid range","Luxury"))</f>
        <v>Mid range</v>
      </c>
    </row>
    <row r="1586" spans="1:20" x14ac:dyDescent="0.35">
      <c r="A1586" s="3">
        <v>851420</v>
      </c>
      <c r="B1586" s="2" t="s">
        <v>22</v>
      </c>
      <c r="C1586">
        <v>20336</v>
      </c>
      <c r="D1586" s="2" t="s">
        <v>29</v>
      </c>
      <c r="E1586">
        <v>3</v>
      </c>
      <c r="F1586">
        <v>2</v>
      </c>
      <c r="G1586" s="4">
        <f>VALUE(SUBSTITUTE(SUBSTITUTE(Table1[[#This Row],[Price]],"$",""),",",""))</f>
        <v>851420</v>
      </c>
      <c r="H1586" s="1">
        <f>Table1[[#This Row],[Price2]]/Table1[[#This Row],[Area]]</f>
        <v>880.47569803516024</v>
      </c>
      <c r="I1586">
        <v>967</v>
      </c>
      <c r="J1586">
        <v>1955</v>
      </c>
      <c r="K1586">
        <v>47</v>
      </c>
      <c r="L1586" t="s">
        <v>14</v>
      </c>
      <c r="M1586" t="s">
        <v>1485</v>
      </c>
      <c r="N1586" s="2" t="s">
        <v>3031</v>
      </c>
      <c r="O1586" t="s">
        <v>3032</v>
      </c>
      <c r="P1586" t="s">
        <v>26</v>
      </c>
      <c r="Q1586">
        <v>880.47569803516024</v>
      </c>
      <c r="R1586">
        <f ca="1">YEAR(TODAY())-Table1[[#This Row],[Year Built]]</f>
        <v>71</v>
      </c>
      <c r="S1586" t="str">
        <f>IF(Table1[[#This Row],[Days on Market]] &lt; 30,"Fast",IF(Table1[[#This Row],[Days on Market]]&lt;= 90,"Average", "Slow"))</f>
        <v>Average</v>
      </c>
      <c r="T1586" t="str">
        <f>IF(Table1[[#This Row],[Price2]]&lt;500000,"Affordable",IF(Table1[[#This Row],[Price2]]&lt;1000000,"Mid range","Luxury"))</f>
        <v>Mid range</v>
      </c>
    </row>
    <row r="1587" spans="1:20" x14ac:dyDescent="0.35">
      <c r="A1587" s="3">
        <v>851439</v>
      </c>
      <c r="B1587" s="2" t="s">
        <v>12</v>
      </c>
      <c r="C1587">
        <v>77829</v>
      </c>
      <c r="D1587" s="2" t="s">
        <v>13</v>
      </c>
      <c r="E1587">
        <v>4</v>
      </c>
      <c r="F1587">
        <v>1</v>
      </c>
      <c r="G1587" s="4">
        <f>VALUE(SUBSTITUTE(SUBSTITUTE(Table1[[#This Row],[Price]],"$",""),",",""))</f>
        <v>851439</v>
      </c>
      <c r="H1587" s="1">
        <f>Table1[[#This Row],[Price2]]/Table1[[#This Row],[Area]]</f>
        <v>219.49961330239753</v>
      </c>
      <c r="I1587">
        <v>3879</v>
      </c>
      <c r="J1587">
        <v>1992</v>
      </c>
      <c r="K1587">
        <v>109</v>
      </c>
      <c r="L1587" t="s">
        <v>19</v>
      </c>
      <c r="M1587" t="s">
        <v>1388</v>
      </c>
      <c r="N1587" s="2" t="s">
        <v>3033</v>
      </c>
      <c r="O1587" t="s">
        <v>3034</v>
      </c>
      <c r="P1587" t="s">
        <v>21</v>
      </c>
      <c r="Q1587">
        <v>219.49961330239753</v>
      </c>
      <c r="R1587">
        <f ca="1">YEAR(TODAY())-Table1[[#This Row],[Year Built]]</f>
        <v>34</v>
      </c>
      <c r="S1587" t="str">
        <f>IF(Table1[[#This Row],[Days on Market]] &lt; 30,"Fast",IF(Table1[[#This Row],[Days on Market]]&lt;= 90,"Average", "Slow"))</f>
        <v>Slow</v>
      </c>
      <c r="T1587" t="str">
        <f>IF(Table1[[#This Row],[Price2]]&lt;500000,"Affordable",IF(Table1[[#This Row],[Price2]]&lt;1000000,"Mid range","Luxury"))</f>
        <v>Mid range</v>
      </c>
    </row>
    <row r="1588" spans="1:20" x14ac:dyDescent="0.35">
      <c r="A1588" s="3">
        <v>851444</v>
      </c>
      <c r="B1588" s="2" t="s">
        <v>17</v>
      </c>
      <c r="C1588">
        <v>63625</v>
      </c>
      <c r="D1588" s="2" t="s">
        <v>23</v>
      </c>
      <c r="E1588">
        <v>5</v>
      </c>
      <c r="F1588">
        <v>3</v>
      </c>
      <c r="G1588" s="4">
        <f>VALUE(SUBSTITUTE(SUBSTITUTE(Table1[[#This Row],[Price]],"$",""),",",""))</f>
        <v>851444</v>
      </c>
      <c r="H1588" s="1">
        <f>Table1[[#This Row],[Price2]]/Table1[[#This Row],[Area]]</f>
        <v>591.69145239749821</v>
      </c>
      <c r="I1588">
        <v>1439</v>
      </c>
      <c r="J1588">
        <v>1952</v>
      </c>
      <c r="K1588">
        <v>23</v>
      </c>
      <c r="L1588" t="s">
        <v>52</v>
      </c>
      <c r="M1588" t="s">
        <v>1203</v>
      </c>
      <c r="N1588" s="2" t="s">
        <v>3027</v>
      </c>
      <c r="O1588" t="s">
        <v>3028</v>
      </c>
      <c r="P1588" t="s">
        <v>21</v>
      </c>
      <c r="Q1588">
        <v>591.69145239749821</v>
      </c>
      <c r="R1588">
        <f ca="1">YEAR(TODAY())-Table1[[#This Row],[Year Built]]</f>
        <v>74</v>
      </c>
      <c r="S1588" t="str">
        <f>IF(Table1[[#This Row],[Days on Market]] &lt; 30,"Fast",IF(Table1[[#This Row],[Days on Market]]&lt;= 90,"Average", "Slow"))</f>
        <v>Fast</v>
      </c>
      <c r="T1588" t="str">
        <f>IF(Table1[[#This Row],[Price2]]&lt;500000,"Affordable",IF(Table1[[#This Row],[Price2]]&lt;1000000,"Mid range","Luxury"))</f>
        <v>Mid range</v>
      </c>
    </row>
    <row r="1589" spans="1:20" x14ac:dyDescent="0.35">
      <c r="A1589" s="3">
        <v>852100</v>
      </c>
      <c r="B1589" s="2" t="s">
        <v>17</v>
      </c>
      <c r="C1589">
        <v>31282</v>
      </c>
      <c r="D1589" s="2" t="s">
        <v>13</v>
      </c>
      <c r="E1589">
        <v>1</v>
      </c>
      <c r="F1589">
        <v>1</v>
      </c>
      <c r="G1589" s="4">
        <f>VALUE(SUBSTITUTE(SUBSTITUTE(Table1[[#This Row],[Price]],"$",""),",",""))</f>
        <v>852100</v>
      </c>
      <c r="H1589" s="1">
        <f>Table1[[#This Row],[Price2]]/Table1[[#This Row],[Area]]</f>
        <v>247.05711800521891</v>
      </c>
      <c r="I1589">
        <v>3449</v>
      </c>
      <c r="J1589">
        <v>1979</v>
      </c>
      <c r="K1589">
        <v>90</v>
      </c>
      <c r="L1589" t="s">
        <v>30</v>
      </c>
      <c r="M1589" t="s">
        <v>2976</v>
      </c>
      <c r="N1589" s="2" t="s">
        <v>3029</v>
      </c>
      <c r="O1589" t="s">
        <v>3030</v>
      </c>
      <c r="P1589" t="s">
        <v>16</v>
      </c>
      <c r="Q1589">
        <v>247.05711800521891</v>
      </c>
      <c r="R1589">
        <f ca="1">YEAR(TODAY())-Table1[[#This Row],[Year Built]]</f>
        <v>47</v>
      </c>
      <c r="S1589" t="str">
        <f>IF(Table1[[#This Row],[Days on Market]] &lt; 30,"Fast",IF(Table1[[#This Row],[Days on Market]]&lt;= 90,"Average", "Slow"))</f>
        <v>Average</v>
      </c>
      <c r="T1589" t="str">
        <f>IF(Table1[[#This Row],[Price2]]&lt;500000,"Affordable",IF(Table1[[#This Row],[Price2]]&lt;1000000,"Mid range","Luxury"))</f>
        <v>Mid range</v>
      </c>
    </row>
    <row r="1590" spans="1:20" x14ac:dyDescent="0.35">
      <c r="A1590" s="3">
        <v>853353</v>
      </c>
      <c r="B1590" s="2" t="s">
        <v>34</v>
      </c>
      <c r="C1590">
        <v>88211</v>
      </c>
      <c r="D1590" s="2" t="s">
        <v>23</v>
      </c>
      <c r="E1590">
        <v>1</v>
      </c>
      <c r="F1590">
        <v>2</v>
      </c>
      <c r="G1590" s="4">
        <f>VALUE(SUBSTITUTE(SUBSTITUTE(Table1[[#This Row],[Price]],"$",""),",",""))</f>
        <v>853353</v>
      </c>
      <c r="H1590" s="1">
        <f>Table1[[#This Row],[Price2]]/Table1[[#This Row],[Area]]</f>
        <v>227.43949893390192</v>
      </c>
      <c r="I1590">
        <v>3752</v>
      </c>
      <c r="J1590">
        <v>1973</v>
      </c>
      <c r="K1590">
        <v>77</v>
      </c>
      <c r="L1590" t="s">
        <v>30</v>
      </c>
      <c r="M1590" t="s">
        <v>1061</v>
      </c>
      <c r="N1590" s="2" t="s">
        <v>3027</v>
      </c>
      <c r="O1590" t="s">
        <v>3028</v>
      </c>
      <c r="P1590" t="s">
        <v>26</v>
      </c>
      <c r="Q1590">
        <v>227.43949893390192</v>
      </c>
      <c r="R1590">
        <f ca="1">YEAR(TODAY())-Table1[[#This Row],[Year Built]]</f>
        <v>53</v>
      </c>
      <c r="S1590" t="str">
        <f>IF(Table1[[#This Row],[Days on Market]] &lt; 30,"Fast",IF(Table1[[#This Row],[Days on Market]]&lt;= 90,"Average", "Slow"))</f>
        <v>Average</v>
      </c>
      <c r="T1590" t="str">
        <f>IF(Table1[[#This Row],[Price2]]&lt;500000,"Affordable",IF(Table1[[#This Row],[Price2]]&lt;1000000,"Mid range","Luxury"))</f>
        <v>Mid range</v>
      </c>
    </row>
    <row r="1591" spans="1:20" x14ac:dyDescent="0.35">
      <c r="A1591" s="3">
        <v>853376</v>
      </c>
      <c r="B1591" s="2" t="s">
        <v>27</v>
      </c>
      <c r="C1591">
        <v>95141</v>
      </c>
      <c r="D1591" s="2" t="s">
        <v>23</v>
      </c>
      <c r="E1591">
        <v>5</v>
      </c>
      <c r="F1591">
        <v>4</v>
      </c>
      <c r="G1591" s="4">
        <f>VALUE(SUBSTITUTE(SUBSTITUTE(Table1[[#This Row],[Price]],"$",""),",",""))</f>
        <v>853376</v>
      </c>
      <c r="H1591" s="1">
        <f>Table1[[#This Row],[Price2]]/Table1[[#This Row],[Area]]</f>
        <v>904</v>
      </c>
      <c r="I1591">
        <v>944</v>
      </c>
      <c r="J1591">
        <v>1995</v>
      </c>
      <c r="K1591">
        <v>64</v>
      </c>
      <c r="L1591" t="s">
        <v>14</v>
      </c>
      <c r="M1591" t="s">
        <v>2992</v>
      </c>
      <c r="N1591" s="2" t="s">
        <v>3029</v>
      </c>
      <c r="O1591" t="s">
        <v>3030</v>
      </c>
      <c r="P1591" t="s">
        <v>16</v>
      </c>
      <c r="Q1591">
        <v>904</v>
      </c>
      <c r="R1591">
        <f ca="1">YEAR(TODAY())-Table1[[#This Row],[Year Built]]</f>
        <v>31</v>
      </c>
      <c r="S1591" t="str">
        <f>IF(Table1[[#This Row],[Days on Market]] &lt; 30,"Fast",IF(Table1[[#This Row],[Days on Market]]&lt;= 90,"Average", "Slow"))</f>
        <v>Average</v>
      </c>
      <c r="T1591" t="str">
        <f>IF(Table1[[#This Row],[Price2]]&lt;500000,"Affordable",IF(Table1[[#This Row],[Price2]]&lt;1000000,"Mid range","Luxury"))</f>
        <v>Mid range</v>
      </c>
    </row>
    <row r="1592" spans="1:20" x14ac:dyDescent="0.35">
      <c r="A1592" s="3">
        <v>854226</v>
      </c>
      <c r="B1592" s="2" t="s">
        <v>17</v>
      </c>
      <c r="C1592">
        <v>56693</v>
      </c>
      <c r="D1592" s="2" t="s">
        <v>35</v>
      </c>
      <c r="E1592">
        <v>4</v>
      </c>
      <c r="F1592">
        <v>4</v>
      </c>
      <c r="G1592" s="4">
        <f>VALUE(SUBSTITUTE(SUBSTITUTE(Table1[[#This Row],[Price]],"$",""),",",""))</f>
        <v>854226</v>
      </c>
      <c r="H1592" s="1">
        <f>Table1[[#This Row],[Price2]]/Table1[[#This Row],[Area]]</f>
        <v>229.01501340482574</v>
      </c>
      <c r="I1592">
        <v>3730</v>
      </c>
      <c r="J1592">
        <v>1970</v>
      </c>
      <c r="K1592">
        <v>35</v>
      </c>
      <c r="L1592" t="s">
        <v>40</v>
      </c>
      <c r="M1592" t="s">
        <v>2766</v>
      </c>
      <c r="N1592" s="2" t="s">
        <v>3033</v>
      </c>
      <c r="O1592" t="s">
        <v>3034</v>
      </c>
      <c r="P1592" t="s">
        <v>16</v>
      </c>
      <c r="Q1592">
        <v>229.01501340482574</v>
      </c>
      <c r="R1592">
        <f ca="1">YEAR(TODAY())-Table1[[#This Row],[Year Built]]</f>
        <v>56</v>
      </c>
      <c r="S1592" t="str">
        <f>IF(Table1[[#This Row],[Days on Market]] &lt; 30,"Fast",IF(Table1[[#This Row],[Days on Market]]&lt;= 90,"Average", "Slow"))</f>
        <v>Average</v>
      </c>
      <c r="T1592" t="str">
        <f>IF(Table1[[#This Row],[Price2]]&lt;500000,"Affordable",IF(Table1[[#This Row],[Price2]]&lt;1000000,"Mid range","Luxury"))</f>
        <v>Mid range</v>
      </c>
    </row>
    <row r="1593" spans="1:20" x14ac:dyDescent="0.35">
      <c r="A1593" s="3">
        <v>854669</v>
      </c>
      <c r="B1593" s="2" t="s">
        <v>27</v>
      </c>
      <c r="C1593">
        <v>80765</v>
      </c>
      <c r="D1593" s="2" t="s">
        <v>35</v>
      </c>
      <c r="E1593">
        <v>5</v>
      </c>
      <c r="F1593">
        <v>4</v>
      </c>
      <c r="G1593" s="4">
        <f>VALUE(SUBSTITUTE(SUBSTITUTE(Table1[[#This Row],[Price]],"$",""),",",""))</f>
        <v>854669</v>
      </c>
      <c r="H1593" s="1">
        <f>Table1[[#This Row],[Price2]]/Table1[[#This Row],[Area]]</f>
        <v>438.29179487179488</v>
      </c>
      <c r="I1593">
        <v>1950</v>
      </c>
      <c r="J1593">
        <v>1996</v>
      </c>
      <c r="K1593">
        <v>105</v>
      </c>
      <c r="L1593" t="s">
        <v>52</v>
      </c>
      <c r="M1593" t="s">
        <v>1091</v>
      </c>
      <c r="N1593" s="2" t="s">
        <v>3035</v>
      </c>
      <c r="O1593" t="s">
        <v>3036</v>
      </c>
      <c r="P1593" t="s">
        <v>26</v>
      </c>
      <c r="Q1593">
        <v>438.29179487179488</v>
      </c>
      <c r="R1593">
        <f ca="1">YEAR(TODAY())-Table1[[#This Row],[Year Built]]</f>
        <v>30</v>
      </c>
      <c r="S1593" t="str">
        <f>IF(Table1[[#This Row],[Days on Market]] &lt; 30,"Fast",IF(Table1[[#This Row],[Days on Market]]&lt;= 90,"Average", "Slow"))</f>
        <v>Slow</v>
      </c>
      <c r="T1593" t="str">
        <f>IF(Table1[[#This Row],[Price2]]&lt;500000,"Affordable",IF(Table1[[#This Row],[Price2]]&lt;1000000,"Mid range","Luxury"))</f>
        <v>Mid range</v>
      </c>
    </row>
    <row r="1594" spans="1:20" x14ac:dyDescent="0.35">
      <c r="A1594" s="3">
        <v>854770</v>
      </c>
      <c r="B1594" s="2" t="s">
        <v>22</v>
      </c>
      <c r="C1594">
        <v>20349</v>
      </c>
      <c r="D1594" s="2" t="s">
        <v>13</v>
      </c>
      <c r="E1594">
        <v>3</v>
      </c>
      <c r="F1594">
        <v>4</v>
      </c>
      <c r="G1594" s="4">
        <f>VALUE(SUBSTITUTE(SUBSTITUTE(Table1[[#This Row],[Price]],"$",""),",",""))</f>
        <v>854770</v>
      </c>
      <c r="H1594" s="1">
        <f>Table1[[#This Row],[Price2]]/Table1[[#This Row],[Area]]</f>
        <v>965.84180790960454</v>
      </c>
      <c r="I1594">
        <v>885</v>
      </c>
      <c r="J1594">
        <v>2001</v>
      </c>
      <c r="K1594">
        <v>83</v>
      </c>
      <c r="L1594" t="s">
        <v>52</v>
      </c>
      <c r="M1594" t="s">
        <v>478</v>
      </c>
      <c r="N1594" s="2" t="s">
        <v>3031</v>
      </c>
      <c r="O1594" t="s">
        <v>3032</v>
      </c>
      <c r="P1594" t="s">
        <v>21</v>
      </c>
      <c r="Q1594">
        <v>965.84180790960454</v>
      </c>
      <c r="R1594">
        <f ca="1">YEAR(TODAY())-Table1[[#This Row],[Year Built]]</f>
        <v>25</v>
      </c>
      <c r="S1594" t="str">
        <f>IF(Table1[[#This Row],[Days on Market]] &lt; 30,"Fast",IF(Table1[[#This Row],[Days on Market]]&lt;= 90,"Average", "Slow"))</f>
        <v>Average</v>
      </c>
      <c r="T1594" t="str">
        <f>IF(Table1[[#This Row],[Price2]]&lt;500000,"Affordable",IF(Table1[[#This Row],[Price2]]&lt;1000000,"Mid range","Luxury"))</f>
        <v>Mid range</v>
      </c>
    </row>
    <row r="1595" spans="1:20" x14ac:dyDescent="0.35">
      <c r="A1595" s="3">
        <v>854844</v>
      </c>
      <c r="B1595" s="2" t="s">
        <v>27</v>
      </c>
      <c r="C1595">
        <v>54472</v>
      </c>
      <c r="D1595" s="2" t="s">
        <v>13</v>
      </c>
      <c r="E1595">
        <v>5</v>
      </c>
      <c r="F1595">
        <v>1</v>
      </c>
      <c r="G1595" s="4">
        <f>VALUE(SUBSTITUTE(SUBSTITUTE(Table1[[#This Row],[Price]],"$",""),",",""))</f>
        <v>854844</v>
      </c>
      <c r="H1595" s="1">
        <f>Table1[[#This Row],[Price2]]/Table1[[#This Row],[Area]]</f>
        <v>364.38363171355496</v>
      </c>
      <c r="I1595">
        <v>2346</v>
      </c>
      <c r="J1595">
        <v>2012</v>
      </c>
      <c r="K1595">
        <v>112</v>
      </c>
      <c r="L1595" t="s">
        <v>30</v>
      </c>
      <c r="M1595" t="s">
        <v>2501</v>
      </c>
      <c r="N1595" s="2" t="s">
        <v>3027</v>
      </c>
      <c r="O1595" t="s">
        <v>3028</v>
      </c>
      <c r="P1595" t="s">
        <v>16</v>
      </c>
      <c r="Q1595">
        <v>364.38363171355496</v>
      </c>
      <c r="R1595">
        <f ca="1">YEAR(TODAY())-Table1[[#This Row],[Year Built]]</f>
        <v>14</v>
      </c>
      <c r="S1595" t="str">
        <f>IF(Table1[[#This Row],[Days on Market]] &lt; 30,"Fast",IF(Table1[[#This Row],[Days on Market]]&lt;= 90,"Average", "Slow"))</f>
        <v>Slow</v>
      </c>
      <c r="T1595" t="str">
        <f>IF(Table1[[#This Row],[Price2]]&lt;500000,"Affordable",IF(Table1[[#This Row],[Price2]]&lt;1000000,"Mid range","Luxury"))</f>
        <v>Mid range</v>
      </c>
    </row>
    <row r="1596" spans="1:20" x14ac:dyDescent="0.35">
      <c r="A1596" s="3">
        <v>855500</v>
      </c>
      <c r="B1596" s="2" t="s">
        <v>22</v>
      </c>
      <c r="C1596">
        <v>22414</v>
      </c>
      <c r="D1596" s="2" t="s">
        <v>35</v>
      </c>
      <c r="E1596">
        <v>3</v>
      </c>
      <c r="F1596">
        <v>2</v>
      </c>
      <c r="G1596" s="4">
        <f>VALUE(SUBSTITUTE(SUBSTITUTE(Table1[[#This Row],[Price]],"$",""),",",""))</f>
        <v>855500</v>
      </c>
      <c r="H1596" s="1">
        <f>Table1[[#This Row],[Price2]]/Table1[[#This Row],[Area]]</f>
        <v>341.65335463258788</v>
      </c>
      <c r="I1596">
        <v>2504</v>
      </c>
      <c r="J1596">
        <v>1972</v>
      </c>
      <c r="K1596">
        <v>18</v>
      </c>
      <c r="L1596" t="s">
        <v>40</v>
      </c>
      <c r="M1596" t="s">
        <v>2642</v>
      </c>
      <c r="N1596" s="2" t="s">
        <v>3031</v>
      </c>
      <c r="O1596" t="s">
        <v>3032</v>
      </c>
      <c r="P1596" t="s">
        <v>26</v>
      </c>
      <c r="Q1596">
        <v>341.65335463258788</v>
      </c>
      <c r="R1596">
        <f ca="1">YEAR(TODAY())-Table1[[#This Row],[Year Built]]</f>
        <v>54</v>
      </c>
      <c r="S1596" t="str">
        <f>IF(Table1[[#This Row],[Days on Market]] &lt; 30,"Fast",IF(Table1[[#This Row],[Days on Market]]&lt;= 90,"Average", "Slow"))</f>
        <v>Fast</v>
      </c>
      <c r="T1596" t="str">
        <f>IF(Table1[[#This Row],[Price2]]&lt;500000,"Affordable",IF(Table1[[#This Row],[Price2]]&lt;1000000,"Mid range","Luxury"))</f>
        <v>Mid range</v>
      </c>
    </row>
    <row r="1597" spans="1:20" x14ac:dyDescent="0.35">
      <c r="A1597" s="3">
        <v>855844</v>
      </c>
      <c r="B1597" s="2" t="s">
        <v>12</v>
      </c>
      <c r="C1597">
        <v>48115</v>
      </c>
      <c r="D1597" s="2" t="s">
        <v>29</v>
      </c>
      <c r="E1597">
        <v>1</v>
      </c>
      <c r="F1597">
        <v>3</v>
      </c>
      <c r="G1597" s="4">
        <f>VALUE(SUBSTITUTE(SUBSTITUTE(Table1[[#This Row],[Price]],"$",""),",",""))</f>
        <v>855844</v>
      </c>
      <c r="H1597" s="1">
        <f>Table1[[#This Row],[Price2]]/Table1[[#This Row],[Area]]</f>
        <v>251.42303172737957</v>
      </c>
      <c r="I1597">
        <v>3404</v>
      </c>
      <c r="J1597">
        <v>1979</v>
      </c>
      <c r="K1597">
        <v>27</v>
      </c>
      <c r="L1597" t="s">
        <v>40</v>
      </c>
      <c r="M1597" t="s">
        <v>509</v>
      </c>
      <c r="N1597" s="2" t="s">
        <v>3035</v>
      </c>
      <c r="O1597" t="s">
        <v>3036</v>
      </c>
      <c r="P1597" t="s">
        <v>26</v>
      </c>
      <c r="Q1597">
        <v>251.42303172737957</v>
      </c>
      <c r="R1597">
        <f ca="1">YEAR(TODAY())-Table1[[#This Row],[Year Built]]</f>
        <v>47</v>
      </c>
      <c r="S1597" t="str">
        <f>IF(Table1[[#This Row],[Days on Market]] &lt; 30,"Fast",IF(Table1[[#This Row],[Days on Market]]&lt;= 90,"Average", "Slow"))</f>
        <v>Fast</v>
      </c>
      <c r="T1597" t="str">
        <f>IF(Table1[[#This Row],[Price2]]&lt;500000,"Affordable",IF(Table1[[#This Row],[Price2]]&lt;1000000,"Mid range","Luxury"))</f>
        <v>Mid range</v>
      </c>
    </row>
    <row r="1598" spans="1:20" x14ac:dyDescent="0.35">
      <c r="A1598" s="3">
        <v>856260</v>
      </c>
      <c r="B1598" s="2" t="s">
        <v>17</v>
      </c>
      <c r="C1598">
        <v>98387</v>
      </c>
      <c r="D1598" s="2" t="s">
        <v>18</v>
      </c>
      <c r="E1598">
        <v>3</v>
      </c>
      <c r="F1598">
        <v>4</v>
      </c>
      <c r="G1598" s="4">
        <f>VALUE(SUBSTITUTE(SUBSTITUTE(Table1[[#This Row],[Price]],"$",""),",",""))</f>
        <v>856260</v>
      </c>
      <c r="H1598" s="1">
        <f>Table1[[#This Row],[Price2]]/Table1[[#This Row],[Area]]</f>
        <v>387.09764918625677</v>
      </c>
      <c r="I1598">
        <v>2212</v>
      </c>
      <c r="J1598">
        <v>2016</v>
      </c>
      <c r="K1598">
        <v>71</v>
      </c>
      <c r="L1598" t="s">
        <v>14</v>
      </c>
      <c r="M1598" t="s">
        <v>867</v>
      </c>
      <c r="N1598" s="2" t="s">
        <v>3033</v>
      </c>
      <c r="O1598" t="s">
        <v>3034</v>
      </c>
      <c r="P1598" t="s">
        <v>21</v>
      </c>
      <c r="Q1598">
        <v>387.09764918625677</v>
      </c>
      <c r="R1598">
        <f ca="1">YEAR(TODAY())-Table1[[#This Row],[Year Built]]</f>
        <v>10</v>
      </c>
      <c r="S1598" t="str">
        <f>IF(Table1[[#This Row],[Days on Market]] &lt; 30,"Fast",IF(Table1[[#This Row],[Days on Market]]&lt;= 90,"Average", "Slow"))</f>
        <v>Average</v>
      </c>
      <c r="T1598" t="str">
        <f>IF(Table1[[#This Row],[Price2]]&lt;500000,"Affordable",IF(Table1[[#This Row],[Price2]]&lt;1000000,"Mid range","Luxury"))</f>
        <v>Mid range</v>
      </c>
    </row>
    <row r="1599" spans="1:20" x14ac:dyDescent="0.35">
      <c r="A1599" s="3">
        <v>856876</v>
      </c>
      <c r="B1599" s="2" t="s">
        <v>17</v>
      </c>
      <c r="C1599">
        <v>41561</v>
      </c>
      <c r="D1599" s="2" t="s">
        <v>29</v>
      </c>
      <c r="E1599">
        <v>1</v>
      </c>
      <c r="F1599">
        <v>1</v>
      </c>
      <c r="G1599" s="4">
        <f>VALUE(SUBSTITUTE(SUBSTITUTE(Table1[[#This Row],[Price]],"$",""),",",""))</f>
        <v>856876</v>
      </c>
      <c r="H1599" s="1">
        <f>Table1[[#This Row],[Price2]]/Table1[[#This Row],[Area]]</f>
        <v>274.0249440358171</v>
      </c>
      <c r="I1599">
        <v>3127</v>
      </c>
      <c r="J1599">
        <v>1962</v>
      </c>
      <c r="K1599">
        <v>50</v>
      </c>
      <c r="L1599" t="s">
        <v>52</v>
      </c>
      <c r="M1599" t="s">
        <v>1869</v>
      </c>
      <c r="N1599" s="2" t="s">
        <v>3029</v>
      </c>
      <c r="O1599" t="s">
        <v>3030</v>
      </c>
      <c r="P1599" t="s">
        <v>16</v>
      </c>
      <c r="Q1599">
        <v>274.0249440358171</v>
      </c>
      <c r="R1599">
        <f ca="1">YEAR(TODAY())-Table1[[#This Row],[Year Built]]</f>
        <v>64</v>
      </c>
      <c r="S1599" t="str">
        <f>IF(Table1[[#This Row],[Days on Market]] &lt; 30,"Fast",IF(Table1[[#This Row],[Days on Market]]&lt;= 90,"Average", "Slow"))</f>
        <v>Average</v>
      </c>
      <c r="T1599" t="str">
        <f>IF(Table1[[#This Row],[Price2]]&lt;500000,"Affordable",IF(Table1[[#This Row],[Price2]]&lt;1000000,"Mid range","Luxury"))</f>
        <v>Mid range</v>
      </c>
    </row>
    <row r="1600" spans="1:20" x14ac:dyDescent="0.35">
      <c r="A1600" s="3">
        <v>857797</v>
      </c>
      <c r="B1600" s="2" t="s">
        <v>12</v>
      </c>
      <c r="C1600">
        <v>45263</v>
      </c>
      <c r="D1600" s="2" t="s">
        <v>23</v>
      </c>
      <c r="E1600">
        <v>5</v>
      </c>
      <c r="F1600">
        <v>1</v>
      </c>
      <c r="G1600" s="4">
        <f>VALUE(SUBSTITUTE(SUBSTITUTE(Table1[[#This Row],[Price]],"$",""),",",""))</f>
        <v>857797</v>
      </c>
      <c r="H1600" s="1">
        <f>Table1[[#This Row],[Price2]]/Table1[[#This Row],[Area]]</f>
        <v>232.21358960476448</v>
      </c>
      <c r="I1600">
        <v>3694</v>
      </c>
      <c r="J1600">
        <v>1955</v>
      </c>
      <c r="K1600">
        <v>92</v>
      </c>
      <c r="L1600" t="s">
        <v>52</v>
      </c>
      <c r="M1600" t="s">
        <v>742</v>
      </c>
      <c r="N1600" s="2" t="s">
        <v>3027</v>
      </c>
      <c r="O1600" t="s">
        <v>3028</v>
      </c>
      <c r="P1600" t="s">
        <v>21</v>
      </c>
      <c r="Q1600">
        <v>232.21358960476448</v>
      </c>
      <c r="R1600">
        <f ca="1">YEAR(TODAY())-Table1[[#This Row],[Year Built]]</f>
        <v>71</v>
      </c>
      <c r="S1600" t="str">
        <f>IF(Table1[[#This Row],[Days on Market]] &lt; 30,"Fast",IF(Table1[[#This Row],[Days on Market]]&lt;= 90,"Average", "Slow"))</f>
        <v>Slow</v>
      </c>
      <c r="T1600" t="str">
        <f>IF(Table1[[#This Row],[Price2]]&lt;500000,"Affordable",IF(Table1[[#This Row],[Price2]]&lt;1000000,"Mid range","Luxury"))</f>
        <v>Mid range</v>
      </c>
    </row>
    <row r="1601" spans="1:20" x14ac:dyDescent="0.35">
      <c r="A1601" s="3">
        <v>857857</v>
      </c>
      <c r="B1601" s="2" t="s">
        <v>17</v>
      </c>
      <c r="C1601">
        <v>96038</v>
      </c>
      <c r="D1601" s="2" t="s">
        <v>29</v>
      </c>
      <c r="E1601">
        <v>5</v>
      </c>
      <c r="F1601">
        <v>4</v>
      </c>
      <c r="G1601" s="4">
        <f>VALUE(SUBSTITUTE(SUBSTITUTE(Table1[[#This Row],[Price]],"$",""),",",""))</f>
        <v>857857</v>
      </c>
      <c r="H1601" s="1">
        <f>Table1[[#This Row],[Price2]]/Table1[[#This Row],[Area]]</f>
        <v>274.42642354446576</v>
      </c>
      <c r="I1601">
        <v>3126</v>
      </c>
      <c r="J1601">
        <v>1965</v>
      </c>
      <c r="K1601">
        <v>116</v>
      </c>
      <c r="L1601" t="s">
        <v>14</v>
      </c>
      <c r="M1601" t="s">
        <v>1656</v>
      </c>
      <c r="N1601" s="2" t="s">
        <v>3033</v>
      </c>
      <c r="O1601" t="s">
        <v>3034</v>
      </c>
      <c r="P1601" t="s">
        <v>21</v>
      </c>
      <c r="Q1601">
        <v>274.42642354446576</v>
      </c>
      <c r="R1601">
        <f ca="1">YEAR(TODAY())-Table1[[#This Row],[Year Built]]</f>
        <v>61</v>
      </c>
      <c r="S1601" t="str">
        <f>IF(Table1[[#This Row],[Days on Market]] &lt; 30,"Fast",IF(Table1[[#This Row],[Days on Market]]&lt;= 90,"Average", "Slow"))</f>
        <v>Slow</v>
      </c>
      <c r="T1601" t="str">
        <f>IF(Table1[[#This Row],[Price2]]&lt;500000,"Affordable",IF(Table1[[#This Row],[Price2]]&lt;1000000,"Mid range","Luxury"))</f>
        <v>Mid range</v>
      </c>
    </row>
    <row r="1602" spans="1:20" x14ac:dyDescent="0.35">
      <c r="A1602" s="3">
        <v>858249</v>
      </c>
      <c r="B1602" s="2" t="s">
        <v>17</v>
      </c>
      <c r="C1602">
        <v>27528</v>
      </c>
      <c r="D1602" s="2" t="s">
        <v>23</v>
      </c>
      <c r="E1602">
        <v>1</v>
      </c>
      <c r="F1602">
        <v>1</v>
      </c>
      <c r="G1602" s="4">
        <f>VALUE(SUBSTITUTE(SUBSTITUTE(Table1[[#This Row],[Price]],"$",""),",",""))</f>
        <v>858249</v>
      </c>
      <c r="H1602" s="1">
        <f>Table1[[#This Row],[Price2]]/Table1[[#This Row],[Area]]</f>
        <v>1413.9192751235585</v>
      </c>
      <c r="I1602">
        <v>607</v>
      </c>
      <c r="J1602">
        <v>2007</v>
      </c>
      <c r="K1602">
        <v>39</v>
      </c>
      <c r="L1602" t="s">
        <v>52</v>
      </c>
      <c r="M1602" t="s">
        <v>1605</v>
      </c>
      <c r="N1602" s="2" t="s">
        <v>3027</v>
      </c>
      <c r="O1602" t="s">
        <v>3028</v>
      </c>
      <c r="P1602" t="s">
        <v>26</v>
      </c>
      <c r="Q1602">
        <v>1413.9192751235585</v>
      </c>
      <c r="R1602">
        <f ca="1">YEAR(TODAY())-Table1[[#This Row],[Year Built]]</f>
        <v>19</v>
      </c>
      <c r="S1602" t="str">
        <f>IF(Table1[[#This Row],[Days on Market]] &lt; 30,"Fast",IF(Table1[[#This Row],[Days on Market]]&lt;= 90,"Average", "Slow"))</f>
        <v>Average</v>
      </c>
      <c r="T1602" t="str">
        <f>IF(Table1[[#This Row],[Price2]]&lt;500000,"Affordable",IF(Table1[[#This Row],[Price2]]&lt;1000000,"Mid range","Luxury"))</f>
        <v>Mid range</v>
      </c>
    </row>
    <row r="1603" spans="1:20" x14ac:dyDescent="0.35">
      <c r="A1603" s="3">
        <v>858386</v>
      </c>
      <c r="B1603" s="2" t="s">
        <v>34</v>
      </c>
      <c r="C1603">
        <v>11309</v>
      </c>
      <c r="D1603" s="2" t="s">
        <v>35</v>
      </c>
      <c r="E1603">
        <v>2</v>
      </c>
      <c r="F1603">
        <v>2</v>
      </c>
      <c r="G1603" s="4">
        <f>VALUE(SUBSTITUTE(SUBSTITUTE(Table1[[#This Row],[Price]],"$",""),",",""))</f>
        <v>858386</v>
      </c>
      <c r="H1603" s="1">
        <f>Table1[[#This Row],[Price2]]/Table1[[#This Row],[Area]]</f>
        <v>581.95661016949157</v>
      </c>
      <c r="I1603">
        <v>1475</v>
      </c>
      <c r="J1603">
        <v>1983</v>
      </c>
      <c r="K1603">
        <v>102</v>
      </c>
      <c r="L1603" t="s">
        <v>30</v>
      </c>
      <c r="M1603" t="s">
        <v>59</v>
      </c>
      <c r="N1603" s="2" t="s">
        <v>3029</v>
      </c>
      <c r="O1603" t="s">
        <v>3030</v>
      </c>
      <c r="P1603" t="s">
        <v>21</v>
      </c>
      <c r="Q1603">
        <v>581.95661016949157</v>
      </c>
      <c r="R1603">
        <f ca="1">YEAR(TODAY())-Table1[[#This Row],[Year Built]]</f>
        <v>43</v>
      </c>
      <c r="S1603" t="str">
        <f>IF(Table1[[#This Row],[Days on Market]] &lt; 30,"Fast",IF(Table1[[#This Row],[Days on Market]]&lt;= 90,"Average", "Slow"))</f>
        <v>Slow</v>
      </c>
      <c r="T1603" t="str">
        <f>IF(Table1[[#This Row],[Price2]]&lt;500000,"Affordable",IF(Table1[[#This Row],[Price2]]&lt;1000000,"Mid range","Luxury"))</f>
        <v>Mid range</v>
      </c>
    </row>
    <row r="1604" spans="1:20" x14ac:dyDescent="0.35">
      <c r="A1604" s="3">
        <v>858649</v>
      </c>
      <c r="B1604" s="2" t="s">
        <v>17</v>
      </c>
      <c r="C1604">
        <v>88090</v>
      </c>
      <c r="D1604" s="2" t="s">
        <v>13</v>
      </c>
      <c r="E1604">
        <v>2</v>
      </c>
      <c r="F1604">
        <v>3</v>
      </c>
      <c r="G1604" s="4">
        <f>VALUE(SUBSTITUTE(SUBSTITUTE(Table1[[#This Row],[Price]],"$",""),",",""))</f>
        <v>858649</v>
      </c>
      <c r="H1604" s="1">
        <f>Table1[[#This Row],[Price2]]/Table1[[#This Row],[Area]]</f>
        <v>219.32286079182632</v>
      </c>
      <c r="I1604">
        <v>3915</v>
      </c>
      <c r="J1604">
        <v>1982</v>
      </c>
      <c r="K1604">
        <v>20</v>
      </c>
      <c r="L1604" t="s">
        <v>52</v>
      </c>
      <c r="M1604" t="s">
        <v>3007</v>
      </c>
      <c r="N1604" s="2" t="s">
        <v>3027</v>
      </c>
      <c r="O1604" t="s">
        <v>3028</v>
      </c>
      <c r="P1604" t="s">
        <v>26</v>
      </c>
      <c r="Q1604">
        <v>219.32286079182632</v>
      </c>
      <c r="R1604">
        <f ca="1">YEAR(TODAY())-Table1[[#This Row],[Year Built]]</f>
        <v>44</v>
      </c>
      <c r="S1604" t="str">
        <f>IF(Table1[[#This Row],[Days on Market]] &lt; 30,"Fast",IF(Table1[[#This Row],[Days on Market]]&lt;= 90,"Average", "Slow"))</f>
        <v>Fast</v>
      </c>
      <c r="T1604" t="str">
        <f>IF(Table1[[#This Row],[Price2]]&lt;500000,"Affordable",IF(Table1[[#This Row],[Price2]]&lt;1000000,"Mid range","Luxury"))</f>
        <v>Mid range</v>
      </c>
    </row>
    <row r="1605" spans="1:20" x14ac:dyDescent="0.35">
      <c r="A1605" s="3">
        <v>858707</v>
      </c>
      <c r="B1605" s="2" t="s">
        <v>27</v>
      </c>
      <c r="C1605">
        <v>38181</v>
      </c>
      <c r="D1605" s="2" t="s">
        <v>29</v>
      </c>
      <c r="E1605">
        <v>1</v>
      </c>
      <c r="F1605">
        <v>2</v>
      </c>
      <c r="G1605" s="4">
        <f>VALUE(SUBSTITUTE(SUBSTITUTE(Table1[[#This Row],[Price]],"$",""),",",""))</f>
        <v>858707</v>
      </c>
      <c r="H1605" s="1">
        <f>Table1[[#This Row],[Price2]]/Table1[[#This Row],[Area]]</f>
        <v>252.1900146842878</v>
      </c>
      <c r="I1605">
        <v>3405</v>
      </c>
      <c r="J1605">
        <v>1989</v>
      </c>
      <c r="K1605">
        <v>116</v>
      </c>
      <c r="L1605" t="s">
        <v>40</v>
      </c>
      <c r="M1605" t="s">
        <v>1616</v>
      </c>
      <c r="N1605" s="2" t="s">
        <v>3033</v>
      </c>
      <c r="O1605" t="s">
        <v>3034</v>
      </c>
      <c r="P1605" t="s">
        <v>26</v>
      </c>
      <c r="Q1605">
        <v>252.1900146842878</v>
      </c>
      <c r="R1605">
        <f ca="1">YEAR(TODAY())-Table1[[#This Row],[Year Built]]</f>
        <v>37</v>
      </c>
      <c r="S1605" t="str">
        <f>IF(Table1[[#This Row],[Days on Market]] &lt; 30,"Fast",IF(Table1[[#This Row],[Days on Market]]&lt;= 90,"Average", "Slow"))</f>
        <v>Slow</v>
      </c>
      <c r="T1605" t="str">
        <f>IF(Table1[[#This Row],[Price2]]&lt;500000,"Affordable",IF(Table1[[#This Row],[Price2]]&lt;1000000,"Mid range","Luxury"))</f>
        <v>Mid range</v>
      </c>
    </row>
    <row r="1606" spans="1:20" x14ac:dyDescent="0.35">
      <c r="A1606" s="3">
        <v>858758</v>
      </c>
      <c r="B1606" s="2" t="s">
        <v>27</v>
      </c>
      <c r="C1606">
        <v>88380</v>
      </c>
      <c r="D1606" s="2" t="s">
        <v>13</v>
      </c>
      <c r="E1606">
        <v>1</v>
      </c>
      <c r="F1606">
        <v>4</v>
      </c>
      <c r="G1606" s="4">
        <f>VALUE(SUBSTITUTE(SUBSTITUTE(Table1[[#This Row],[Price]],"$",""),",",""))</f>
        <v>858758</v>
      </c>
      <c r="H1606" s="1">
        <f>Table1[[#This Row],[Price2]]/Table1[[#This Row],[Area]]</f>
        <v>224.39456493336817</v>
      </c>
      <c r="I1606">
        <v>3827</v>
      </c>
      <c r="J1606">
        <v>1994</v>
      </c>
      <c r="K1606">
        <v>45</v>
      </c>
      <c r="L1606" t="s">
        <v>40</v>
      </c>
      <c r="M1606" t="s">
        <v>1038</v>
      </c>
      <c r="N1606" s="2" t="s">
        <v>3035</v>
      </c>
      <c r="O1606" t="s">
        <v>3036</v>
      </c>
      <c r="P1606" t="s">
        <v>26</v>
      </c>
      <c r="Q1606">
        <v>224.39456493336817</v>
      </c>
      <c r="R1606">
        <f ca="1">YEAR(TODAY())-Table1[[#This Row],[Year Built]]</f>
        <v>32</v>
      </c>
      <c r="S1606" t="str">
        <f>IF(Table1[[#This Row],[Days on Market]] &lt; 30,"Fast",IF(Table1[[#This Row],[Days on Market]]&lt;= 90,"Average", "Slow"))</f>
        <v>Average</v>
      </c>
      <c r="T1606" t="str">
        <f>IF(Table1[[#This Row],[Price2]]&lt;500000,"Affordable",IF(Table1[[#This Row],[Price2]]&lt;1000000,"Mid range","Luxury"))</f>
        <v>Mid range</v>
      </c>
    </row>
    <row r="1607" spans="1:20" x14ac:dyDescent="0.35">
      <c r="A1607" s="3">
        <v>859034</v>
      </c>
      <c r="B1607" s="2" t="s">
        <v>22</v>
      </c>
      <c r="C1607">
        <v>73267</v>
      </c>
      <c r="D1607" s="2" t="s">
        <v>23</v>
      </c>
      <c r="E1607">
        <v>6</v>
      </c>
      <c r="F1607">
        <v>3</v>
      </c>
      <c r="G1607" s="4">
        <f>VALUE(SUBSTITUTE(SUBSTITUTE(Table1[[#This Row],[Price]],"$",""),",",""))</f>
        <v>859034</v>
      </c>
      <c r="H1607" s="1">
        <f>Table1[[#This Row],[Price2]]/Table1[[#This Row],[Area]]</f>
        <v>411.41475095785438</v>
      </c>
      <c r="I1607">
        <v>2088</v>
      </c>
      <c r="J1607">
        <v>1958</v>
      </c>
      <c r="K1607">
        <v>6</v>
      </c>
      <c r="L1607" t="s">
        <v>40</v>
      </c>
      <c r="M1607" t="s">
        <v>575</v>
      </c>
      <c r="N1607" s="2" t="s">
        <v>3029</v>
      </c>
      <c r="O1607" t="s">
        <v>3030</v>
      </c>
      <c r="P1607" t="s">
        <v>16</v>
      </c>
      <c r="Q1607">
        <v>411.41475095785438</v>
      </c>
      <c r="R1607">
        <f ca="1">YEAR(TODAY())-Table1[[#This Row],[Year Built]]</f>
        <v>68</v>
      </c>
      <c r="S1607" t="str">
        <f>IF(Table1[[#This Row],[Days on Market]] &lt; 30,"Fast",IF(Table1[[#This Row],[Days on Market]]&lt;= 90,"Average", "Slow"))</f>
        <v>Fast</v>
      </c>
      <c r="T1607" t="str">
        <f>IF(Table1[[#This Row],[Price2]]&lt;500000,"Affordable",IF(Table1[[#This Row],[Price2]]&lt;1000000,"Mid range","Luxury"))</f>
        <v>Mid range</v>
      </c>
    </row>
    <row r="1608" spans="1:20" x14ac:dyDescent="0.35">
      <c r="A1608" s="3">
        <v>859477</v>
      </c>
      <c r="B1608" s="2" t="s">
        <v>27</v>
      </c>
      <c r="C1608">
        <v>88270</v>
      </c>
      <c r="D1608" s="2" t="s">
        <v>23</v>
      </c>
      <c r="E1608">
        <v>5</v>
      </c>
      <c r="F1608">
        <v>1</v>
      </c>
      <c r="G1608" s="4">
        <f>VALUE(SUBSTITUTE(SUBSTITUTE(Table1[[#This Row],[Price]],"$",""),",",""))</f>
        <v>859477</v>
      </c>
      <c r="H1608" s="1">
        <f>Table1[[#This Row],[Price2]]/Table1[[#This Row],[Area]]</f>
        <v>613.03637660485026</v>
      </c>
      <c r="I1608">
        <v>1402</v>
      </c>
      <c r="J1608">
        <v>1993</v>
      </c>
      <c r="K1608">
        <v>25</v>
      </c>
      <c r="L1608" t="s">
        <v>40</v>
      </c>
      <c r="M1608" t="s">
        <v>2231</v>
      </c>
      <c r="N1608" s="2" t="s">
        <v>3027</v>
      </c>
      <c r="O1608" t="s">
        <v>3028</v>
      </c>
      <c r="P1608" t="s">
        <v>26</v>
      </c>
      <c r="Q1608">
        <v>613.03637660485026</v>
      </c>
      <c r="R1608">
        <f ca="1">YEAR(TODAY())-Table1[[#This Row],[Year Built]]</f>
        <v>33</v>
      </c>
      <c r="S1608" t="str">
        <f>IF(Table1[[#This Row],[Days on Market]] &lt; 30,"Fast",IF(Table1[[#This Row],[Days on Market]]&lt;= 90,"Average", "Slow"))</f>
        <v>Fast</v>
      </c>
      <c r="T1608" t="str">
        <f>IF(Table1[[#This Row],[Price2]]&lt;500000,"Affordable",IF(Table1[[#This Row],[Price2]]&lt;1000000,"Mid range","Luxury"))</f>
        <v>Mid range</v>
      </c>
    </row>
    <row r="1609" spans="1:20" x14ac:dyDescent="0.35">
      <c r="A1609" s="3">
        <v>860219</v>
      </c>
      <c r="B1609" s="2" t="s">
        <v>34</v>
      </c>
      <c r="C1609">
        <v>88019</v>
      </c>
      <c r="D1609" s="2" t="s">
        <v>29</v>
      </c>
      <c r="E1609">
        <v>6</v>
      </c>
      <c r="F1609">
        <v>1</v>
      </c>
      <c r="G1609" s="4">
        <f>VALUE(SUBSTITUTE(SUBSTITUTE(Table1[[#This Row],[Price]],"$",""),",",""))</f>
        <v>860219</v>
      </c>
      <c r="H1609" s="1">
        <f>Table1[[#This Row],[Price2]]/Table1[[#This Row],[Area]]</f>
        <v>893.26998961578397</v>
      </c>
      <c r="I1609">
        <v>963</v>
      </c>
      <c r="J1609">
        <v>2008</v>
      </c>
      <c r="K1609">
        <v>78</v>
      </c>
      <c r="L1609" t="s">
        <v>40</v>
      </c>
      <c r="M1609" t="s">
        <v>161</v>
      </c>
      <c r="N1609" s="2" t="s">
        <v>3033</v>
      </c>
      <c r="O1609" t="s">
        <v>3034</v>
      </c>
      <c r="P1609" t="s">
        <v>16</v>
      </c>
      <c r="Q1609">
        <v>893.26998961578397</v>
      </c>
      <c r="R1609">
        <f ca="1">YEAR(TODAY())-Table1[[#This Row],[Year Built]]</f>
        <v>18</v>
      </c>
      <c r="S1609" t="str">
        <f>IF(Table1[[#This Row],[Days on Market]] &lt; 30,"Fast",IF(Table1[[#This Row],[Days on Market]]&lt;= 90,"Average", "Slow"))</f>
        <v>Average</v>
      </c>
      <c r="T1609" t="str">
        <f>IF(Table1[[#This Row],[Price2]]&lt;500000,"Affordable",IF(Table1[[#This Row],[Price2]]&lt;1000000,"Mid range","Luxury"))</f>
        <v>Mid range</v>
      </c>
    </row>
    <row r="1610" spans="1:20" x14ac:dyDescent="0.35">
      <c r="A1610" s="3">
        <v>860503</v>
      </c>
      <c r="B1610" s="2" t="s">
        <v>12</v>
      </c>
      <c r="C1610">
        <v>28105</v>
      </c>
      <c r="D1610" s="2" t="s">
        <v>23</v>
      </c>
      <c r="E1610">
        <v>1</v>
      </c>
      <c r="F1610">
        <v>2</v>
      </c>
      <c r="G1610" s="4">
        <f>VALUE(SUBSTITUTE(SUBSTITUTE(Table1[[#This Row],[Price]],"$",""),",",""))</f>
        <v>860503</v>
      </c>
      <c r="H1610" s="1">
        <f>Table1[[#This Row],[Price2]]/Table1[[#This Row],[Area]]</f>
        <v>736.10179640718559</v>
      </c>
      <c r="I1610">
        <v>1169</v>
      </c>
      <c r="J1610">
        <v>1991</v>
      </c>
      <c r="K1610">
        <v>32</v>
      </c>
      <c r="L1610" t="s">
        <v>40</v>
      </c>
      <c r="M1610" t="s">
        <v>544</v>
      </c>
      <c r="N1610" s="2" t="s">
        <v>3029</v>
      </c>
      <c r="O1610" t="s">
        <v>3030</v>
      </c>
      <c r="P1610" t="s">
        <v>26</v>
      </c>
      <c r="Q1610">
        <v>736.10179640718559</v>
      </c>
      <c r="R1610">
        <f ca="1">YEAR(TODAY())-Table1[[#This Row],[Year Built]]</f>
        <v>35</v>
      </c>
      <c r="S1610" t="str">
        <f>IF(Table1[[#This Row],[Days on Market]] &lt; 30,"Fast",IF(Table1[[#This Row],[Days on Market]]&lt;= 90,"Average", "Slow"))</f>
        <v>Average</v>
      </c>
      <c r="T1610" t="str">
        <f>IF(Table1[[#This Row],[Price2]]&lt;500000,"Affordable",IF(Table1[[#This Row],[Price2]]&lt;1000000,"Mid range","Luxury"))</f>
        <v>Mid range</v>
      </c>
    </row>
    <row r="1611" spans="1:20" x14ac:dyDescent="0.35">
      <c r="A1611" s="3">
        <v>860572</v>
      </c>
      <c r="B1611" s="2" t="s">
        <v>22</v>
      </c>
      <c r="C1611">
        <v>81038</v>
      </c>
      <c r="D1611" s="2" t="s">
        <v>29</v>
      </c>
      <c r="E1611">
        <v>2</v>
      </c>
      <c r="F1611">
        <v>3</v>
      </c>
      <c r="G1611" s="4">
        <f>VALUE(SUBSTITUTE(SUBSTITUTE(Table1[[#This Row],[Price]],"$",""),",",""))</f>
        <v>860572</v>
      </c>
      <c r="H1611" s="1">
        <f>Table1[[#This Row],[Price2]]/Table1[[#This Row],[Area]]</f>
        <v>281.32461588754495</v>
      </c>
      <c r="I1611">
        <v>3059</v>
      </c>
      <c r="J1611">
        <v>1974</v>
      </c>
      <c r="K1611">
        <v>12</v>
      </c>
      <c r="L1611" t="s">
        <v>52</v>
      </c>
      <c r="M1611" t="s">
        <v>329</v>
      </c>
      <c r="N1611" s="2" t="s">
        <v>3031</v>
      </c>
      <c r="O1611" t="s">
        <v>3032</v>
      </c>
      <c r="P1611" t="s">
        <v>21</v>
      </c>
      <c r="Q1611">
        <v>281.32461588754495</v>
      </c>
      <c r="R1611">
        <f ca="1">YEAR(TODAY())-Table1[[#This Row],[Year Built]]</f>
        <v>52</v>
      </c>
      <c r="S1611" t="str">
        <f>IF(Table1[[#This Row],[Days on Market]] &lt; 30,"Fast",IF(Table1[[#This Row],[Days on Market]]&lt;= 90,"Average", "Slow"))</f>
        <v>Fast</v>
      </c>
      <c r="T1611" t="str">
        <f>IF(Table1[[#This Row],[Price2]]&lt;500000,"Affordable",IF(Table1[[#This Row],[Price2]]&lt;1000000,"Mid range","Luxury"))</f>
        <v>Mid range</v>
      </c>
    </row>
    <row r="1612" spans="1:20" x14ac:dyDescent="0.35">
      <c r="A1612" s="3">
        <v>861114</v>
      </c>
      <c r="B1612" s="2" t="s">
        <v>34</v>
      </c>
      <c r="C1612">
        <v>57003</v>
      </c>
      <c r="D1612" s="2" t="s">
        <v>35</v>
      </c>
      <c r="E1612">
        <v>5</v>
      </c>
      <c r="F1612">
        <v>2</v>
      </c>
      <c r="G1612" s="4">
        <f>VALUE(SUBSTITUTE(SUBSTITUTE(Table1[[#This Row],[Price]],"$",""),",",""))</f>
        <v>861114</v>
      </c>
      <c r="H1612" s="1">
        <f>Table1[[#This Row],[Price2]]/Table1[[#This Row],[Area]]</f>
        <v>363.33924050632913</v>
      </c>
      <c r="I1612">
        <v>2370</v>
      </c>
      <c r="J1612">
        <v>2010</v>
      </c>
      <c r="K1612">
        <v>59</v>
      </c>
      <c r="L1612" t="s">
        <v>30</v>
      </c>
      <c r="M1612" t="s">
        <v>1931</v>
      </c>
      <c r="N1612" s="2" t="s">
        <v>3033</v>
      </c>
      <c r="O1612" t="s">
        <v>3034</v>
      </c>
      <c r="P1612" t="s">
        <v>21</v>
      </c>
      <c r="Q1612">
        <v>363.33924050632913</v>
      </c>
      <c r="R1612">
        <f ca="1">YEAR(TODAY())-Table1[[#This Row],[Year Built]]</f>
        <v>16</v>
      </c>
      <c r="S1612" t="str">
        <f>IF(Table1[[#This Row],[Days on Market]] &lt; 30,"Fast",IF(Table1[[#This Row],[Days on Market]]&lt;= 90,"Average", "Slow"))</f>
        <v>Average</v>
      </c>
      <c r="T1612" t="str">
        <f>IF(Table1[[#This Row],[Price2]]&lt;500000,"Affordable",IF(Table1[[#This Row],[Price2]]&lt;1000000,"Mid range","Luxury"))</f>
        <v>Mid range</v>
      </c>
    </row>
    <row r="1613" spans="1:20" x14ac:dyDescent="0.35">
      <c r="A1613" s="3">
        <v>861987</v>
      </c>
      <c r="B1613" s="2" t="s">
        <v>22</v>
      </c>
      <c r="C1613">
        <v>46081</v>
      </c>
      <c r="D1613" s="2" t="s">
        <v>35</v>
      </c>
      <c r="E1613">
        <v>5</v>
      </c>
      <c r="F1613">
        <v>4</v>
      </c>
      <c r="G1613" s="4">
        <f>VALUE(SUBSTITUTE(SUBSTITUTE(Table1[[#This Row],[Price]],"$",""),",",""))</f>
        <v>861987</v>
      </c>
      <c r="H1613" s="1">
        <f>Table1[[#This Row],[Price2]]/Table1[[#This Row],[Area]]</f>
        <v>453.91627172195894</v>
      </c>
      <c r="I1613">
        <v>1899</v>
      </c>
      <c r="J1613">
        <v>2012</v>
      </c>
      <c r="K1613">
        <v>5</v>
      </c>
      <c r="L1613" t="s">
        <v>14</v>
      </c>
      <c r="M1613" t="s">
        <v>2556</v>
      </c>
      <c r="N1613" s="2" t="s">
        <v>3029</v>
      </c>
      <c r="O1613" t="s">
        <v>3030</v>
      </c>
      <c r="P1613" t="s">
        <v>16</v>
      </c>
      <c r="Q1613">
        <v>453.91627172195894</v>
      </c>
      <c r="R1613">
        <f ca="1">YEAR(TODAY())-Table1[[#This Row],[Year Built]]</f>
        <v>14</v>
      </c>
      <c r="S1613" t="str">
        <f>IF(Table1[[#This Row],[Days on Market]] &lt; 30,"Fast",IF(Table1[[#This Row],[Days on Market]]&lt;= 90,"Average", "Slow"))</f>
        <v>Fast</v>
      </c>
      <c r="T1613" t="str">
        <f>IF(Table1[[#This Row],[Price2]]&lt;500000,"Affordable",IF(Table1[[#This Row],[Price2]]&lt;1000000,"Mid range","Luxury"))</f>
        <v>Mid range</v>
      </c>
    </row>
    <row r="1614" spans="1:20" x14ac:dyDescent="0.35">
      <c r="A1614" s="3">
        <v>862718</v>
      </c>
      <c r="B1614" s="2" t="s">
        <v>22</v>
      </c>
      <c r="C1614">
        <v>36680</v>
      </c>
      <c r="D1614" s="2" t="s">
        <v>18</v>
      </c>
      <c r="E1614">
        <v>5</v>
      </c>
      <c r="F1614">
        <v>4</v>
      </c>
      <c r="G1614" s="4">
        <f>VALUE(SUBSTITUTE(SUBSTITUTE(Table1[[#This Row],[Price]],"$",""),",",""))</f>
        <v>862718</v>
      </c>
      <c r="H1614" s="1">
        <f>Table1[[#This Row],[Price2]]/Table1[[#This Row],[Area]]</f>
        <v>664.65177195685669</v>
      </c>
      <c r="I1614">
        <v>1298</v>
      </c>
      <c r="J1614">
        <v>2004</v>
      </c>
      <c r="K1614">
        <v>29</v>
      </c>
      <c r="L1614" t="s">
        <v>40</v>
      </c>
      <c r="M1614" t="s">
        <v>948</v>
      </c>
      <c r="N1614" s="2" t="s">
        <v>3029</v>
      </c>
      <c r="O1614" t="s">
        <v>3030</v>
      </c>
      <c r="P1614" t="s">
        <v>21</v>
      </c>
      <c r="Q1614">
        <v>664.65177195685669</v>
      </c>
      <c r="R1614">
        <f ca="1">YEAR(TODAY())-Table1[[#This Row],[Year Built]]</f>
        <v>22</v>
      </c>
      <c r="S1614" t="str">
        <f>IF(Table1[[#This Row],[Days on Market]] &lt; 30,"Fast",IF(Table1[[#This Row],[Days on Market]]&lt;= 90,"Average", "Slow"))</f>
        <v>Fast</v>
      </c>
      <c r="T1614" t="str">
        <f>IF(Table1[[#This Row],[Price2]]&lt;500000,"Affordable",IF(Table1[[#This Row],[Price2]]&lt;1000000,"Mid range","Luxury"))</f>
        <v>Mid range</v>
      </c>
    </row>
    <row r="1615" spans="1:20" x14ac:dyDescent="0.35">
      <c r="A1615" s="3">
        <v>864386</v>
      </c>
      <c r="B1615" s="2" t="s">
        <v>12</v>
      </c>
      <c r="C1615">
        <v>86871</v>
      </c>
      <c r="D1615" s="2" t="s">
        <v>35</v>
      </c>
      <c r="E1615">
        <v>2</v>
      </c>
      <c r="F1615">
        <v>1</v>
      </c>
      <c r="G1615" s="4">
        <f>VALUE(SUBSTITUTE(SUBSTITUTE(Table1[[#This Row],[Price]],"$",""),",",""))</f>
        <v>864386</v>
      </c>
      <c r="H1615" s="1">
        <f>Table1[[#This Row],[Price2]]/Table1[[#This Row],[Area]]</f>
        <v>561.2896103896104</v>
      </c>
      <c r="I1615">
        <v>1540</v>
      </c>
      <c r="J1615">
        <v>2019</v>
      </c>
      <c r="K1615">
        <v>67</v>
      </c>
      <c r="L1615" t="s">
        <v>19</v>
      </c>
      <c r="M1615" t="s">
        <v>2671</v>
      </c>
      <c r="N1615" s="2" t="s">
        <v>3029</v>
      </c>
      <c r="O1615" t="s">
        <v>3030</v>
      </c>
      <c r="P1615" t="s">
        <v>21</v>
      </c>
      <c r="Q1615">
        <v>561.2896103896104</v>
      </c>
      <c r="R1615">
        <f ca="1">YEAR(TODAY())-Table1[[#This Row],[Year Built]]</f>
        <v>7</v>
      </c>
      <c r="S1615" t="str">
        <f>IF(Table1[[#This Row],[Days on Market]] &lt; 30,"Fast",IF(Table1[[#This Row],[Days on Market]]&lt;= 90,"Average", "Slow"))</f>
        <v>Average</v>
      </c>
      <c r="T1615" t="str">
        <f>IF(Table1[[#This Row],[Price2]]&lt;500000,"Affordable",IF(Table1[[#This Row],[Price2]]&lt;1000000,"Mid range","Luxury"))</f>
        <v>Mid range</v>
      </c>
    </row>
    <row r="1616" spans="1:20" x14ac:dyDescent="0.35">
      <c r="A1616" s="3">
        <v>864731</v>
      </c>
      <c r="B1616" s="2" t="s">
        <v>22</v>
      </c>
      <c r="C1616">
        <v>13531</v>
      </c>
      <c r="D1616" s="2" t="s">
        <v>13</v>
      </c>
      <c r="E1616">
        <v>6</v>
      </c>
      <c r="F1616">
        <v>4</v>
      </c>
      <c r="G1616" s="4">
        <f>VALUE(SUBSTITUTE(SUBSTITUTE(Table1[[#This Row],[Price]],"$",""),",",""))</f>
        <v>864731</v>
      </c>
      <c r="H1616" s="1">
        <f>Table1[[#This Row],[Price2]]/Table1[[#This Row],[Area]]</f>
        <v>233.33270372369131</v>
      </c>
      <c r="I1616">
        <v>3706</v>
      </c>
      <c r="J1616">
        <v>1963</v>
      </c>
      <c r="K1616">
        <v>103</v>
      </c>
      <c r="L1616" t="s">
        <v>52</v>
      </c>
      <c r="M1616" t="s">
        <v>2109</v>
      </c>
      <c r="N1616" s="2" t="s">
        <v>3029</v>
      </c>
      <c r="O1616" t="s">
        <v>3030</v>
      </c>
      <c r="P1616" t="s">
        <v>16</v>
      </c>
      <c r="Q1616">
        <v>233.33270372369131</v>
      </c>
      <c r="R1616">
        <f ca="1">YEAR(TODAY())-Table1[[#This Row],[Year Built]]</f>
        <v>63</v>
      </c>
      <c r="S1616" t="str">
        <f>IF(Table1[[#This Row],[Days on Market]] &lt; 30,"Fast",IF(Table1[[#This Row],[Days on Market]]&lt;= 90,"Average", "Slow"))</f>
        <v>Slow</v>
      </c>
      <c r="T1616" t="str">
        <f>IF(Table1[[#This Row],[Price2]]&lt;500000,"Affordable",IF(Table1[[#This Row],[Price2]]&lt;1000000,"Mid range","Luxury"))</f>
        <v>Mid range</v>
      </c>
    </row>
    <row r="1617" spans="1:20" x14ac:dyDescent="0.35">
      <c r="A1617" s="3">
        <v>864975</v>
      </c>
      <c r="B1617" s="2" t="s">
        <v>22</v>
      </c>
      <c r="C1617">
        <v>80939</v>
      </c>
      <c r="D1617" s="2" t="s">
        <v>13</v>
      </c>
      <c r="E1617">
        <v>5</v>
      </c>
      <c r="F1617">
        <v>4</v>
      </c>
      <c r="G1617" s="4">
        <f>VALUE(SUBSTITUTE(SUBSTITUTE(Table1[[#This Row],[Price]],"$",""),",",""))</f>
        <v>864975</v>
      </c>
      <c r="H1617" s="1">
        <f>Table1[[#This Row],[Price2]]/Table1[[#This Row],[Area]]</f>
        <v>558.76937984496124</v>
      </c>
      <c r="I1617">
        <v>1548</v>
      </c>
      <c r="J1617">
        <v>2010</v>
      </c>
      <c r="K1617">
        <v>63</v>
      </c>
      <c r="L1617" t="s">
        <v>40</v>
      </c>
      <c r="M1617" t="s">
        <v>411</v>
      </c>
      <c r="N1617" s="2" t="s">
        <v>3033</v>
      </c>
      <c r="O1617" t="s">
        <v>3034</v>
      </c>
      <c r="P1617" t="s">
        <v>16</v>
      </c>
      <c r="Q1617">
        <v>558.76937984496124</v>
      </c>
      <c r="R1617">
        <f ca="1">YEAR(TODAY())-Table1[[#This Row],[Year Built]]</f>
        <v>16</v>
      </c>
      <c r="S1617" t="str">
        <f>IF(Table1[[#This Row],[Days on Market]] &lt; 30,"Fast",IF(Table1[[#This Row],[Days on Market]]&lt;= 90,"Average", "Slow"))</f>
        <v>Average</v>
      </c>
      <c r="T1617" t="str">
        <f>IF(Table1[[#This Row],[Price2]]&lt;500000,"Affordable",IF(Table1[[#This Row],[Price2]]&lt;1000000,"Mid range","Luxury"))</f>
        <v>Mid range</v>
      </c>
    </row>
    <row r="1618" spans="1:20" x14ac:dyDescent="0.35">
      <c r="A1618" s="3">
        <v>865568</v>
      </c>
      <c r="B1618" s="2" t="s">
        <v>17</v>
      </c>
      <c r="C1618">
        <v>14407</v>
      </c>
      <c r="D1618" s="2" t="s">
        <v>35</v>
      </c>
      <c r="E1618">
        <v>1</v>
      </c>
      <c r="F1618">
        <v>4</v>
      </c>
      <c r="G1618" s="4">
        <f>VALUE(SUBSTITUTE(SUBSTITUTE(Table1[[#This Row],[Price]],"$",""),",",""))</f>
        <v>865568</v>
      </c>
      <c r="H1618" s="1">
        <f>Table1[[#This Row],[Price2]]/Table1[[#This Row],[Area]]</f>
        <v>249.37136271967734</v>
      </c>
      <c r="I1618">
        <v>3471</v>
      </c>
      <c r="J1618">
        <v>1990</v>
      </c>
      <c r="K1618">
        <v>3</v>
      </c>
      <c r="L1618" t="s">
        <v>14</v>
      </c>
      <c r="M1618" t="s">
        <v>2450</v>
      </c>
      <c r="N1618" s="2" t="s">
        <v>3031</v>
      </c>
      <c r="O1618" t="s">
        <v>3032</v>
      </c>
      <c r="P1618" t="s">
        <v>16</v>
      </c>
      <c r="Q1618">
        <v>249.37136271967734</v>
      </c>
      <c r="R1618">
        <f ca="1">YEAR(TODAY())-Table1[[#This Row],[Year Built]]</f>
        <v>36</v>
      </c>
      <c r="S1618" t="str">
        <f>IF(Table1[[#This Row],[Days on Market]] &lt; 30,"Fast",IF(Table1[[#This Row],[Days on Market]]&lt;= 90,"Average", "Slow"))</f>
        <v>Fast</v>
      </c>
      <c r="T1618" t="str">
        <f>IF(Table1[[#This Row],[Price2]]&lt;500000,"Affordable",IF(Table1[[#This Row],[Price2]]&lt;1000000,"Mid range","Luxury"))</f>
        <v>Mid range</v>
      </c>
    </row>
    <row r="1619" spans="1:20" x14ac:dyDescent="0.35">
      <c r="A1619" s="3">
        <v>865923</v>
      </c>
      <c r="B1619" s="2" t="s">
        <v>34</v>
      </c>
      <c r="C1619">
        <v>81195</v>
      </c>
      <c r="D1619" s="2" t="s">
        <v>35</v>
      </c>
      <c r="E1619">
        <v>6</v>
      </c>
      <c r="F1619">
        <v>2</v>
      </c>
      <c r="G1619" s="4">
        <f>VALUE(SUBSTITUTE(SUBSTITUTE(Table1[[#This Row],[Price]],"$",""),",",""))</f>
        <v>865923</v>
      </c>
      <c r="H1619" s="1">
        <f>Table1[[#This Row],[Price2]]/Table1[[#This Row],[Area]]</f>
        <v>481.87145242070119</v>
      </c>
      <c r="I1619">
        <v>1797</v>
      </c>
      <c r="J1619">
        <v>1964</v>
      </c>
      <c r="K1619">
        <v>116</v>
      </c>
      <c r="L1619" t="s">
        <v>40</v>
      </c>
      <c r="M1619" t="s">
        <v>1629</v>
      </c>
      <c r="N1619" s="2" t="s">
        <v>3033</v>
      </c>
      <c r="O1619" t="s">
        <v>3034</v>
      </c>
      <c r="P1619" t="s">
        <v>16</v>
      </c>
      <c r="Q1619">
        <v>481.87145242070119</v>
      </c>
      <c r="R1619">
        <f ca="1">YEAR(TODAY())-Table1[[#This Row],[Year Built]]</f>
        <v>62</v>
      </c>
      <c r="S1619" t="str">
        <f>IF(Table1[[#This Row],[Days on Market]] &lt; 30,"Fast",IF(Table1[[#This Row],[Days on Market]]&lt;= 90,"Average", "Slow"))</f>
        <v>Slow</v>
      </c>
      <c r="T1619" t="str">
        <f>IF(Table1[[#This Row],[Price2]]&lt;500000,"Affordable",IF(Table1[[#This Row],[Price2]]&lt;1000000,"Mid range","Luxury"))</f>
        <v>Mid range</v>
      </c>
    </row>
    <row r="1620" spans="1:20" x14ac:dyDescent="0.35">
      <c r="A1620" s="3">
        <v>866451</v>
      </c>
      <c r="B1620" s="2" t="s">
        <v>34</v>
      </c>
      <c r="C1620">
        <v>51915</v>
      </c>
      <c r="D1620" s="2" t="s">
        <v>13</v>
      </c>
      <c r="E1620">
        <v>2</v>
      </c>
      <c r="F1620">
        <v>4</v>
      </c>
      <c r="G1620" s="4">
        <f>VALUE(SUBSTITUTE(SUBSTITUTE(Table1[[#This Row],[Price]],"$",""),",",""))</f>
        <v>866451</v>
      </c>
      <c r="H1620" s="1">
        <f>Table1[[#This Row],[Price2]]/Table1[[#This Row],[Area]]</f>
        <v>589.02175390890545</v>
      </c>
      <c r="I1620">
        <v>1471</v>
      </c>
      <c r="J1620">
        <v>1994</v>
      </c>
      <c r="K1620">
        <v>118</v>
      </c>
      <c r="L1620" t="s">
        <v>14</v>
      </c>
      <c r="M1620" t="s">
        <v>2022</v>
      </c>
      <c r="N1620" s="2" t="s">
        <v>3029</v>
      </c>
      <c r="O1620" t="s">
        <v>3030</v>
      </c>
      <c r="P1620" t="s">
        <v>21</v>
      </c>
      <c r="Q1620">
        <v>589.02175390890545</v>
      </c>
      <c r="R1620">
        <f ca="1">YEAR(TODAY())-Table1[[#This Row],[Year Built]]</f>
        <v>32</v>
      </c>
      <c r="S1620" t="str">
        <f>IF(Table1[[#This Row],[Days on Market]] &lt; 30,"Fast",IF(Table1[[#This Row],[Days on Market]]&lt;= 90,"Average", "Slow"))</f>
        <v>Slow</v>
      </c>
      <c r="T1620" t="str">
        <f>IF(Table1[[#This Row],[Price2]]&lt;500000,"Affordable",IF(Table1[[#This Row],[Price2]]&lt;1000000,"Mid range","Luxury"))</f>
        <v>Mid range</v>
      </c>
    </row>
    <row r="1621" spans="1:20" x14ac:dyDescent="0.35">
      <c r="A1621" s="3">
        <v>867045</v>
      </c>
      <c r="B1621" s="2" t="s">
        <v>27</v>
      </c>
      <c r="C1621">
        <v>49782</v>
      </c>
      <c r="D1621" s="2" t="s">
        <v>35</v>
      </c>
      <c r="E1621">
        <v>1</v>
      </c>
      <c r="F1621">
        <v>2</v>
      </c>
      <c r="G1621" s="4">
        <f>VALUE(SUBSTITUTE(SUBSTITUTE(Table1[[#This Row],[Price]],"$",""),",",""))</f>
        <v>867045</v>
      </c>
      <c r="H1621" s="1">
        <f>Table1[[#This Row],[Price2]]/Table1[[#This Row],[Area]]</f>
        <v>266.20970217992016</v>
      </c>
      <c r="I1621">
        <v>3257</v>
      </c>
      <c r="J1621">
        <v>1998</v>
      </c>
      <c r="K1621">
        <v>39</v>
      </c>
      <c r="L1621" t="s">
        <v>52</v>
      </c>
      <c r="M1621" t="s">
        <v>2201</v>
      </c>
      <c r="N1621" s="2" t="s">
        <v>3035</v>
      </c>
      <c r="O1621" t="s">
        <v>3036</v>
      </c>
      <c r="P1621" t="s">
        <v>21</v>
      </c>
      <c r="Q1621">
        <v>266.20970217992016</v>
      </c>
      <c r="R1621">
        <f ca="1">YEAR(TODAY())-Table1[[#This Row],[Year Built]]</f>
        <v>28</v>
      </c>
      <c r="S1621" t="str">
        <f>IF(Table1[[#This Row],[Days on Market]] &lt; 30,"Fast",IF(Table1[[#This Row],[Days on Market]]&lt;= 90,"Average", "Slow"))</f>
        <v>Average</v>
      </c>
      <c r="T1621" t="str">
        <f>IF(Table1[[#This Row],[Price2]]&lt;500000,"Affordable",IF(Table1[[#This Row],[Price2]]&lt;1000000,"Mid range","Luxury"))</f>
        <v>Mid range</v>
      </c>
    </row>
    <row r="1622" spans="1:20" x14ac:dyDescent="0.35">
      <c r="A1622" s="3">
        <v>867206</v>
      </c>
      <c r="B1622" s="2" t="s">
        <v>27</v>
      </c>
      <c r="C1622">
        <v>55397</v>
      </c>
      <c r="D1622" s="2" t="s">
        <v>23</v>
      </c>
      <c r="E1622">
        <v>5</v>
      </c>
      <c r="F1622">
        <v>2</v>
      </c>
      <c r="G1622" s="4">
        <f>VALUE(SUBSTITUTE(SUBSTITUTE(Table1[[#This Row],[Price]],"$",""),",",""))</f>
        <v>867206</v>
      </c>
      <c r="H1622" s="1">
        <f>Table1[[#This Row],[Price2]]/Table1[[#This Row],[Area]]</f>
        <v>303.00698812019567</v>
      </c>
      <c r="I1622">
        <v>2862</v>
      </c>
      <c r="J1622">
        <v>1987</v>
      </c>
      <c r="K1622">
        <v>62</v>
      </c>
      <c r="L1622" t="s">
        <v>40</v>
      </c>
      <c r="M1622" t="s">
        <v>1867</v>
      </c>
      <c r="N1622" s="2" t="s">
        <v>3035</v>
      </c>
      <c r="O1622" t="s">
        <v>3036</v>
      </c>
      <c r="P1622" t="s">
        <v>21</v>
      </c>
      <c r="Q1622">
        <v>303.00698812019567</v>
      </c>
      <c r="R1622">
        <f ca="1">YEAR(TODAY())-Table1[[#This Row],[Year Built]]</f>
        <v>39</v>
      </c>
      <c r="S1622" t="str">
        <f>IF(Table1[[#This Row],[Days on Market]] &lt; 30,"Fast",IF(Table1[[#This Row],[Days on Market]]&lt;= 90,"Average", "Slow"))</f>
        <v>Average</v>
      </c>
      <c r="T1622" t="str">
        <f>IF(Table1[[#This Row],[Price2]]&lt;500000,"Affordable",IF(Table1[[#This Row],[Price2]]&lt;1000000,"Mid range","Luxury"))</f>
        <v>Mid range</v>
      </c>
    </row>
    <row r="1623" spans="1:20" x14ac:dyDescent="0.35">
      <c r="A1623" s="3">
        <v>867570</v>
      </c>
      <c r="B1623" s="2" t="s">
        <v>17</v>
      </c>
      <c r="C1623">
        <v>99270</v>
      </c>
      <c r="D1623" s="2" t="s">
        <v>23</v>
      </c>
      <c r="E1623">
        <v>4</v>
      </c>
      <c r="F1623">
        <v>2</v>
      </c>
      <c r="G1623" s="4">
        <f>VALUE(SUBSTITUTE(SUBSTITUTE(Table1[[#This Row],[Price]],"$",""),",",""))</f>
        <v>867570</v>
      </c>
      <c r="H1623" s="1">
        <f>Table1[[#This Row],[Price2]]/Table1[[#This Row],[Area]]</f>
        <v>276.29617834394907</v>
      </c>
      <c r="I1623">
        <v>3140</v>
      </c>
      <c r="J1623">
        <v>1999</v>
      </c>
      <c r="K1623">
        <v>16</v>
      </c>
      <c r="L1623" t="s">
        <v>19</v>
      </c>
      <c r="M1623" t="s">
        <v>1064</v>
      </c>
      <c r="N1623" s="2" t="s">
        <v>3031</v>
      </c>
      <c r="O1623" t="s">
        <v>3032</v>
      </c>
      <c r="P1623" t="s">
        <v>21</v>
      </c>
      <c r="Q1623">
        <v>276.29617834394907</v>
      </c>
      <c r="R1623">
        <f ca="1">YEAR(TODAY())-Table1[[#This Row],[Year Built]]</f>
        <v>27</v>
      </c>
      <c r="S1623" t="str">
        <f>IF(Table1[[#This Row],[Days on Market]] &lt; 30,"Fast",IF(Table1[[#This Row],[Days on Market]]&lt;= 90,"Average", "Slow"))</f>
        <v>Fast</v>
      </c>
      <c r="T1623" t="str">
        <f>IF(Table1[[#This Row],[Price2]]&lt;500000,"Affordable",IF(Table1[[#This Row],[Price2]]&lt;1000000,"Mid range","Luxury"))</f>
        <v>Mid range</v>
      </c>
    </row>
    <row r="1624" spans="1:20" x14ac:dyDescent="0.35">
      <c r="A1624" s="3">
        <v>867826</v>
      </c>
      <c r="B1624" s="2" t="s">
        <v>22</v>
      </c>
      <c r="C1624">
        <v>59416</v>
      </c>
      <c r="D1624" s="2" t="s">
        <v>23</v>
      </c>
      <c r="E1624">
        <v>4</v>
      </c>
      <c r="F1624">
        <v>3</v>
      </c>
      <c r="G1624" s="4">
        <f>VALUE(SUBSTITUTE(SUBSTITUTE(Table1[[#This Row],[Price]],"$",""),",",""))</f>
        <v>867826</v>
      </c>
      <c r="H1624" s="1">
        <f>Table1[[#This Row],[Price2]]/Table1[[#This Row],[Area]]</f>
        <v>392.50384441429219</v>
      </c>
      <c r="I1624">
        <v>2211</v>
      </c>
      <c r="J1624">
        <v>2017</v>
      </c>
      <c r="K1624">
        <v>45</v>
      </c>
      <c r="L1624" t="s">
        <v>14</v>
      </c>
      <c r="M1624" t="s">
        <v>2986</v>
      </c>
      <c r="N1624" s="2" t="s">
        <v>3027</v>
      </c>
      <c r="O1624" t="s">
        <v>3028</v>
      </c>
      <c r="P1624" t="s">
        <v>21</v>
      </c>
      <c r="Q1624">
        <v>392.50384441429219</v>
      </c>
      <c r="R1624">
        <f ca="1">YEAR(TODAY())-Table1[[#This Row],[Year Built]]</f>
        <v>9</v>
      </c>
      <c r="S1624" t="str">
        <f>IF(Table1[[#This Row],[Days on Market]] &lt; 30,"Fast",IF(Table1[[#This Row],[Days on Market]]&lt;= 90,"Average", "Slow"))</f>
        <v>Average</v>
      </c>
      <c r="T1624" t="str">
        <f>IF(Table1[[#This Row],[Price2]]&lt;500000,"Affordable",IF(Table1[[#This Row],[Price2]]&lt;1000000,"Mid range","Luxury"))</f>
        <v>Mid range</v>
      </c>
    </row>
    <row r="1625" spans="1:20" x14ac:dyDescent="0.35">
      <c r="A1625" s="3">
        <v>868262</v>
      </c>
      <c r="B1625" s="2" t="s">
        <v>12</v>
      </c>
      <c r="C1625">
        <v>99226</v>
      </c>
      <c r="D1625" s="2" t="s">
        <v>35</v>
      </c>
      <c r="E1625">
        <v>3</v>
      </c>
      <c r="F1625">
        <v>3</v>
      </c>
      <c r="G1625" s="4">
        <f>VALUE(SUBSTITUTE(SUBSTITUTE(Table1[[#This Row],[Price]],"$",""),",",""))</f>
        <v>868262</v>
      </c>
      <c r="H1625" s="1">
        <f>Table1[[#This Row],[Price2]]/Table1[[#This Row],[Area]]</f>
        <v>634.23082542001464</v>
      </c>
      <c r="I1625">
        <v>1369</v>
      </c>
      <c r="J1625">
        <v>1996</v>
      </c>
      <c r="K1625">
        <v>37</v>
      </c>
      <c r="L1625" t="s">
        <v>19</v>
      </c>
      <c r="M1625" t="s">
        <v>1711</v>
      </c>
      <c r="N1625" s="2" t="s">
        <v>3031</v>
      </c>
      <c r="O1625" t="s">
        <v>3032</v>
      </c>
      <c r="P1625" t="s">
        <v>21</v>
      </c>
      <c r="Q1625">
        <v>634.23082542001464</v>
      </c>
      <c r="R1625">
        <f ca="1">YEAR(TODAY())-Table1[[#This Row],[Year Built]]</f>
        <v>30</v>
      </c>
      <c r="S1625" t="str">
        <f>IF(Table1[[#This Row],[Days on Market]] &lt; 30,"Fast",IF(Table1[[#This Row],[Days on Market]]&lt;= 90,"Average", "Slow"))</f>
        <v>Average</v>
      </c>
      <c r="T1625" t="str">
        <f>IF(Table1[[#This Row],[Price2]]&lt;500000,"Affordable",IF(Table1[[#This Row],[Price2]]&lt;1000000,"Mid range","Luxury"))</f>
        <v>Mid range</v>
      </c>
    </row>
    <row r="1626" spans="1:20" x14ac:dyDescent="0.35">
      <c r="A1626" s="3">
        <v>868293</v>
      </c>
      <c r="B1626" s="2" t="s">
        <v>34</v>
      </c>
      <c r="C1626">
        <v>33840</v>
      </c>
      <c r="D1626" s="2" t="s">
        <v>23</v>
      </c>
      <c r="E1626">
        <v>5</v>
      </c>
      <c r="F1626">
        <v>4</v>
      </c>
      <c r="G1626" s="4">
        <f>VALUE(SUBSTITUTE(SUBSTITUTE(Table1[[#This Row],[Price]],"$",""),",",""))</f>
        <v>868293</v>
      </c>
      <c r="H1626" s="1">
        <f>Table1[[#This Row],[Price2]]/Table1[[#This Row],[Area]]</f>
        <v>1391.4951923076924</v>
      </c>
      <c r="I1626">
        <v>624</v>
      </c>
      <c r="J1626">
        <v>2004</v>
      </c>
      <c r="K1626">
        <v>30</v>
      </c>
      <c r="L1626" t="s">
        <v>14</v>
      </c>
      <c r="M1626" t="s">
        <v>1131</v>
      </c>
      <c r="N1626" s="2" t="s">
        <v>3027</v>
      </c>
      <c r="O1626" t="s">
        <v>3028</v>
      </c>
      <c r="P1626" t="s">
        <v>16</v>
      </c>
      <c r="Q1626">
        <v>1391.4951923076924</v>
      </c>
      <c r="R1626">
        <f ca="1">YEAR(TODAY())-Table1[[#This Row],[Year Built]]</f>
        <v>22</v>
      </c>
      <c r="S1626" t="str">
        <f>IF(Table1[[#This Row],[Days on Market]] &lt; 30,"Fast",IF(Table1[[#This Row],[Days on Market]]&lt;= 90,"Average", "Slow"))</f>
        <v>Average</v>
      </c>
      <c r="T1626" t="str">
        <f>IF(Table1[[#This Row],[Price2]]&lt;500000,"Affordable",IF(Table1[[#This Row],[Price2]]&lt;1000000,"Mid range","Luxury"))</f>
        <v>Mid range</v>
      </c>
    </row>
    <row r="1627" spans="1:20" x14ac:dyDescent="0.35">
      <c r="A1627" s="3">
        <v>868311</v>
      </c>
      <c r="B1627" s="2" t="s">
        <v>17</v>
      </c>
      <c r="C1627">
        <v>22024</v>
      </c>
      <c r="D1627" s="2" t="s">
        <v>23</v>
      </c>
      <c r="E1627">
        <v>3</v>
      </c>
      <c r="F1627">
        <v>4</v>
      </c>
      <c r="G1627" s="4">
        <f>VALUE(SUBSTITUTE(SUBSTITUTE(Table1[[#This Row],[Price]],"$",""),",",""))</f>
        <v>868311</v>
      </c>
      <c r="H1627" s="1">
        <f>Table1[[#This Row],[Price2]]/Table1[[#This Row],[Area]]</f>
        <v>389.20259973106232</v>
      </c>
      <c r="I1627">
        <v>2231</v>
      </c>
      <c r="J1627">
        <v>1991</v>
      </c>
      <c r="K1627">
        <v>90</v>
      </c>
      <c r="L1627" t="s">
        <v>30</v>
      </c>
      <c r="M1627" t="s">
        <v>678</v>
      </c>
      <c r="N1627" s="2" t="s">
        <v>3033</v>
      </c>
      <c r="O1627" t="s">
        <v>3034</v>
      </c>
      <c r="P1627" t="s">
        <v>21</v>
      </c>
      <c r="Q1627">
        <v>389.20259973106232</v>
      </c>
      <c r="R1627">
        <f ca="1">YEAR(TODAY())-Table1[[#This Row],[Year Built]]</f>
        <v>35</v>
      </c>
      <c r="S1627" t="str">
        <f>IF(Table1[[#This Row],[Days on Market]] &lt; 30,"Fast",IF(Table1[[#This Row],[Days on Market]]&lt;= 90,"Average", "Slow"))</f>
        <v>Average</v>
      </c>
      <c r="T1627" t="str">
        <f>IF(Table1[[#This Row],[Price2]]&lt;500000,"Affordable",IF(Table1[[#This Row],[Price2]]&lt;1000000,"Mid range","Luxury"))</f>
        <v>Mid range</v>
      </c>
    </row>
    <row r="1628" spans="1:20" x14ac:dyDescent="0.35">
      <c r="A1628" s="3">
        <v>868534</v>
      </c>
      <c r="B1628" s="2" t="s">
        <v>12</v>
      </c>
      <c r="C1628">
        <v>42349</v>
      </c>
      <c r="D1628" s="2" t="s">
        <v>29</v>
      </c>
      <c r="E1628">
        <v>5</v>
      </c>
      <c r="F1628">
        <v>4</v>
      </c>
      <c r="G1628" s="4">
        <f>VALUE(SUBSTITUTE(SUBSTITUTE(Table1[[#This Row],[Price]],"$",""),",",""))</f>
        <v>868534</v>
      </c>
      <c r="H1628" s="1">
        <f>Table1[[#This Row],[Price2]]/Table1[[#This Row],[Area]]</f>
        <v>1271.6456808199121</v>
      </c>
      <c r="I1628">
        <v>683</v>
      </c>
      <c r="J1628">
        <v>1998</v>
      </c>
      <c r="K1628">
        <v>79</v>
      </c>
      <c r="L1628" t="s">
        <v>30</v>
      </c>
      <c r="M1628" t="s">
        <v>929</v>
      </c>
      <c r="N1628" s="2" t="s">
        <v>3027</v>
      </c>
      <c r="O1628" t="s">
        <v>3028</v>
      </c>
      <c r="P1628" t="s">
        <v>16</v>
      </c>
      <c r="Q1628">
        <v>1271.6456808199121</v>
      </c>
      <c r="R1628">
        <f ca="1">YEAR(TODAY())-Table1[[#This Row],[Year Built]]</f>
        <v>28</v>
      </c>
      <c r="S1628" t="str">
        <f>IF(Table1[[#This Row],[Days on Market]] &lt; 30,"Fast",IF(Table1[[#This Row],[Days on Market]]&lt;= 90,"Average", "Slow"))</f>
        <v>Average</v>
      </c>
      <c r="T1628" t="str">
        <f>IF(Table1[[#This Row],[Price2]]&lt;500000,"Affordable",IF(Table1[[#This Row],[Price2]]&lt;1000000,"Mid range","Luxury"))</f>
        <v>Mid range</v>
      </c>
    </row>
    <row r="1629" spans="1:20" x14ac:dyDescent="0.35">
      <c r="A1629" s="3">
        <v>868546</v>
      </c>
      <c r="B1629" s="2" t="s">
        <v>17</v>
      </c>
      <c r="C1629">
        <v>31004</v>
      </c>
      <c r="D1629" s="2" t="s">
        <v>29</v>
      </c>
      <c r="E1629">
        <v>4</v>
      </c>
      <c r="F1629">
        <v>3</v>
      </c>
      <c r="G1629" s="4">
        <f>VALUE(SUBSTITUTE(SUBSTITUTE(Table1[[#This Row],[Price]],"$",""),",",""))</f>
        <v>868546</v>
      </c>
      <c r="H1629" s="1">
        <f>Table1[[#This Row],[Price2]]/Table1[[#This Row],[Area]]</f>
        <v>812.48456501403177</v>
      </c>
      <c r="I1629">
        <v>1069</v>
      </c>
      <c r="J1629">
        <v>1999</v>
      </c>
      <c r="K1629">
        <v>78</v>
      </c>
      <c r="L1629" t="s">
        <v>14</v>
      </c>
      <c r="M1629" t="s">
        <v>1689</v>
      </c>
      <c r="N1629" s="2" t="s">
        <v>3027</v>
      </c>
      <c r="O1629" t="s">
        <v>3028</v>
      </c>
      <c r="P1629" t="s">
        <v>16</v>
      </c>
      <c r="Q1629">
        <v>812.48456501403177</v>
      </c>
      <c r="R1629">
        <f ca="1">YEAR(TODAY())-Table1[[#This Row],[Year Built]]</f>
        <v>27</v>
      </c>
      <c r="S1629" t="str">
        <f>IF(Table1[[#This Row],[Days on Market]] &lt; 30,"Fast",IF(Table1[[#This Row],[Days on Market]]&lt;= 90,"Average", "Slow"))</f>
        <v>Average</v>
      </c>
      <c r="T1629" t="str">
        <f>IF(Table1[[#This Row],[Price2]]&lt;500000,"Affordable",IF(Table1[[#This Row],[Price2]]&lt;1000000,"Mid range","Luxury"))</f>
        <v>Mid range</v>
      </c>
    </row>
    <row r="1630" spans="1:20" x14ac:dyDescent="0.35">
      <c r="A1630" s="3">
        <v>868758</v>
      </c>
      <c r="B1630" s="2" t="s">
        <v>17</v>
      </c>
      <c r="C1630">
        <v>64363</v>
      </c>
      <c r="D1630" s="2" t="s">
        <v>18</v>
      </c>
      <c r="E1630">
        <v>4</v>
      </c>
      <c r="F1630">
        <v>2</v>
      </c>
      <c r="G1630" s="4">
        <f>VALUE(SUBSTITUTE(SUBSTITUTE(Table1[[#This Row],[Price]],"$",""),",",""))</f>
        <v>868758</v>
      </c>
      <c r="H1630" s="1">
        <f>Table1[[#This Row],[Price2]]/Table1[[#This Row],[Area]]</f>
        <v>490.82372881355934</v>
      </c>
      <c r="I1630">
        <v>1770</v>
      </c>
      <c r="J1630">
        <v>1988</v>
      </c>
      <c r="K1630">
        <v>88</v>
      </c>
      <c r="L1630" t="s">
        <v>14</v>
      </c>
      <c r="M1630" t="s">
        <v>2181</v>
      </c>
      <c r="N1630" s="2" t="s">
        <v>3033</v>
      </c>
      <c r="O1630" t="s">
        <v>3034</v>
      </c>
      <c r="P1630" t="s">
        <v>16</v>
      </c>
      <c r="Q1630">
        <v>490.82372881355934</v>
      </c>
      <c r="R1630">
        <f ca="1">YEAR(TODAY())-Table1[[#This Row],[Year Built]]</f>
        <v>38</v>
      </c>
      <c r="S1630" t="str">
        <f>IF(Table1[[#This Row],[Days on Market]] &lt; 30,"Fast",IF(Table1[[#This Row],[Days on Market]]&lt;= 90,"Average", "Slow"))</f>
        <v>Average</v>
      </c>
      <c r="T1630" t="str">
        <f>IF(Table1[[#This Row],[Price2]]&lt;500000,"Affordable",IF(Table1[[#This Row],[Price2]]&lt;1000000,"Mid range","Luxury"))</f>
        <v>Mid range</v>
      </c>
    </row>
    <row r="1631" spans="1:20" x14ac:dyDescent="0.35">
      <c r="A1631" s="3">
        <v>869419</v>
      </c>
      <c r="B1631" s="2" t="s">
        <v>12</v>
      </c>
      <c r="C1631">
        <v>63159</v>
      </c>
      <c r="D1631" s="2" t="s">
        <v>23</v>
      </c>
      <c r="E1631">
        <v>3</v>
      </c>
      <c r="F1631">
        <v>1</v>
      </c>
      <c r="G1631" s="4">
        <f>VALUE(SUBSTITUTE(SUBSTITUTE(Table1[[#This Row],[Price]],"$",""),",",""))</f>
        <v>869419</v>
      </c>
      <c r="H1631" s="1">
        <f>Table1[[#This Row],[Price2]]/Table1[[#This Row],[Area]]</f>
        <v>706.27051177904139</v>
      </c>
      <c r="I1631">
        <v>1231</v>
      </c>
      <c r="J1631">
        <v>1953</v>
      </c>
      <c r="K1631">
        <v>38</v>
      </c>
      <c r="L1631" t="s">
        <v>30</v>
      </c>
      <c r="M1631" t="s">
        <v>921</v>
      </c>
      <c r="N1631" s="2" t="s">
        <v>3033</v>
      </c>
      <c r="O1631" t="s">
        <v>3034</v>
      </c>
      <c r="P1631" t="s">
        <v>26</v>
      </c>
      <c r="Q1631">
        <v>706.27051177904139</v>
      </c>
      <c r="R1631">
        <f ca="1">YEAR(TODAY())-Table1[[#This Row],[Year Built]]</f>
        <v>73</v>
      </c>
      <c r="S1631" t="str">
        <f>IF(Table1[[#This Row],[Days on Market]] &lt; 30,"Fast",IF(Table1[[#This Row],[Days on Market]]&lt;= 90,"Average", "Slow"))</f>
        <v>Average</v>
      </c>
      <c r="T1631" t="str">
        <f>IF(Table1[[#This Row],[Price2]]&lt;500000,"Affordable",IF(Table1[[#This Row],[Price2]]&lt;1000000,"Mid range","Luxury"))</f>
        <v>Mid range</v>
      </c>
    </row>
    <row r="1632" spans="1:20" x14ac:dyDescent="0.35">
      <c r="A1632" s="3">
        <v>869597</v>
      </c>
      <c r="B1632" s="2" t="s">
        <v>34</v>
      </c>
      <c r="C1632">
        <v>45081</v>
      </c>
      <c r="D1632" s="2" t="s">
        <v>13</v>
      </c>
      <c r="E1632">
        <v>4</v>
      </c>
      <c r="F1632">
        <v>3</v>
      </c>
      <c r="G1632" s="4">
        <f>VALUE(SUBSTITUTE(SUBSTITUTE(Table1[[#This Row],[Price]],"$",""),",",""))</f>
        <v>869597</v>
      </c>
      <c r="H1632" s="1">
        <f>Table1[[#This Row],[Price2]]/Table1[[#This Row],[Area]]</f>
        <v>1156.3789893617022</v>
      </c>
      <c r="I1632">
        <v>752</v>
      </c>
      <c r="J1632">
        <v>1969</v>
      </c>
      <c r="K1632">
        <v>86</v>
      </c>
      <c r="L1632" t="s">
        <v>14</v>
      </c>
      <c r="M1632" t="s">
        <v>543</v>
      </c>
      <c r="N1632" s="2" t="s">
        <v>3035</v>
      </c>
      <c r="O1632" t="s">
        <v>3036</v>
      </c>
      <c r="P1632" t="s">
        <v>26</v>
      </c>
      <c r="Q1632">
        <v>1156.3789893617022</v>
      </c>
      <c r="R1632">
        <f ca="1">YEAR(TODAY())-Table1[[#This Row],[Year Built]]</f>
        <v>57</v>
      </c>
      <c r="S1632" t="str">
        <f>IF(Table1[[#This Row],[Days on Market]] &lt; 30,"Fast",IF(Table1[[#This Row],[Days on Market]]&lt;= 90,"Average", "Slow"))</f>
        <v>Average</v>
      </c>
      <c r="T1632" t="str">
        <f>IF(Table1[[#This Row],[Price2]]&lt;500000,"Affordable",IF(Table1[[#This Row],[Price2]]&lt;1000000,"Mid range","Luxury"))</f>
        <v>Mid range</v>
      </c>
    </row>
    <row r="1633" spans="1:20" x14ac:dyDescent="0.35">
      <c r="A1633" s="3">
        <v>869770</v>
      </c>
      <c r="B1633" s="2" t="s">
        <v>34</v>
      </c>
      <c r="C1633">
        <v>56536</v>
      </c>
      <c r="D1633" s="2" t="s">
        <v>18</v>
      </c>
      <c r="E1633">
        <v>5</v>
      </c>
      <c r="F1633">
        <v>1</v>
      </c>
      <c r="G1633" s="4">
        <f>VALUE(SUBSTITUTE(SUBSTITUTE(Table1[[#This Row],[Price]],"$",""),",",""))</f>
        <v>869770</v>
      </c>
      <c r="H1633" s="1">
        <f>Table1[[#This Row],[Price2]]/Table1[[#This Row],[Area]]</f>
        <v>421.19612590799034</v>
      </c>
      <c r="I1633">
        <v>2065</v>
      </c>
      <c r="J1633">
        <v>1996</v>
      </c>
      <c r="K1633">
        <v>52</v>
      </c>
      <c r="L1633" t="s">
        <v>14</v>
      </c>
      <c r="M1633" t="s">
        <v>2067</v>
      </c>
      <c r="N1633" s="2" t="s">
        <v>3035</v>
      </c>
      <c r="O1633" t="s">
        <v>3036</v>
      </c>
      <c r="P1633" t="s">
        <v>26</v>
      </c>
      <c r="Q1633">
        <v>421.19612590799034</v>
      </c>
      <c r="R1633">
        <f ca="1">YEAR(TODAY())-Table1[[#This Row],[Year Built]]</f>
        <v>30</v>
      </c>
      <c r="S1633" t="str">
        <f>IF(Table1[[#This Row],[Days on Market]] &lt; 30,"Fast",IF(Table1[[#This Row],[Days on Market]]&lt;= 90,"Average", "Slow"))</f>
        <v>Average</v>
      </c>
      <c r="T1633" t="str">
        <f>IF(Table1[[#This Row],[Price2]]&lt;500000,"Affordable",IF(Table1[[#This Row],[Price2]]&lt;1000000,"Mid range","Luxury"))</f>
        <v>Mid range</v>
      </c>
    </row>
    <row r="1634" spans="1:20" x14ac:dyDescent="0.35">
      <c r="A1634" s="3">
        <v>870333</v>
      </c>
      <c r="B1634" s="2" t="s">
        <v>17</v>
      </c>
      <c r="C1634">
        <v>56087</v>
      </c>
      <c r="D1634" s="2" t="s">
        <v>23</v>
      </c>
      <c r="E1634">
        <v>2</v>
      </c>
      <c r="F1634">
        <v>1</v>
      </c>
      <c r="G1634" s="4">
        <f>VALUE(SUBSTITUTE(SUBSTITUTE(Table1[[#This Row],[Price]],"$",""),",",""))</f>
        <v>870333</v>
      </c>
      <c r="H1634" s="1">
        <f>Table1[[#This Row],[Price2]]/Table1[[#This Row],[Area]]</f>
        <v>960.63245033112582</v>
      </c>
      <c r="I1634">
        <v>906</v>
      </c>
      <c r="J1634">
        <v>2009</v>
      </c>
      <c r="K1634">
        <v>47</v>
      </c>
      <c r="L1634" t="s">
        <v>52</v>
      </c>
      <c r="M1634" t="s">
        <v>2738</v>
      </c>
      <c r="N1634" s="2" t="s">
        <v>3027</v>
      </c>
      <c r="O1634" t="s">
        <v>3028</v>
      </c>
      <c r="P1634" t="s">
        <v>16</v>
      </c>
      <c r="Q1634">
        <v>960.63245033112582</v>
      </c>
      <c r="R1634">
        <f ca="1">YEAR(TODAY())-Table1[[#This Row],[Year Built]]</f>
        <v>17</v>
      </c>
      <c r="S1634" t="str">
        <f>IF(Table1[[#This Row],[Days on Market]] &lt; 30,"Fast",IF(Table1[[#This Row],[Days on Market]]&lt;= 90,"Average", "Slow"))</f>
        <v>Average</v>
      </c>
      <c r="T1634" t="str">
        <f>IF(Table1[[#This Row],[Price2]]&lt;500000,"Affordable",IF(Table1[[#This Row],[Price2]]&lt;1000000,"Mid range","Luxury"))</f>
        <v>Mid range</v>
      </c>
    </row>
    <row r="1635" spans="1:20" x14ac:dyDescent="0.35">
      <c r="A1635" s="3">
        <v>870466</v>
      </c>
      <c r="B1635" s="2" t="s">
        <v>27</v>
      </c>
      <c r="C1635">
        <v>10094</v>
      </c>
      <c r="D1635" s="2" t="s">
        <v>13</v>
      </c>
      <c r="E1635">
        <v>1</v>
      </c>
      <c r="F1635">
        <v>3</v>
      </c>
      <c r="G1635" s="4">
        <f>VALUE(SUBSTITUTE(SUBSTITUTE(Table1[[#This Row],[Price]],"$",""),",",""))</f>
        <v>870466</v>
      </c>
      <c r="H1635" s="1">
        <f>Table1[[#This Row],[Price2]]/Table1[[#This Row],[Area]]</f>
        <v>234.43738217075142</v>
      </c>
      <c r="I1635">
        <v>3713</v>
      </c>
      <c r="J1635">
        <v>2010</v>
      </c>
      <c r="K1635">
        <v>32</v>
      </c>
      <c r="L1635" t="s">
        <v>14</v>
      </c>
      <c r="M1635" t="s">
        <v>1443</v>
      </c>
      <c r="N1635" s="2" t="s">
        <v>3029</v>
      </c>
      <c r="O1635" t="s">
        <v>3030</v>
      </c>
      <c r="P1635" t="s">
        <v>26</v>
      </c>
      <c r="Q1635">
        <v>234.43738217075142</v>
      </c>
      <c r="R1635">
        <f ca="1">YEAR(TODAY())-Table1[[#This Row],[Year Built]]</f>
        <v>16</v>
      </c>
      <c r="S1635" t="str">
        <f>IF(Table1[[#This Row],[Days on Market]] &lt; 30,"Fast",IF(Table1[[#This Row],[Days on Market]]&lt;= 90,"Average", "Slow"))</f>
        <v>Average</v>
      </c>
      <c r="T1635" t="str">
        <f>IF(Table1[[#This Row],[Price2]]&lt;500000,"Affordable",IF(Table1[[#This Row],[Price2]]&lt;1000000,"Mid range","Luxury"))</f>
        <v>Mid range</v>
      </c>
    </row>
    <row r="1636" spans="1:20" x14ac:dyDescent="0.35">
      <c r="A1636" s="3">
        <v>870993</v>
      </c>
      <c r="B1636" s="2" t="s">
        <v>27</v>
      </c>
      <c r="C1636">
        <v>25354</v>
      </c>
      <c r="D1636" s="2" t="s">
        <v>13</v>
      </c>
      <c r="E1636">
        <v>5</v>
      </c>
      <c r="F1636">
        <v>1</v>
      </c>
      <c r="G1636" s="4">
        <f>VALUE(SUBSTITUTE(SUBSTITUTE(Table1[[#This Row],[Price]],"$",""),",",""))</f>
        <v>870993</v>
      </c>
      <c r="H1636" s="1">
        <f>Table1[[#This Row],[Price2]]/Table1[[#This Row],[Area]]</f>
        <v>548.48425692695218</v>
      </c>
      <c r="I1636">
        <v>1588</v>
      </c>
      <c r="J1636">
        <v>1953</v>
      </c>
      <c r="K1636">
        <v>63</v>
      </c>
      <c r="L1636" t="s">
        <v>52</v>
      </c>
      <c r="M1636" t="s">
        <v>2596</v>
      </c>
      <c r="N1636" s="2" t="s">
        <v>3029</v>
      </c>
      <c r="O1636" t="s">
        <v>3030</v>
      </c>
      <c r="P1636" t="s">
        <v>26</v>
      </c>
      <c r="Q1636">
        <v>548.48425692695218</v>
      </c>
      <c r="R1636">
        <f ca="1">YEAR(TODAY())-Table1[[#This Row],[Year Built]]</f>
        <v>73</v>
      </c>
      <c r="S1636" t="str">
        <f>IF(Table1[[#This Row],[Days on Market]] &lt; 30,"Fast",IF(Table1[[#This Row],[Days on Market]]&lt;= 90,"Average", "Slow"))</f>
        <v>Average</v>
      </c>
      <c r="T1636" t="str">
        <f>IF(Table1[[#This Row],[Price2]]&lt;500000,"Affordable",IF(Table1[[#This Row],[Price2]]&lt;1000000,"Mid range","Luxury"))</f>
        <v>Mid range</v>
      </c>
    </row>
    <row r="1637" spans="1:20" x14ac:dyDescent="0.35">
      <c r="A1637" s="3">
        <v>872311</v>
      </c>
      <c r="B1637" s="2" t="s">
        <v>22</v>
      </c>
      <c r="C1637">
        <v>57079</v>
      </c>
      <c r="D1637" s="2" t="s">
        <v>23</v>
      </c>
      <c r="E1637">
        <v>4</v>
      </c>
      <c r="F1637">
        <v>4</v>
      </c>
      <c r="G1637" s="4">
        <f>VALUE(SUBSTITUTE(SUBSTITUTE(Table1[[#This Row],[Price]],"$",""),",",""))</f>
        <v>872311</v>
      </c>
      <c r="H1637" s="1">
        <f>Table1[[#This Row],[Price2]]/Table1[[#This Row],[Area]]</f>
        <v>568.65123859191658</v>
      </c>
      <c r="I1637">
        <v>1534</v>
      </c>
      <c r="J1637">
        <v>2014</v>
      </c>
      <c r="K1637">
        <v>67</v>
      </c>
      <c r="L1637" t="s">
        <v>52</v>
      </c>
      <c r="M1637" t="s">
        <v>1035</v>
      </c>
      <c r="N1637" s="2" t="s">
        <v>3029</v>
      </c>
      <c r="O1637" t="s">
        <v>3030</v>
      </c>
      <c r="P1637" t="s">
        <v>16</v>
      </c>
      <c r="Q1637">
        <v>568.65123859191658</v>
      </c>
      <c r="R1637">
        <f ca="1">YEAR(TODAY())-Table1[[#This Row],[Year Built]]</f>
        <v>12</v>
      </c>
      <c r="S1637" t="str">
        <f>IF(Table1[[#This Row],[Days on Market]] &lt; 30,"Fast",IF(Table1[[#This Row],[Days on Market]]&lt;= 90,"Average", "Slow"))</f>
        <v>Average</v>
      </c>
      <c r="T1637" t="str">
        <f>IF(Table1[[#This Row],[Price2]]&lt;500000,"Affordable",IF(Table1[[#This Row],[Price2]]&lt;1000000,"Mid range","Luxury"))</f>
        <v>Mid range</v>
      </c>
    </row>
    <row r="1638" spans="1:20" x14ac:dyDescent="0.35">
      <c r="A1638" s="3">
        <v>873714</v>
      </c>
      <c r="B1638" s="2" t="s">
        <v>34</v>
      </c>
      <c r="C1638">
        <v>33511</v>
      </c>
      <c r="D1638" s="2" t="s">
        <v>35</v>
      </c>
      <c r="E1638">
        <v>1</v>
      </c>
      <c r="F1638">
        <v>2</v>
      </c>
      <c r="G1638" s="4">
        <f>VALUE(SUBSTITUTE(SUBSTITUTE(Table1[[#This Row],[Price]],"$",""),",",""))</f>
        <v>873714</v>
      </c>
      <c r="H1638" s="1">
        <f>Table1[[#This Row],[Price2]]/Table1[[#This Row],[Area]]</f>
        <v>301.6968232044199</v>
      </c>
      <c r="I1638">
        <v>2896</v>
      </c>
      <c r="J1638">
        <v>1991</v>
      </c>
      <c r="K1638">
        <v>101</v>
      </c>
      <c r="L1638" t="s">
        <v>52</v>
      </c>
      <c r="M1638" t="s">
        <v>1734</v>
      </c>
      <c r="N1638" s="2" t="s">
        <v>3029</v>
      </c>
      <c r="O1638" t="s">
        <v>3030</v>
      </c>
      <c r="P1638" t="s">
        <v>16</v>
      </c>
      <c r="Q1638">
        <v>301.6968232044199</v>
      </c>
      <c r="R1638">
        <f ca="1">YEAR(TODAY())-Table1[[#This Row],[Year Built]]</f>
        <v>35</v>
      </c>
      <c r="S1638" t="str">
        <f>IF(Table1[[#This Row],[Days on Market]] &lt; 30,"Fast",IF(Table1[[#This Row],[Days on Market]]&lt;= 90,"Average", "Slow"))</f>
        <v>Slow</v>
      </c>
      <c r="T1638" t="str">
        <f>IF(Table1[[#This Row],[Price2]]&lt;500000,"Affordable",IF(Table1[[#This Row],[Price2]]&lt;1000000,"Mid range","Luxury"))</f>
        <v>Mid range</v>
      </c>
    </row>
    <row r="1639" spans="1:20" x14ac:dyDescent="0.35">
      <c r="A1639" s="3">
        <v>874245</v>
      </c>
      <c r="B1639" s="2" t="s">
        <v>22</v>
      </c>
      <c r="C1639">
        <v>48361</v>
      </c>
      <c r="D1639" s="2" t="s">
        <v>13</v>
      </c>
      <c r="E1639">
        <v>2</v>
      </c>
      <c r="F1639">
        <v>2</v>
      </c>
      <c r="G1639" s="4">
        <f>VALUE(SUBSTITUTE(SUBSTITUTE(Table1[[#This Row],[Price]],"$",""),",",""))</f>
        <v>874245</v>
      </c>
      <c r="H1639" s="1">
        <f>Table1[[#This Row],[Price2]]/Table1[[#This Row],[Area]]</f>
        <v>358.00368550368552</v>
      </c>
      <c r="I1639">
        <v>2442</v>
      </c>
      <c r="J1639">
        <v>1994</v>
      </c>
      <c r="K1639">
        <v>18</v>
      </c>
      <c r="L1639" t="s">
        <v>30</v>
      </c>
      <c r="M1639" t="s">
        <v>987</v>
      </c>
      <c r="N1639" s="2" t="s">
        <v>3029</v>
      </c>
      <c r="O1639" t="s">
        <v>3030</v>
      </c>
      <c r="P1639" t="s">
        <v>26</v>
      </c>
      <c r="Q1639">
        <v>358.00368550368552</v>
      </c>
      <c r="R1639">
        <f ca="1">YEAR(TODAY())-Table1[[#This Row],[Year Built]]</f>
        <v>32</v>
      </c>
      <c r="S1639" t="str">
        <f>IF(Table1[[#This Row],[Days on Market]] &lt; 30,"Fast",IF(Table1[[#This Row],[Days on Market]]&lt;= 90,"Average", "Slow"))</f>
        <v>Fast</v>
      </c>
      <c r="T1639" t="str">
        <f>IF(Table1[[#This Row],[Price2]]&lt;500000,"Affordable",IF(Table1[[#This Row],[Price2]]&lt;1000000,"Mid range","Luxury"))</f>
        <v>Mid range</v>
      </c>
    </row>
    <row r="1640" spans="1:20" x14ac:dyDescent="0.35">
      <c r="A1640" s="3">
        <v>875089</v>
      </c>
      <c r="B1640" s="2" t="s">
        <v>12</v>
      </c>
      <c r="C1640">
        <v>27832</v>
      </c>
      <c r="D1640" s="2" t="s">
        <v>35</v>
      </c>
      <c r="E1640">
        <v>3</v>
      </c>
      <c r="F1640">
        <v>4</v>
      </c>
      <c r="G1640" s="4">
        <f>VALUE(SUBSTITUTE(SUBSTITUTE(Table1[[#This Row],[Price]],"$",""),",",""))</f>
        <v>875089</v>
      </c>
      <c r="H1640" s="1">
        <f>Table1[[#This Row],[Price2]]/Table1[[#This Row],[Area]]</f>
        <v>562.03532434168267</v>
      </c>
      <c r="I1640">
        <v>1557</v>
      </c>
      <c r="J1640">
        <v>1976</v>
      </c>
      <c r="K1640">
        <v>69</v>
      </c>
      <c r="L1640" t="s">
        <v>30</v>
      </c>
      <c r="M1640" t="s">
        <v>532</v>
      </c>
      <c r="N1640" s="2" t="s">
        <v>3029</v>
      </c>
      <c r="O1640" t="s">
        <v>3030</v>
      </c>
      <c r="P1640" t="s">
        <v>16</v>
      </c>
      <c r="Q1640">
        <v>562.03532434168267</v>
      </c>
      <c r="R1640">
        <f ca="1">YEAR(TODAY())-Table1[[#This Row],[Year Built]]</f>
        <v>50</v>
      </c>
      <c r="S1640" t="str">
        <f>IF(Table1[[#This Row],[Days on Market]] &lt; 30,"Fast",IF(Table1[[#This Row],[Days on Market]]&lt;= 90,"Average", "Slow"))</f>
        <v>Average</v>
      </c>
      <c r="T1640" t="str">
        <f>IF(Table1[[#This Row],[Price2]]&lt;500000,"Affordable",IF(Table1[[#This Row],[Price2]]&lt;1000000,"Mid range","Luxury"))</f>
        <v>Mid range</v>
      </c>
    </row>
    <row r="1641" spans="1:20" x14ac:dyDescent="0.35">
      <c r="A1641" s="3">
        <v>876296</v>
      </c>
      <c r="B1641" s="2" t="s">
        <v>12</v>
      </c>
      <c r="C1641">
        <v>80624</v>
      </c>
      <c r="D1641" s="2" t="s">
        <v>29</v>
      </c>
      <c r="E1641">
        <v>2</v>
      </c>
      <c r="F1641">
        <v>4</v>
      </c>
      <c r="G1641" s="4">
        <f>VALUE(SUBSTITUTE(SUBSTITUTE(Table1[[#This Row],[Price]],"$",""),",",""))</f>
        <v>876296</v>
      </c>
      <c r="H1641" s="1">
        <f>Table1[[#This Row],[Price2]]/Table1[[#This Row],[Area]]</f>
        <v>825.13747645951037</v>
      </c>
      <c r="I1641">
        <v>1062</v>
      </c>
      <c r="J1641">
        <v>1974</v>
      </c>
      <c r="K1641">
        <v>38</v>
      </c>
      <c r="L1641" t="s">
        <v>14</v>
      </c>
      <c r="M1641" t="s">
        <v>1313</v>
      </c>
      <c r="N1641" s="2" t="s">
        <v>3033</v>
      </c>
      <c r="O1641" t="s">
        <v>3034</v>
      </c>
      <c r="P1641" t="s">
        <v>21</v>
      </c>
      <c r="Q1641">
        <v>825.13747645951037</v>
      </c>
      <c r="R1641">
        <f ca="1">YEAR(TODAY())-Table1[[#This Row],[Year Built]]</f>
        <v>52</v>
      </c>
      <c r="S1641" t="str">
        <f>IF(Table1[[#This Row],[Days on Market]] &lt; 30,"Fast",IF(Table1[[#This Row],[Days on Market]]&lt;= 90,"Average", "Slow"))</f>
        <v>Average</v>
      </c>
      <c r="T1641" t="str">
        <f>IF(Table1[[#This Row],[Price2]]&lt;500000,"Affordable",IF(Table1[[#This Row],[Price2]]&lt;1000000,"Mid range","Luxury"))</f>
        <v>Mid range</v>
      </c>
    </row>
    <row r="1642" spans="1:20" x14ac:dyDescent="0.35">
      <c r="A1642" s="3">
        <v>876517</v>
      </c>
      <c r="B1642" s="2" t="s">
        <v>22</v>
      </c>
      <c r="C1642">
        <v>81929</v>
      </c>
      <c r="D1642" s="2" t="s">
        <v>29</v>
      </c>
      <c r="E1642">
        <v>6</v>
      </c>
      <c r="F1642">
        <v>2</v>
      </c>
      <c r="G1642" s="4">
        <f>VALUE(SUBSTITUTE(SUBSTITUTE(Table1[[#This Row],[Price]],"$",""),",",""))</f>
        <v>876517</v>
      </c>
      <c r="H1642" s="1">
        <f>Table1[[#This Row],[Price2]]/Table1[[#This Row],[Area]]</f>
        <v>231.33201372393771</v>
      </c>
      <c r="I1642">
        <v>3789</v>
      </c>
      <c r="J1642">
        <v>1977</v>
      </c>
      <c r="K1642">
        <v>54</v>
      </c>
      <c r="L1642" t="s">
        <v>40</v>
      </c>
      <c r="M1642" t="s">
        <v>2069</v>
      </c>
      <c r="N1642" s="2" t="s">
        <v>3027</v>
      </c>
      <c r="O1642" t="s">
        <v>3028</v>
      </c>
      <c r="P1642" t="s">
        <v>21</v>
      </c>
      <c r="Q1642">
        <v>231.33201372393771</v>
      </c>
      <c r="R1642">
        <f ca="1">YEAR(TODAY())-Table1[[#This Row],[Year Built]]</f>
        <v>49</v>
      </c>
      <c r="S1642" t="str">
        <f>IF(Table1[[#This Row],[Days on Market]] &lt; 30,"Fast",IF(Table1[[#This Row],[Days on Market]]&lt;= 90,"Average", "Slow"))</f>
        <v>Average</v>
      </c>
      <c r="T1642" t="str">
        <f>IF(Table1[[#This Row],[Price2]]&lt;500000,"Affordable",IF(Table1[[#This Row],[Price2]]&lt;1000000,"Mid range","Luxury"))</f>
        <v>Mid range</v>
      </c>
    </row>
    <row r="1643" spans="1:20" x14ac:dyDescent="0.35">
      <c r="A1643" s="3">
        <v>878059</v>
      </c>
      <c r="B1643" s="2" t="s">
        <v>22</v>
      </c>
      <c r="C1643">
        <v>39637</v>
      </c>
      <c r="D1643" s="2" t="s">
        <v>29</v>
      </c>
      <c r="E1643">
        <v>1</v>
      </c>
      <c r="F1643">
        <v>3</v>
      </c>
      <c r="G1643" s="4">
        <f>VALUE(SUBSTITUTE(SUBSTITUTE(Table1[[#This Row],[Price]],"$",""),",",""))</f>
        <v>878059</v>
      </c>
      <c r="H1643" s="1">
        <f>Table1[[#This Row],[Price2]]/Table1[[#This Row],[Area]]</f>
        <v>286.94738562091504</v>
      </c>
      <c r="I1643">
        <v>3060</v>
      </c>
      <c r="J1643">
        <v>1974</v>
      </c>
      <c r="K1643">
        <v>46</v>
      </c>
      <c r="L1643" t="s">
        <v>30</v>
      </c>
      <c r="M1643" t="s">
        <v>154</v>
      </c>
      <c r="N1643" s="2" t="s">
        <v>3035</v>
      </c>
      <c r="O1643" t="s">
        <v>3036</v>
      </c>
      <c r="P1643" t="s">
        <v>16</v>
      </c>
      <c r="Q1643">
        <v>286.94738562091504</v>
      </c>
      <c r="R1643">
        <f ca="1">YEAR(TODAY())-Table1[[#This Row],[Year Built]]</f>
        <v>52</v>
      </c>
      <c r="S1643" t="str">
        <f>IF(Table1[[#This Row],[Days on Market]] &lt; 30,"Fast",IF(Table1[[#This Row],[Days on Market]]&lt;= 90,"Average", "Slow"))</f>
        <v>Average</v>
      </c>
      <c r="T1643" t="str">
        <f>IF(Table1[[#This Row],[Price2]]&lt;500000,"Affordable",IF(Table1[[#This Row],[Price2]]&lt;1000000,"Mid range","Luxury"))</f>
        <v>Mid range</v>
      </c>
    </row>
    <row r="1644" spans="1:20" x14ac:dyDescent="0.35">
      <c r="A1644" s="3">
        <v>878588</v>
      </c>
      <c r="B1644" s="2" t="s">
        <v>34</v>
      </c>
      <c r="C1644">
        <v>17886</v>
      </c>
      <c r="D1644" s="2" t="s">
        <v>35</v>
      </c>
      <c r="E1644">
        <v>3</v>
      </c>
      <c r="F1644">
        <v>4</v>
      </c>
      <c r="G1644" s="4">
        <f>VALUE(SUBSTITUTE(SUBSTITUTE(Table1[[#This Row],[Price]],"$",""),",",""))</f>
        <v>878588</v>
      </c>
      <c r="H1644" s="1">
        <f>Table1[[#This Row],[Price2]]/Table1[[#This Row],[Area]]</f>
        <v>256.29754959159862</v>
      </c>
      <c r="I1644">
        <v>3428</v>
      </c>
      <c r="J1644">
        <v>1969</v>
      </c>
      <c r="K1644">
        <v>36</v>
      </c>
      <c r="L1644" t="s">
        <v>40</v>
      </c>
      <c r="M1644" t="s">
        <v>1577</v>
      </c>
      <c r="N1644" s="2" t="s">
        <v>3033</v>
      </c>
      <c r="O1644" t="s">
        <v>3034</v>
      </c>
      <c r="P1644" t="s">
        <v>21</v>
      </c>
      <c r="Q1644">
        <v>256.29754959159862</v>
      </c>
      <c r="R1644">
        <f ca="1">YEAR(TODAY())-Table1[[#This Row],[Year Built]]</f>
        <v>57</v>
      </c>
      <c r="S1644" t="str">
        <f>IF(Table1[[#This Row],[Days on Market]] &lt; 30,"Fast",IF(Table1[[#This Row],[Days on Market]]&lt;= 90,"Average", "Slow"))</f>
        <v>Average</v>
      </c>
      <c r="T1644" t="str">
        <f>IF(Table1[[#This Row],[Price2]]&lt;500000,"Affordable",IF(Table1[[#This Row],[Price2]]&lt;1000000,"Mid range","Luxury"))</f>
        <v>Mid range</v>
      </c>
    </row>
    <row r="1645" spans="1:20" x14ac:dyDescent="0.35">
      <c r="A1645" s="3">
        <v>878723</v>
      </c>
      <c r="B1645" s="2" t="s">
        <v>27</v>
      </c>
      <c r="C1645">
        <v>65847</v>
      </c>
      <c r="D1645" s="2" t="s">
        <v>35</v>
      </c>
      <c r="E1645">
        <v>3</v>
      </c>
      <c r="F1645">
        <v>3</v>
      </c>
      <c r="G1645" s="4">
        <f>VALUE(SUBSTITUTE(SUBSTITUTE(Table1[[#This Row],[Price]],"$",""),",",""))</f>
        <v>878723</v>
      </c>
      <c r="H1645" s="1">
        <f>Table1[[#This Row],[Price2]]/Table1[[#This Row],[Area]]</f>
        <v>1017.0405092592592</v>
      </c>
      <c r="I1645">
        <v>864</v>
      </c>
      <c r="J1645">
        <v>1982</v>
      </c>
      <c r="K1645">
        <v>35</v>
      </c>
      <c r="L1645" t="s">
        <v>40</v>
      </c>
      <c r="M1645" t="s">
        <v>1315</v>
      </c>
      <c r="N1645" s="2" t="s">
        <v>3035</v>
      </c>
      <c r="O1645" t="s">
        <v>3036</v>
      </c>
      <c r="P1645" t="s">
        <v>16</v>
      </c>
      <c r="Q1645">
        <v>1017.0405092592592</v>
      </c>
      <c r="R1645">
        <f ca="1">YEAR(TODAY())-Table1[[#This Row],[Year Built]]</f>
        <v>44</v>
      </c>
      <c r="S1645" t="str">
        <f>IF(Table1[[#This Row],[Days on Market]] &lt; 30,"Fast",IF(Table1[[#This Row],[Days on Market]]&lt;= 90,"Average", "Slow"))</f>
        <v>Average</v>
      </c>
      <c r="T1645" t="str">
        <f>IF(Table1[[#This Row],[Price2]]&lt;500000,"Affordable",IF(Table1[[#This Row],[Price2]]&lt;1000000,"Mid range","Luxury"))</f>
        <v>Mid range</v>
      </c>
    </row>
    <row r="1646" spans="1:20" x14ac:dyDescent="0.35">
      <c r="A1646" s="3">
        <v>878844</v>
      </c>
      <c r="B1646" s="2" t="s">
        <v>22</v>
      </c>
      <c r="C1646">
        <v>89948</v>
      </c>
      <c r="D1646" s="2" t="s">
        <v>29</v>
      </c>
      <c r="E1646">
        <v>2</v>
      </c>
      <c r="F1646">
        <v>3</v>
      </c>
      <c r="G1646" s="4">
        <f>VALUE(SUBSTITUTE(SUBSTITUTE(Table1[[#This Row],[Price]],"$",""),",",""))</f>
        <v>878844</v>
      </c>
      <c r="H1646" s="1">
        <f>Table1[[#This Row],[Price2]]/Table1[[#This Row],[Area]]</f>
        <v>354.37258064516129</v>
      </c>
      <c r="I1646">
        <v>2480</v>
      </c>
      <c r="J1646">
        <v>1980</v>
      </c>
      <c r="K1646">
        <v>51</v>
      </c>
      <c r="L1646" t="s">
        <v>19</v>
      </c>
      <c r="M1646" t="s">
        <v>317</v>
      </c>
      <c r="N1646" s="2" t="s">
        <v>3033</v>
      </c>
      <c r="O1646" t="s">
        <v>3034</v>
      </c>
      <c r="P1646" t="s">
        <v>26</v>
      </c>
      <c r="Q1646">
        <v>354.37258064516129</v>
      </c>
      <c r="R1646">
        <f ca="1">YEAR(TODAY())-Table1[[#This Row],[Year Built]]</f>
        <v>46</v>
      </c>
      <c r="S1646" t="str">
        <f>IF(Table1[[#This Row],[Days on Market]] &lt; 30,"Fast",IF(Table1[[#This Row],[Days on Market]]&lt;= 90,"Average", "Slow"))</f>
        <v>Average</v>
      </c>
      <c r="T1646" t="str">
        <f>IF(Table1[[#This Row],[Price2]]&lt;500000,"Affordable",IF(Table1[[#This Row],[Price2]]&lt;1000000,"Mid range","Luxury"))</f>
        <v>Mid range</v>
      </c>
    </row>
    <row r="1647" spans="1:20" x14ac:dyDescent="0.35">
      <c r="A1647" s="3">
        <v>879038</v>
      </c>
      <c r="B1647" s="2" t="s">
        <v>27</v>
      </c>
      <c r="C1647">
        <v>96325</v>
      </c>
      <c r="D1647" s="2" t="s">
        <v>35</v>
      </c>
      <c r="E1647">
        <v>2</v>
      </c>
      <c r="F1647">
        <v>1</v>
      </c>
      <c r="G1647" s="4">
        <f>VALUE(SUBSTITUTE(SUBSTITUTE(Table1[[#This Row],[Price]],"$",""),",",""))</f>
        <v>879038</v>
      </c>
      <c r="H1647" s="1">
        <f>Table1[[#This Row],[Price2]]/Table1[[#This Row],[Area]]</f>
        <v>488.0832870627429</v>
      </c>
      <c r="I1647">
        <v>1801</v>
      </c>
      <c r="J1647">
        <v>1998</v>
      </c>
      <c r="K1647">
        <v>1</v>
      </c>
      <c r="L1647" t="s">
        <v>14</v>
      </c>
      <c r="M1647" t="s">
        <v>287</v>
      </c>
      <c r="N1647" s="2" t="s">
        <v>3035</v>
      </c>
      <c r="O1647" t="s">
        <v>3036</v>
      </c>
      <c r="P1647" t="s">
        <v>26</v>
      </c>
      <c r="Q1647">
        <v>488.0832870627429</v>
      </c>
      <c r="R1647">
        <f ca="1">YEAR(TODAY())-Table1[[#This Row],[Year Built]]</f>
        <v>28</v>
      </c>
      <c r="S1647" t="str">
        <f>IF(Table1[[#This Row],[Days on Market]] &lt; 30,"Fast",IF(Table1[[#This Row],[Days on Market]]&lt;= 90,"Average", "Slow"))</f>
        <v>Fast</v>
      </c>
      <c r="T1647" t="str">
        <f>IF(Table1[[#This Row],[Price2]]&lt;500000,"Affordable",IF(Table1[[#This Row],[Price2]]&lt;1000000,"Mid range","Luxury"))</f>
        <v>Mid range</v>
      </c>
    </row>
    <row r="1648" spans="1:20" x14ac:dyDescent="0.35">
      <c r="A1648" s="3">
        <v>879570</v>
      </c>
      <c r="B1648" s="2" t="s">
        <v>17</v>
      </c>
      <c r="C1648">
        <v>57121</v>
      </c>
      <c r="D1648" s="2" t="s">
        <v>18</v>
      </c>
      <c r="E1648">
        <v>6</v>
      </c>
      <c r="F1648">
        <v>4</v>
      </c>
      <c r="G1648" s="4">
        <f>VALUE(SUBSTITUTE(SUBSTITUTE(Table1[[#This Row],[Price]],"$",""),",",""))</f>
        <v>879570</v>
      </c>
      <c r="H1648" s="1">
        <f>Table1[[#This Row],[Price2]]/Table1[[#This Row],[Area]]</f>
        <v>281.64265129682997</v>
      </c>
      <c r="I1648">
        <v>3123</v>
      </c>
      <c r="J1648">
        <v>2008</v>
      </c>
      <c r="K1648">
        <v>11</v>
      </c>
      <c r="L1648" t="s">
        <v>19</v>
      </c>
      <c r="M1648" t="s">
        <v>1817</v>
      </c>
      <c r="N1648" s="2" t="s">
        <v>3029</v>
      </c>
      <c r="O1648" t="s">
        <v>3030</v>
      </c>
      <c r="P1648" t="s">
        <v>16</v>
      </c>
      <c r="Q1648">
        <v>281.64265129682997</v>
      </c>
      <c r="R1648">
        <f ca="1">YEAR(TODAY())-Table1[[#This Row],[Year Built]]</f>
        <v>18</v>
      </c>
      <c r="S1648" t="str">
        <f>IF(Table1[[#This Row],[Days on Market]] &lt; 30,"Fast",IF(Table1[[#This Row],[Days on Market]]&lt;= 90,"Average", "Slow"))</f>
        <v>Fast</v>
      </c>
      <c r="T1648" t="str">
        <f>IF(Table1[[#This Row],[Price2]]&lt;500000,"Affordable",IF(Table1[[#This Row],[Price2]]&lt;1000000,"Mid range","Luxury"))</f>
        <v>Mid range</v>
      </c>
    </row>
    <row r="1649" spans="1:20" x14ac:dyDescent="0.35">
      <c r="A1649" s="3">
        <v>880609</v>
      </c>
      <c r="B1649" s="2" t="s">
        <v>34</v>
      </c>
      <c r="C1649">
        <v>93199</v>
      </c>
      <c r="D1649" s="2" t="s">
        <v>23</v>
      </c>
      <c r="E1649">
        <v>2</v>
      </c>
      <c r="F1649">
        <v>4</v>
      </c>
      <c r="G1649" s="4">
        <f>VALUE(SUBSTITUTE(SUBSTITUTE(Table1[[#This Row],[Price]],"$",""),",",""))</f>
        <v>880609</v>
      </c>
      <c r="H1649" s="1">
        <f>Table1[[#This Row],[Price2]]/Table1[[#This Row],[Area]]</f>
        <v>351.12001594896333</v>
      </c>
      <c r="I1649">
        <v>2508</v>
      </c>
      <c r="J1649">
        <v>1980</v>
      </c>
      <c r="K1649">
        <v>4</v>
      </c>
      <c r="L1649" t="s">
        <v>30</v>
      </c>
      <c r="M1649" t="s">
        <v>1757</v>
      </c>
      <c r="N1649" s="2" t="s">
        <v>3031</v>
      </c>
      <c r="O1649" t="s">
        <v>3032</v>
      </c>
      <c r="P1649" t="s">
        <v>26</v>
      </c>
      <c r="Q1649">
        <v>351.12001594896333</v>
      </c>
      <c r="R1649">
        <f ca="1">YEAR(TODAY())-Table1[[#This Row],[Year Built]]</f>
        <v>46</v>
      </c>
      <c r="S1649" t="str">
        <f>IF(Table1[[#This Row],[Days on Market]] &lt; 30,"Fast",IF(Table1[[#This Row],[Days on Market]]&lt;= 90,"Average", "Slow"))</f>
        <v>Fast</v>
      </c>
      <c r="T1649" t="str">
        <f>IF(Table1[[#This Row],[Price2]]&lt;500000,"Affordable",IF(Table1[[#This Row],[Price2]]&lt;1000000,"Mid range","Luxury"))</f>
        <v>Mid range</v>
      </c>
    </row>
    <row r="1650" spans="1:20" x14ac:dyDescent="0.35">
      <c r="A1650" s="3">
        <v>880890</v>
      </c>
      <c r="B1650" s="2" t="s">
        <v>22</v>
      </c>
      <c r="C1650">
        <v>91711</v>
      </c>
      <c r="D1650" s="2" t="s">
        <v>29</v>
      </c>
      <c r="E1650">
        <v>3</v>
      </c>
      <c r="F1650">
        <v>1</v>
      </c>
      <c r="G1650" s="4">
        <f>VALUE(SUBSTITUTE(SUBSTITUTE(Table1[[#This Row],[Price]],"$",""),",",""))</f>
        <v>880890</v>
      </c>
      <c r="H1650" s="1">
        <f>Table1[[#This Row],[Price2]]/Table1[[#This Row],[Area]]</f>
        <v>315.73118279569894</v>
      </c>
      <c r="I1650">
        <v>2790</v>
      </c>
      <c r="J1650">
        <v>1986</v>
      </c>
      <c r="K1650">
        <v>43</v>
      </c>
      <c r="L1650" t="s">
        <v>14</v>
      </c>
      <c r="M1650" t="s">
        <v>2065</v>
      </c>
      <c r="N1650" s="2" t="s">
        <v>3033</v>
      </c>
      <c r="O1650" t="s">
        <v>3034</v>
      </c>
      <c r="P1650" t="s">
        <v>21</v>
      </c>
      <c r="Q1650">
        <v>315.73118279569894</v>
      </c>
      <c r="R1650">
        <f ca="1">YEAR(TODAY())-Table1[[#This Row],[Year Built]]</f>
        <v>40</v>
      </c>
      <c r="S1650" t="str">
        <f>IF(Table1[[#This Row],[Days on Market]] &lt; 30,"Fast",IF(Table1[[#This Row],[Days on Market]]&lt;= 90,"Average", "Slow"))</f>
        <v>Average</v>
      </c>
      <c r="T1650" t="str">
        <f>IF(Table1[[#This Row],[Price2]]&lt;500000,"Affordable",IF(Table1[[#This Row],[Price2]]&lt;1000000,"Mid range","Luxury"))</f>
        <v>Mid range</v>
      </c>
    </row>
    <row r="1651" spans="1:20" x14ac:dyDescent="0.35">
      <c r="A1651" s="3">
        <v>882369</v>
      </c>
      <c r="B1651" s="2" t="s">
        <v>34</v>
      </c>
      <c r="C1651">
        <v>45493</v>
      </c>
      <c r="D1651" s="2" t="s">
        <v>23</v>
      </c>
      <c r="E1651">
        <v>4</v>
      </c>
      <c r="F1651">
        <v>2</v>
      </c>
      <c r="G1651" s="4">
        <f>VALUE(SUBSTITUTE(SUBSTITUTE(Table1[[#This Row],[Price]],"$",""),",",""))</f>
        <v>882369</v>
      </c>
      <c r="H1651" s="1">
        <f>Table1[[#This Row],[Price2]]/Table1[[#This Row],[Area]]</f>
        <v>859.1713729308666</v>
      </c>
      <c r="I1651">
        <v>1027</v>
      </c>
      <c r="J1651">
        <v>1970</v>
      </c>
      <c r="K1651">
        <v>6</v>
      </c>
      <c r="L1651" t="s">
        <v>52</v>
      </c>
      <c r="M1651" t="s">
        <v>1768</v>
      </c>
      <c r="N1651" s="2" t="s">
        <v>3031</v>
      </c>
      <c r="O1651" t="s">
        <v>3032</v>
      </c>
      <c r="P1651" t="s">
        <v>26</v>
      </c>
      <c r="Q1651">
        <v>859.1713729308666</v>
      </c>
      <c r="R1651">
        <f ca="1">YEAR(TODAY())-Table1[[#This Row],[Year Built]]</f>
        <v>56</v>
      </c>
      <c r="S1651" t="str">
        <f>IF(Table1[[#This Row],[Days on Market]] &lt; 30,"Fast",IF(Table1[[#This Row],[Days on Market]]&lt;= 90,"Average", "Slow"))</f>
        <v>Fast</v>
      </c>
      <c r="T1651" t="str">
        <f>IF(Table1[[#This Row],[Price2]]&lt;500000,"Affordable",IF(Table1[[#This Row],[Price2]]&lt;1000000,"Mid range","Luxury"))</f>
        <v>Mid range</v>
      </c>
    </row>
    <row r="1652" spans="1:20" x14ac:dyDescent="0.35">
      <c r="A1652" s="3">
        <v>883012</v>
      </c>
      <c r="B1652" s="2" t="s">
        <v>34</v>
      </c>
      <c r="C1652">
        <v>66275</v>
      </c>
      <c r="D1652" s="2" t="s">
        <v>23</v>
      </c>
      <c r="E1652">
        <v>3</v>
      </c>
      <c r="F1652">
        <v>4</v>
      </c>
      <c r="G1652" s="4">
        <f>VALUE(SUBSTITUTE(SUBSTITUTE(Table1[[#This Row],[Price]],"$",""),",",""))</f>
        <v>883012</v>
      </c>
      <c r="H1652" s="1">
        <f>Table1[[#This Row],[Price2]]/Table1[[#This Row],[Area]]</f>
        <v>405.60955443270558</v>
      </c>
      <c r="I1652">
        <v>2177</v>
      </c>
      <c r="J1652">
        <v>1969</v>
      </c>
      <c r="K1652">
        <v>84</v>
      </c>
      <c r="L1652" t="s">
        <v>30</v>
      </c>
      <c r="M1652" t="s">
        <v>702</v>
      </c>
      <c r="N1652" s="2" t="s">
        <v>3029</v>
      </c>
      <c r="O1652" t="s">
        <v>3030</v>
      </c>
      <c r="P1652" t="s">
        <v>21</v>
      </c>
      <c r="Q1652">
        <v>405.60955443270558</v>
      </c>
      <c r="R1652">
        <f ca="1">YEAR(TODAY())-Table1[[#This Row],[Year Built]]</f>
        <v>57</v>
      </c>
      <c r="S1652" t="str">
        <f>IF(Table1[[#This Row],[Days on Market]] &lt; 30,"Fast",IF(Table1[[#This Row],[Days on Market]]&lt;= 90,"Average", "Slow"))</f>
        <v>Average</v>
      </c>
      <c r="T1652" t="str">
        <f>IF(Table1[[#This Row],[Price2]]&lt;500000,"Affordable",IF(Table1[[#This Row],[Price2]]&lt;1000000,"Mid range","Luxury"))</f>
        <v>Mid range</v>
      </c>
    </row>
    <row r="1653" spans="1:20" x14ac:dyDescent="0.35">
      <c r="A1653" s="3">
        <v>883643</v>
      </c>
      <c r="B1653" s="2" t="s">
        <v>27</v>
      </c>
      <c r="C1653">
        <v>94827</v>
      </c>
      <c r="D1653" s="2" t="s">
        <v>23</v>
      </c>
      <c r="E1653">
        <v>2</v>
      </c>
      <c r="F1653">
        <v>4</v>
      </c>
      <c r="G1653" s="4">
        <f>VALUE(SUBSTITUTE(SUBSTITUTE(Table1[[#This Row],[Price]],"$",""),",",""))</f>
        <v>883643</v>
      </c>
      <c r="H1653" s="1">
        <f>Table1[[#This Row],[Price2]]/Table1[[#This Row],[Area]]</f>
        <v>1050.705112960761</v>
      </c>
      <c r="I1653">
        <v>841</v>
      </c>
      <c r="J1653">
        <v>1991</v>
      </c>
      <c r="K1653">
        <v>28</v>
      </c>
      <c r="L1653" t="s">
        <v>19</v>
      </c>
      <c r="M1653" t="s">
        <v>507</v>
      </c>
      <c r="N1653" s="2" t="s">
        <v>3031</v>
      </c>
      <c r="O1653" t="s">
        <v>3032</v>
      </c>
      <c r="P1653" t="s">
        <v>16</v>
      </c>
      <c r="Q1653">
        <v>1050.705112960761</v>
      </c>
      <c r="R1653">
        <f ca="1">YEAR(TODAY())-Table1[[#This Row],[Year Built]]</f>
        <v>35</v>
      </c>
      <c r="S1653" t="str">
        <f>IF(Table1[[#This Row],[Days on Market]] &lt; 30,"Fast",IF(Table1[[#This Row],[Days on Market]]&lt;= 90,"Average", "Slow"))</f>
        <v>Fast</v>
      </c>
      <c r="T1653" t="str">
        <f>IF(Table1[[#This Row],[Price2]]&lt;500000,"Affordable",IF(Table1[[#This Row],[Price2]]&lt;1000000,"Mid range","Luxury"))</f>
        <v>Mid range</v>
      </c>
    </row>
    <row r="1654" spans="1:20" x14ac:dyDescent="0.35">
      <c r="A1654" s="3">
        <v>883696</v>
      </c>
      <c r="B1654" s="2" t="s">
        <v>17</v>
      </c>
      <c r="C1654">
        <v>12612</v>
      </c>
      <c r="D1654" s="2" t="s">
        <v>18</v>
      </c>
      <c r="E1654">
        <v>5</v>
      </c>
      <c r="F1654">
        <v>3</v>
      </c>
      <c r="G1654" s="4">
        <f>VALUE(SUBSTITUTE(SUBSTITUTE(Table1[[#This Row],[Price]],"$",""),",",""))</f>
        <v>883696</v>
      </c>
      <c r="H1654" s="1">
        <f>Table1[[#This Row],[Price2]]/Table1[[#This Row],[Area]]</f>
        <v>441.1862206689965</v>
      </c>
      <c r="I1654">
        <v>2003</v>
      </c>
      <c r="J1654">
        <v>1952</v>
      </c>
      <c r="K1654">
        <v>21</v>
      </c>
      <c r="L1654" t="s">
        <v>52</v>
      </c>
      <c r="M1654" t="s">
        <v>2990</v>
      </c>
      <c r="N1654" s="2" t="s">
        <v>3033</v>
      </c>
      <c r="O1654" t="s">
        <v>3034</v>
      </c>
      <c r="P1654" t="s">
        <v>16</v>
      </c>
      <c r="Q1654">
        <v>441.1862206689965</v>
      </c>
      <c r="R1654">
        <f ca="1">YEAR(TODAY())-Table1[[#This Row],[Year Built]]</f>
        <v>74</v>
      </c>
      <c r="S1654" t="str">
        <f>IF(Table1[[#This Row],[Days on Market]] &lt; 30,"Fast",IF(Table1[[#This Row],[Days on Market]]&lt;= 90,"Average", "Slow"))</f>
        <v>Fast</v>
      </c>
      <c r="T1654" t="str">
        <f>IF(Table1[[#This Row],[Price2]]&lt;500000,"Affordable",IF(Table1[[#This Row],[Price2]]&lt;1000000,"Mid range","Luxury"))</f>
        <v>Mid range</v>
      </c>
    </row>
    <row r="1655" spans="1:20" x14ac:dyDescent="0.35">
      <c r="A1655" s="3">
        <v>883773</v>
      </c>
      <c r="B1655" s="2" t="s">
        <v>27</v>
      </c>
      <c r="C1655">
        <v>25237</v>
      </c>
      <c r="D1655" s="2" t="s">
        <v>29</v>
      </c>
      <c r="E1655">
        <v>4</v>
      </c>
      <c r="F1655">
        <v>3</v>
      </c>
      <c r="G1655" s="4">
        <f>VALUE(SUBSTITUTE(SUBSTITUTE(Table1[[#This Row],[Price]],"$",""),",",""))</f>
        <v>883773</v>
      </c>
      <c r="H1655" s="1">
        <f>Table1[[#This Row],[Price2]]/Table1[[#This Row],[Area]]</f>
        <v>480.31141304347824</v>
      </c>
      <c r="I1655">
        <v>1840</v>
      </c>
      <c r="J1655">
        <v>1986</v>
      </c>
      <c r="K1655">
        <v>99</v>
      </c>
      <c r="L1655" t="s">
        <v>40</v>
      </c>
      <c r="M1655" t="s">
        <v>1585</v>
      </c>
      <c r="N1655" s="2" t="s">
        <v>3031</v>
      </c>
      <c r="O1655" t="s">
        <v>3032</v>
      </c>
      <c r="P1655" t="s">
        <v>26</v>
      </c>
      <c r="Q1655">
        <v>480.31141304347824</v>
      </c>
      <c r="R1655">
        <f ca="1">YEAR(TODAY())-Table1[[#This Row],[Year Built]]</f>
        <v>40</v>
      </c>
      <c r="S1655" t="str">
        <f>IF(Table1[[#This Row],[Days on Market]] &lt; 30,"Fast",IF(Table1[[#This Row],[Days on Market]]&lt;= 90,"Average", "Slow"))</f>
        <v>Slow</v>
      </c>
      <c r="T1655" t="str">
        <f>IF(Table1[[#This Row],[Price2]]&lt;500000,"Affordable",IF(Table1[[#This Row],[Price2]]&lt;1000000,"Mid range","Luxury"))</f>
        <v>Mid range</v>
      </c>
    </row>
    <row r="1656" spans="1:20" x14ac:dyDescent="0.35">
      <c r="A1656" s="3">
        <v>885498</v>
      </c>
      <c r="B1656" s="2" t="s">
        <v>27</v>
      </c>
      <c r="C1656">
        <v>77472</v>
      </c>
      <c r="D1656" s="2" t="s">
        <v>35</v>
      </c>
      <c r="E1656">
        <v>6</v>
      </c>
      <c r="F1656">
        <v>1</v>
      </c>
      <c r="G1656" s="4">
        <f>VALUE(SUBSTITUTE(SUBSTITUTE(Table1[[#This Row],[Price]],"$",""),",",""))</f>
        <v>885498</v>
      </c>
      <c r="H1656" s="1">
        <f>Table1[[#This Row],[Price2]]/Table1[[#This Row],[Area]]</f>
        <v>321.41488203266789</v>
      </c>
      <c r="I1656">
        <v>2755</v>
      </c>
      <c r="J1656">
        <v>2013</v>
      </c>
      <c r="K1656">
        <v>110</v>
      </c>
      <c r="L1656" t="s">
        <v>30</v>
      </c>
      <c r="M1656" t="s">
        <v>1881</v>
      </c>
      <c r="N1656" s="2" t="s">
        <v>3035</v>
      </c>
      <c r="O1656" t="s">
        <v>3036</v>
      </c>
      <c r="P1656" t="s">
        <v>21</v>
      </c>
      <c r="Q1656">
        <v>321.41488203266789</v>
      </c>
      <c r="R1656">
        <f ca="1">YEAR(TODAY())-Table1[[#This Row],[Year Built]]</f>
        <v>13</v>
      </c>
      <c r="S1656" t="str">
        <f>IF(Table1[[#This Row],[Days on Market]] &lt; 30,"Fast",IF(Table1[[#This Row],[Days on Market]]&lt;= 90,"Average", "Slow"))</f>
        <v>Slow</v>
      </c>
      <c r="T1656" t="str">
        <f>IF(Table1[[#This Row],[Price2]]&lt;500000,"Affordable",IF(Table1[[#This Row],[Price2]]&lt;1000000,"Mid range","Luxury"))</f>
        <v>Mid range</v>
      </c>
    </row>
    <row r="1657" spans="1:20" x14ac:dyDescent="0.35">
      <c r="A1657" s="3">
        <v>885549</v>
      </c>
      <c r="B1657" s="2" t="s">
        <v>22</v>
      </c>
      <c r="C1657">
        <v>35803</v>
      </c>
      <c r="D1657" s="2" t="s">
        <v>29</v>
      </c>
      <c r="E1657">
        <v>3</v>
      </c>
      <c r="F1657">
        <v>4</v>
      </c>
      <c r="G1657" s="4">
        <f>VALUE(SUBSTITUTE(SUBSTITUTE(Table1[[#This Row],[Price]],"$",""),",",""))</f>
        <v>885549</v>
      </c>
      <c r="H1657" s="1">
        <f>Table1[[#This Row],[Price2]]/Table1[[#This Row],[Area]]</f>
        <v>298.46612740141558</v>
      </c>
      <c r="I1657">
        <v>2967</v>
      </c>
      <c r="J1657">
        <v>2009</v>
      </c>
      <c r="K1657">
        <v>74</v>
      </c>
      <c r="L1657" t="s">
        <v>52</v>
      </c>
      <c r="M1657" t="s">
        <v>2995</v>
      </c>
      <c r="N1657" s="2" t="s">
        <v>3027</v>
      </c>
      <c r="O1657" t="s">
        <v>3028</v>
      </c>
      <c r="P1657" t="s">
        <v>26</v>
      </c>
      <c r="Q1657">
        <v>298.46612740141558</v>
      </c>
      <c r="R1657">
        <f ca="1">YEAR(TODAY())-Table1[[#This Row],[Year Built]]</f>
        <v>17</v>
      </c>
      <c r="S1657" t="str">
        <f>IF(Table1[[#This Row],[Days on Market]] &lt; 30,"Fast",IF(Table1[[#This Row],[Days on Market]]&lt;= 90,"Average", "Slow"))</f>
        <v>Average</v>
      </c>
      <c r="T1657" t="str">
        <f>IF(Table1[[#This Row],[Price2]]&lt;500000,"Affordable",IF(Table1[[#This Row],[Price2]]&lt;1000000,"Mid range","Luxury"))</f>
        <v>Mid range</v>
      </c>
    </row>
    <row r="1658" spans="1:20" x14ac:dyDescent="0.35">
      <c r="A1658" s="3">
        <v>886105</v>
      </c>
      <c r="B1658" s="2" t="s">
        <v>12</v>
      </c>
      <c r="C1658">
        <v>86716</v>
      </c>
      <c r="D1658" s="2" t="s">
        <v>29</v>
      </c>
      <c r="E1658">
        <v>6</v>
      </c>
      <c r="F1658">
        <v>2</v>
      </c>
      <c r="G1658" s="4">
        <f>VALUE(SUBSTITUTE(SUBSTITUTE(Table1[[#This Row],[Price]],"$",""),",",""))</f>
        <v>886105</v>
      </c>
      <c r="H1658" s="1">
        <f>Table1[[#This Row],[Price2]]/Table1[[#This Row],[Area]]</f>
        <v>499.77721376198531</v>
      </c>
      <c r="I1658">
        <v>1773</v>
      </c>
      <c r="J1658">
        <v>2014</v>
      </c>
      <c r="K1658">
        <v>115</v>
      </c>
      <c r="L1658" t="s">
        <v>14</v>
      </c>
      <c r="M1658" t="s">
        <v>2292</v>
      </c>
      <c r="N1658" s="2" t="s">
        <v>3033</v>
      </c>
      <c r="O1658" t="s">
        <v>3034</v>
      </c>
      <c r="P1658" t="s">
        <v>21</v>
      </c>
      <c r="Q1658">
        <v>499.77721376198531</v>
      </c>
      <c r="R1658">
        <f ca="1">YEAR(TODAY())-Table1[[#This Row],[Year Built]]</f>
        <v>12</v>
      </c>
      <c r="S1658" t="str">
        <f>IF(Table1[[#This Row],[Days on Market]] &lt; 30,"Fast",IF(Table1[[#This Row],[Days on Market]]&lt;= 90,"Average", "Slow"))</f>
        <v>Slow</v>
      </c>
      <c r="T1658" t="str">
        <f>IF(Table1[[#This Row],[Price2]]&lt;500000,"Affordable",IF(Table1[[#This Row],[Price2]]&lt;1000000,"Mid range","Luxury"))</f>
        <v>Mid range</v>
      </c>
    </row>
    <row r="1659" spans="1:20" x14ac:dyDescent="0.35">
      <c r="A1659" s="3">
        <v>886354</v>
      </c>
      <c r="B1659" s="2" t="s">
        <v>22</v>
      </c>
      <c r="C1659">
        <v>14344</v>
      </c>
      <c r="D1659" s="2" t="s">
        <v>13</v>
      </c>
      <c r="E1659">
        <v>4</v>
      </c>
      <c r="F1659">
        <v>4</v>
      </c>
      <c r="G1659" s="4">
        <f>VALUE(SUBSTITUTE(SUBSTITUTE(Table1[[#This Row],[Price]],"$",""),",",""))</f>
        <v>886354</v>
      </c>
      <c r="H1659" s="1">
        <f>Table1[[#This Row],[Price2]]/Table1[[#This Row],[Area]]</f>
        <v>1269.8481375358167</v>
      </c>
      <c r="I1659">
        <v>698</v>
      </c>
      <c r="J1659">
        <v>2004</v>
      </c>
      <c r="K1659">
        <v>48</v>
      </c>
      <c r="L1659" t="s">
        <v>52</v>
      </c>
      <c r="M1659" t="s">
        <v>1993</v>
      </c>
      <c r="N1659" s="2" t="s">
        <v>3033</v>
      </c>
      <c r="O1659" t="s">
        <v>3034</v>
      </c>
      <c r="P1659" t="s">
        <v>21</v>
      </c>
      <c r="Q1659">
        <v>1269.8481375358167</v>
      </c>
      <c r="R1659">
        <f ca="1">YEAR(TODAY())-Table1[[#This Row],[Year Built]]</f>
        <v>22</v>
      </c>
      <c r="S1659" t="str">
        <f>IF(Table1[[#This Row],[Days on Market]] &lt; 30,"Fast",IF(Table1[[#This Row],[Days on Market]]&lt;= 90,"Average", "Slow"))</f>
        <v>Average</v>
      </c>
      <c r="T1659" t="str">
        <f>IF(Table1[[#This Row],[Price2]]&lt;500000,"Affordable",IF(Table1[[#This Row],[Price2]]&lt;1000000,"Mid range","Luxury"))</f>
        <v>Mid range</v>
      </c>
    </row>
    <row r="1660" spans="1:20" x14ac:dyDescent="0.35">
      <c r="A1660" s="3">
        <v>886391</v>
      </c>
      <c r="B1660" s="2" t="s">
        <v>22</v>
      </c>
      <c r="C1660">
        <v>13557</v>
      </c>
      <c r="D1660" s="2" t="s">
        <v>23</v>
      </c>
      <c r="E1660">
        <v>4</v>
      </c>
      <c r="F1660">
        <v>2</v>
      </c>
      <c r="G1660" s="4">
        <f>VALUE(SUBSTITUTE(SUBSTITUTE(Table1[[#This Row],[Price]],"$",""),",",""))</f>
        <v>886391</v>
      </c>
      <c r="H1660" s="1">
        <f>Table1[[#This Row],[Price2]]/Table1[[#This Row],[Area]]</f>
        <v>274.9351736972705</v>
      </c>
      <c r="I1660">
        <v>3224</v>
      </c>
      <c r="J1660">
        <v>2005</v>
      </c>
      <c r="K1660">
        <v>118</v>
      </c>
      <c r="L1660" t="s">
        <v>30</v>
      </c>
      <c r="M1660" t="s">
        <v>2650</v>
      </c>
      <c r="N1660" s="2" t="s">
        <v>3027</v>
      </c>
      <c r="O1660" t="s">
        <v>3028</v>
      </c>
      <c r="P1660" t="s">
        <v>26</v>
      </c>
      <c r="Q1660">
        <v>274.9351736972705</v>
      </c>
      <c r="R1660">
        <f ca="1">YEAR(TODAY())-Table1[[#This Row],[Year Built]]</f>
        <v>21</v>
      </c>
      <c r="S1660" t="str">
        <f>IF(Table1[[#This Row],[Days on Market]] &lt; 30,"Fast",IF(Table1[[#This Row],[Days on Market]]&lt;= 90,"Average", "Slow"))</f>
        <v>Slow</v>
      </c>
      <c r="T1660" t="str">
        <f>IF(Table1[[#This Row],[Price2]]&lt;500000,"Affordable",IF(Table1[[#This Row],[Price2]]&lt;1000000,"Mid range","Luxury"))</f>
        <v>Mid range</v>
      </c>
    </row>
    <row r="1661" spans="1:20" x14ac:dyDescent="0.35">
      <c r="A1661" s="3">
        <v>887115</v>
      </c>
      <c r="B1661" s="2" t="s">
        <v>17</v>
      </c>
      <c r="C1661">
        <v>16271</v>
      </c>
      <c r="D1661" s="2" t="s">
        <v>13</v>
      </c>
      <c r="E1661">
        <v>1</v>
      </c>
      <c r="F1661">
        <v>4</v>
      </c>
      <c r="G1661" s="4">
        <f>VALUE(SUBSTITUTE(SUBSTITUTE(Table1[[#This Row],[Price]],"$",""),",",""))</f>
        <v>887115</v>
      </c>
      <c r="H1661" s="1">
        <f>Table1[[#This Row],[Price2]]/Table1[[#This Row],[Area]]</f>
        <v>241.78659035159444</v>
      </c>
      <c r="I1661">
        <v>3669</v>
      </c>
      <c r="J1661">
        <v>1964</v>
      </c>
      <c r="K1661">
        <v>108</v>
      </c>
      <c r="L1661" t="s">
        <v>52</v>
      </c>
      <c r="M1661" t="s">
        <v>856</v>
      </c>
      <c r="N1661" s="2" t="s">
        <v>3027</v>
      </c>
      <c r="O1661" t="s">
        <v>3028</v>
      </c>
      <c r="P1661" t="s">
        <v>16</v>
      </c>
      <c r="Q1661">
        <v>241.78659035159444</v>
      </c>
      <c r="R1661">
        <f ca="1">YEAR(TODAY())-Table1[[#This Row],[Year Built]]</f>
        <v>62</v>
      </c>
      <c r="S1661" t="str">
        <f>IF(Table1[[#This Row],[Days on Market]] &lt; 30,"Fast",IF(Table1[[#This Row],[Days on Market]]&lt;= 90,"Average", "Slow"))</f>
        <v>Slow</v>
      </c>
      <c r="T1661" t="str">
        <f>IF(Table1[[#This Row],[Price2]]&lt;500000,"Affordable",IF(Table1[[#This Row],[Price2]]&lt;1000000,"Mid range","Luxury"))</f>
        <v>Mid range</v>
      </c>
    </row>
    <row r="1662" spans="1:20" x14ac:dyDescent="0.35">
      <c r="A1662" s="3">
        <v>887213</v>
      </c>
      <c r="B1662" s="2" t="s">
        <v>27</v>
      </c>
      <c r="C1662">
        <v>99474</v>
      </c>
      <c r="D1662" s="2" t="s">
        <v>35</v>
      </c>
      <c r="E1662">
        <v>4</v>
      </c>
      <c r="F1662">
        <v>3</v>
      </c>
      <c r="G1662" s="4">
        <f>VALUE(SUBSTITUTE(SUBSTITUTE(Table1[[#This Row],[Price]],"$",""),",",""))</f>
        <v>887213</v>
      </c>
      <c r="H1662" s="1">
        <f>Table1[[#This Row],[Price2]]/Table1[[#This Row],[Area]]</f>
        <v>256.56824754193173</v>
      </c>
      <c r="I1662">
        <v>3458</v>
      </c>
      <c r="J1662">
        <v>1982</v>
      </c>
      <c r="K1662">
        <v>3</v>
      </c>
      <c r="L1662" t="s">
        <v>19</v>
      </c>
      <c r="M1662" t="s">
        <v>2009</v>
      </c>
      <c r="N1662" s="2" t="s">
        <v>3035</v>
      </c>
      <c r="O1662" t="s">
        <v>3036</v>
      </c>
      <c r="P1662" t="s">
        <v>16</v>
      </c>
      <c r="Q1662">
        <v>256.56824754193173</v>
      </c>
      <c r="R1662">
        <f ca="1">YEAR(TODAY())-Table1[[#This Row],[Year Built]]</f>
        <v>44</v>
      </c>
      <c r="S1662" t="str">
        <f>IF(Table1[[#This Row],[Days on Market]] &lt; 30,"Fast",IF(Table1[[#This Row],[Days on Market]]&lt;= 90,"Average", "Slow"))</f>
        <v>Fast</v>
      </c>
      <c r="T1662" t="str">
        <f>IF(Table1[[#This Row],[Price2]]&lt;500000,"Affordable",IF(Table1[[#This Row],[Price2]]&lt;1000000,"Mid range","Luxury"))</f>
        <v>Mid range</v>
      </c>
    </row>
    <row r="1663" spans="1:20" x14ac:dyDescent="0.35">
      <c r="A1663" s="3">
        <v>888455</v>
      </c>
      <c r="B1663" s="2" t="s">
        <v>12</v>
      </c>
      <c r="C1663">
        <v>39067</v>
      </c>
      <c r="D1663" s="2" t="s">
        <v>18</v>
      </c>
      <c r="E1663">
        <v>6</v>
      </c>
      <c r="F1663">
        <v>2</v>
      </c>
      <c r="G1663" s="4">
        <f>VALUE(SUBSTITUTE(SUBSTITUTE(Table1[[#This Row],[Price]],"$",""),",",""))</f>
        <v>888455</v>
      </c>
      <c r="H1663" s="1">
        <f>Table1[[#This Row],[Price2]]/Table1[[#This Row],[Area]]</f>
        <v>227.92585941508466</v>
      </c>
      <c r="I1663">
        <v>3898</v>
      </c>
      <c r="J1663">
        <v>1955</v>
      </c>
      <c r="K1663">
        <v>16</v>
      </c>
      <c r="L1663" t="s">
        <v>30</v>
      </c>
      <c r="M1663" t="s">
        <v>2200</v>
      </c>
      <c r="N1663" s="2" t="s">
        <v>3033</v>
      </c>
      <c r="O1663" t="s">
        <v>3034</v>
      </c>
      <c r="P1663" t="s">
        <v>26</v>
      </c>
      <c r="Q1663">
        <v>227.92585941508466</v>
      </c>
      <c r="R1663">
        <f ca="1">YEAR(TODAY())-Table1[[#This Row],[Year Built]]</f>
        <v>71</v>
      </c>
      <c r="S1663" t="str">
        <f>IF(Table1[[#This Row],[Days on Market]] &lt; 30,"Fast",IF(Table1[[#This Row],[Days on Market]]&lt;= 90,"Average", "Slow"))</f>
        <v>Fast</v>
      </c>
      <c r="T1663" t="str">
        <f>IF(Table1[[#This Row],[Price2]]&lt;500000,"Affordable",IF(Table1[[#This Row],[Price2]]&lt;1000000,"Mid range","Luxury"))</f>
        <v>Mid range</v>
      </c>
    </row>
    <row r="1664" spans="1:20" x14ac:dyDescent="0.35">
      <c r="A1664" s="3">
        <v>888753</v>
      </c>
      <c r="B1664" s="2" t="s">
        <v>34</v>
      </c>
      <c r="C1664">
        <v>67726</v>
      </c>
      <c r="D1664" s="2" t="s">
        <v>13</v>
      </c>
      <c r="E1664">
        <v>4</v>
      </c>
      <c r="F1664">
        <v>2</v>
      </c>
      <c r="G1664" s="4">
        <f>VALUE(SUBSTITUTE(SUBSTITUTE(Table1[[#This Row],[Price]],"$",""),",",""))</f>
        <v>888753</v>
      </c>
      <c r="H1664" s="1">
        <f>Table1[[#This Row],[Price2]]/Table1[[#This Row],[Area]]</f>
        <v>230.12765406525116</v>
      </c>
      <c r="I1664">
        <v>3862</v>
      </c>
      <c r="J1664">
        <v>2009</v>
      </c>
      <c r="K1664">
        <v>16</v>
      </c>
      <c r="L1664" t="s">
        <v>14</v>
      </c>
      <c r="M1664" t="s">
        <v>1948</v>
      </c>
      <c r="N1664" s="2" t="s">
        <v>3029</v>
      </c>
      <c r="O1664" t="s">
        <v>3030</v>
      </c>
      <c r="P1664" t="s">
        <v>16</v>
      </c>
      <c r="Q1664">
        <v>230.12765406525116</v>
      </c>
      <c r="R1664">
        <f ca="1">YEAR(TODAY())-Table1[[#This Row],[Year Built]]</f>
        <v>17</v>
      </c>
      <c r="S1664" t="str">
        <f>IF(Table1[[#This Row],[Days on Market]] &lt; 30,"Fast",IF(Table1[[#This Row],[Days on Market]]&lt;= 90,"Average", "Slow"))</f>
        <v>Fast</v>
      </c>
      <c r="T1664" t="str">
        <f>IF(Table1[[#This Row],[Price2]]&lt;500000,"Affordable",IF(Table1[[#This Row],[Price2]]&lt;1000000,"Mid range","Luxury"))</f>
        <v>Mid range</v>
      </c>
    </row>
    <row r="1665" spans="1:20" x14ac:dyDescent="0.35">
      <c r="A1665" s="3">
        <v>888840</v>
      </c>
      <c r="B1665" s="2" t="s">
        <v>34</v>
      </c>
      <c r="C1665">
        <v>19441</v>
      </c>
      <c r="D1665" s="2" t="s">
        <v>35</v>
      </c>
      <c r="E1665">
        <v>5</v>
      </c>
      <c r="F1665">
        <v>2</v>
      </c>
      <c r="G1665" s="4">
        <f>VALUE(SUBSTITUTE(SUBSTITUTE(Table1[[#This Row],[Price]],"$",""),",",""))</f>
        <v>888840</v>
      </c>
      <c r="H1665" s="1">
        <f>Table1[[#This Row],[Price2]]/Table1[[#This Row],[Area]]</f>
        <v>1116.6331658291458</v>
      </c>
      <c r="I1665">
        <v>796</v>
      </c>
      <c r="J1665">
        <v>2000</v>
      </c>
      <c r="K1665">
        <v>85</v>
      </c>
      <c r="L1665" t="s">
        <v>19</v>
      </c>
      <c r="M1665" t="s">
        <v>370</v>
      </c>
      <c r="N1665" s="2" t="s">
        <v>3033</v>
      </c>
      <c r="O1665" t="s">
        <v>3034</v>
      </c>
      <c r="P1665" t="s">
        <v>21</v>
      </c>
      <c r="Q1665">
        <v>1116.6331658291458</v>
      </c>
      <c r="R1665">
        <f ca="1">YEAR(TODAY())-Table1[[#This Row],[Year Built]]</f>
        <v>26</v>
      </c>
      <c r="S1665" t="str">
        <f>IF(Table1[[#This Row],[Days on Market]] &lt; 30,"Fast",IF(Table1[[#This Row],[Days on Market]]&lt;= 90,"Average", "Slow"))</f>
        <v>Average</v>
      </c>
      <c r="T1665" t="str">
        <f>IF(Table1[[#This Row],[Price2]]&lt;500000,"Affordable",IF(Table1[[#This Row],[Price2]]&lt;1000000,"Mid range","Luxury"))</f>
        <v>Mid range</v>
      </c>
    </row>
    <row r="1666" spans="1:20" x14ac:dyDescent="0.35">
      <c r="A1666" s="3">
        <v>889625</v>
      </c>
      <c r="B1666" s="2" t="s">
        <v>22</v>
      </c>
      <c r="C1666">
        <v>50727</v>
      </c>
      <c r="D1666" s="2" t="s">
        <v>29</v>
      </c>
      <c r="E1666">
        <v>3</v>
      </c>
      <c r="F1666">
        <v>3</v>
      </c>
      <c r="G1666" s="4">
        <f>VALUE(SUBSTITUTE(SUBSTITUTE(Table1[[#This Row],[Price]],"$",""),",",""))</f>
        <v>889625</v>
      </c>
      <c r="H1666" s="1">
        <f>Table1[[#This Row],[Price2]]/Table1[[#This Row],[Area]]</f>
        <v>486.93212917350849</v>
      </c>
      <c r="I1666">
        <v>1827</v>
      </c>
      <c r="J1666">
        <v>2005</v>
      </c>
      <c r="K1666">
        <v>14</v>
      </c>
      <c r="L1666" t="s">
        <v>19</v>
      </c>
      <c r="M1666" t="s">
        <v>1963</v>
      </c>
      <c r="N1666" s="2" t="s">
        <v>3035</v>
      </c>
      <c r="O1666" t="s">
        <v>3036</v>
      </c>
      <c r="P1666" t="s">
        <v>21</v>
      </c>
      <c r="Q1666">
        <v>486.93212917350849</v>
      </c>
      <c r="R1666">
        <f ca="1">YEAR(TODAY())-Table1[[#This Row],[Year Built]]</f>
        <v>21</v>
      </c>
      <c r="S1666" t="str">
        <f>IF(Table1[[#This Row],[Days on Market]] &lt; 30,"Fast",IF(Table1[[#This Row],[Days on Market]]&lt;= 90,"Average", "Slow"))</f>
        <v>Fast</v>
      </c>
      <c r="T1666" t="str">
        <f>IF(Table1[[#This Row],[Price2]]&lt;500000,"Affordable",IF(Table1[[#This Row],[Price2]]&lt;1000000,"Mid range","Luxury"))</f>
        <v>Mid range</v>
      </c>
    </row>
    <row r="1667" spans="1:20" x14ac:dyDescent="0.35">
      <c r="A1667" s="3">
        <v>889745</v>
      </c>
      <c r="B1667" s="2" t="s">
        <v>22</v>
      </c>
      <c r="C1667">
        <v>39086</v>
      </c>
      <c r="D1667" s="2" t="s">
        <v>23</v>
      </c>
      <c r="E1667">
        <v>2</v>
      </c>
      <c r="F1667">
        <v>1</v>
      </c>
      <c r="G1667" s="4">
        <f>VALUE(SUBSTITUTE(SUBSTITUTE(Table1[[#This Row],[Price]],"$",""),",",""))</f>
        <v>889745</v>
      </c>
      <c r="H1667" s="1">
        <f>Table1[[#This Row],[Price2]]/Table1[[#This Row],[Area]]</f>
        <v>550.58477722772273</v>
      </c>
      <c r="I1667">
        <v>1616</v>
      </c>
      <c r="J1667">
        <v>1994</v>
      </c>
      <c r="K1667">
        <v>91</v>
      </c>
      <c r="L1667" t="s">
        <v>30</v>
      </c>
      <c r="M1667" t="s">
        <v>1815</v>
      </c>
      <c r="N1667" s="2" t="s">
        <v>3035</v>
      </c>
      <c r="O1667" t="s">
        <v>3036</v>
      </c>
      <c r="P1667" t="s">
        <v>21</v>
      </c>
      <c r="Q1667">
        <v>550.58477722772273</v>
      </c>
      <c r="R1667">
        <f ca="1">YEAR(TODAY())-Table1[[#This Row],[Year Built]]</f>
        <v>32</v>
      </c>
      <c r="S1667" t="str">
        <f>IF(Table1[[#This Row],[Days on Market]] &lt; 30,"Fast",IF(Table1[[#This Row],[Days on Market]]&lt;= 90,"Average", "Slow"))</f>
        <v>Slow</v>
      </c>
      <c r="T1667" t="str">
        <f>IF(Table1[[#This Row],[Price2]]&lt;500000,"Affordable",IF(Table1[[#This Row],[Price2]]&lt;1000000,"Mid range","Luxury"))</f>
        <v>Mid range</v>
      </c>
    </row>
    <row r="1668" spans="1:20" x14ac:dyDescent="0.35">
      <c r="A1668" s="3">
        <v>890281</v>
      </c>
      <c r="B1668" s="2" t="s">
        <v>27</v>
      </c>
      <c r="C1668">
        <v>26677</v>
      </c>
      <c r="D1668" s="2" t="s">
        <v>13</v>
      </c>
      <c r="E1668">
        <v>3</v>
      </c>
      <c r="F1668">
        <v>2</v>
      </c>
      <c r="G1668" s="4">
        <f>VALUE(SUBSTITUTE(SUBSTITUTE(Table1[[#This Row],[Price]],"$",""),",",""))</f>
        <v>890281</v>
      </c>
      <c r="H1668" s="1">
        <f>Table1[[#This Row],[Price2]]/Table1[[#This Row],[Area]]</f>
        <v>345.3378588052754</v>
      </c>
      <c r="I1668">
        <v>2578</v>
      </c>
      <c r="J1668">
        <v>2016</v>
      </c>
      <c r="K1668">
        <v>54</v>
      </c>
      <c r="L1668" t="s">
        <v>19</v>
      </c>
      <c r="M1668" t="s">
        <v>1699</v>
      </c>
      <c r="N1668" s="2" t="s">
        <v>3029</v>
      </c>
      <c r="O1668" t="s">
        <v>3030</v>
      </c>
      <c r="P1668" t="s">
        <v>26</v>
      </c>
      <c r="Q1668">
        <v>345.3378588052754</v>
      </c>
      <c r="R1668">
        <f ca="1">YEAR(TODAY())-Table1[[#This Row],[Year Built]]</f>
        <v>10</v>
      </c>
      <c r="S1668" t="str">
        <f>IF(Table1[[#This Row],[Days on Market]] &lt; 30,"Fast",IF(Table1[[#This Row],[Days on Market]]&lt;= 90,"Average", "Slow"))</f>
        <v>Average</v>
      </c>
      <c r="T1668" t="str">
        <f>IF(Table1[[#This Row],[Price2]]&lt;500000,"Affordable",IF(Table1[[#This Row],[Price2]]&lt;1000000,"Mid range","Luxury"))</f>
        <v>Mid range</v>
      </c>
    </row>
    <row r="1669" spans="1:20" x14ac:dyDescent="0.35">
      <c r="A1669" s="3">
        <v>890769</v>
      </c>
      <c r="B1669" s="2" t="s">
        <v>34</v>
      </c>
      <c r="C1669">
        <v>71524</v>
      </c>
      <c r="D1669" s="2" t="s">
        <v>18</v>
      </c>
      <c r="E1669">
        <v>2</v>
      </c>
      <c r="F1669">
        <v>1</v>
      </c>
      <c r="G1669" s="4">
        <f>VALUE(SUBSTITUTE(SUBSTITUTE(Table1[[#This Row],[Price]],"$",""),",",""))</f>
        <v>890769</v>
      </c>
      <c r="H1669" s="1">
        <f>Table1[[#This Row],[Price2]]/Table1[[#This Row],[Area]]</f>
        <v>326.16953496887589</v>
      </c>
      <c r="I1669">
        <v>2731</v>
      </c>
      <c r="J1669">
        <v>2023</v>
      </c>
      <c r="K1669">
        <v>2</v>
      </c>
      <c r="L1669" t="s">
        <v>30</v>
      </c>
      <c r="M1669" t="s">
        <v>794</v>
      </c>
      <c r="N1669" s="2" t="s">
        <v>3033</v>
      </c>
      <c r="O1669" t="s">
        <v>3034</v>
      </c>
      <c r="P1669" t="s">
        <v>26</v>
      </c>
      <c r="Q1669">
        <v>326.16953496887589</v>
      </c>
      <c r="R1669">
        <f ca="1">YEAR(TODAY())-Table1[[#This Row],[Year Built]]</f>
        <v>3</v>
      </c>
      <c r="S1669" t="str">
        <f>IF(Table1[[#This Row],[Days on Market]] &lt; 30,"Fast",IF(Table1[[#This Row],[Days on Market]]&lt;= 90,"Average", "Slow"))</f>
        <v>Fast</v>
      </c>
      <c r="T1669" t="str">
        <f>IF(Table1[[#This Row],[Price2]]&lt;500000,"Affordable",IF(Table1[[#This Row],[Price2]]&lt;1000000,"Mid range","Luxury"))</f>
        <v>Mid range</v>
      </c>
    </row>
    <row r="1670" spans="1:20" x14ac:dyDescent="0.35">
      <c r="A1670" s="3">
        <v>890786</v>
      </c>
      <c r="B1670" s="2" t="s">
        <v>34</v>
      </c>
      <c r="C1670">
        <v>23506</v>
      </c>
      <c r="D1670" s="2" t="s">
        <v>35</v>
      </c>
      <c r="E1670">
        <v>3</v>
      </c>
      <c r="F1670">
        <v>2</v>
      </c>
      <c r="G1670" s="4">
        <f>VALUE(SUBSTITUTE(SUBSTITUTE(Table1[[#This Row],[Price]],"$",""),",",""))</f>
        <v>890786</v>
      </c>
      <c r="H1670" s="1">
        <f>Table1[[#This Row],[Price2]]/Table1[[#This Row],[Area]]</f>
        <v>362.55026455026456</v>
      </c>
      <c r="I1670">
        <v>2457</v>
      </c>
      <c r="J1670">
        <v>2008</v>
      </c>
      <c r="K1670">
        <v>30</v>
      </c>
      <c r="L1670" t="s">
        <v>30</v>
      </c>
      <c r="M1670" t="s">
        <v>959</v>
      </c>
      <c r="N1670" s="2" t="s">
        <v>3031</v>
      </c>
      <c r="O1670" t="s">
        <v>3032</v>
      </c>
      <c r="P1670" t="s">
        <v>16</v>
      </c>
      <c r="Q1670">
        <v>362.55026455026456</v>
      </c>
      <c r="R1670">
        <f ca="1">YEAR(TODAY())-Table1[[#This Row],[Year Built]]</f>
        <v>18</v>
      </c>
      <c r="S1670" t="str">
        <f>IF(Table1[[#This Row],[Days on Market]] &lt; 30,"Fast",IF(Table1[[#This Row],[Days on Market]]&lt;= 90,"Average", "Slow"))</f>
        <v>Average</v>
      </c>
      <c r="T1670" t="str">
        <f>IF(Table1[[#This Row],[Price2]]&lt;500000,"Affordable",IF(Table1[[#This Row],[Price2]]&lt;1000000,"Mid range","Luxury"))</f>
        <v>Mid range</v>
      </c>
    </row>
    <row r="1671" spans="1:20" x14ac:dyDescent="0.35">
      <c r="A1671" s="3">
        <v>890970</v>
      </c>
      <c r="B1671" s="2" t="s">
        <v>22</v>
      </c>
      <c r="C1671">
        <v>55131</v>
      </c>
      <c r="D1671" s="2" t="s">
        <v>18</v>
      </c>
      <c r="E1671">
        <v>2</v>
      </c>
      <c r="F1671">
        <v>2</v>
      </c>
      <c r="G1671" s="4">
        <f>VALUE(SUBSTITUTE(SUBSTITUTE(Table1[[#This Row],[Price]],"$",""),",",""))</f>
        <v>890970</v>
      </c>
      <c r="H1671" s="1">
        <f>Table1[[#This Row],[Price2]]/Table1[[#This Row],[Area]]</f>
        <v>226.76762534996183</v>
      </c>
      <c r="I1671">
        <v>3929</v>
      </c>
      <c r="J1671">
        <v>1991</v>
      </c>
      <c r="K1671">
        <v>108</v>
      </c>
      <c r="L1671" t="s">
        <v>14</v>
      </c>
      <c r="M1671" t="s">
        <v>222</v>
      </c>
      <c r="N1671" s="2" t="s">
        <v>3033</v>
      </c>
      <c r="O1671" t="s">
        <v>3034</v>
      </c>
      <c r="P1671" t="s">
        <v>21</v>
      </c>
      <c r="Q1671">
        <v>226.76762534996183</v>
      </c>
      <c r="R1671">
        <f ca="1">YEAR(TODAY())-Table1[[#This Row],[Year Built]]</f>
        <v>35</v>
      </c>
      <c r="S1671" t="str">
        <f>IF(Table1[[#This Row],[Days on Market]] &lt; 30,"Fast",IF(Table1[[#This Row],[Days on Market]]&lt;= 90,"Average", "Slow"))</f>
        <v>Slow</v>
      </c>
      <c r="T1671" t="str">
        <f>IF(Table1[[#This Row],[Price2]]&lt;500000,"Affordable",IF(Table1[[#This Row],[Price2]]&lt;1000000,"Mid range","Luxury"))</f>
        <v>Mid range</v>
      </c>
    </row>
    <row r="1672" spans="1:20" x14ac:dyDescent="0.35">
      <c r="A1672" s="3">
        <v>890978</v>
      </c>
      <c r="B1672" s="2" t="s">
        <v>22</v>
      </c>
      <c r="C1672">
        <v>80299</v>
      </c>
      <c r="D1672" s="2" t="s">
        <v>18</v>
      </c>
      <c r="E1672">
        <v>1</v>
      </c>
      <c r="F1672">
        <v>4</v>
      </c>
      <c r="G1672" s="4">
        <f>VALUE(SUBSTITUTE(SUBSTITUTE(Table1[[#This Row],[Price]],"$",""),",",""))</f>
        <v>890978</v>
      </c>
      <c r="H1672" s="1">
        <f>Table1[[#This Row],[Price2]]/Table1[[#This Row],[Area]]</f>
        <v>229.21996398250579</v>
      </c>
      <c r="I1672">
        <v>3887</v>
      </c>
      <c r="J1672">
        <v>2000</v>
      </c>
      <c r="K1672">
        <v>119</v>
      </c>
      <c r="L1672" t="s">
        <v>30</v>
      </c>
      <c r="M1672" t="s">
        <v>123</v>
      </c>
      <c r="N1672" s="2" t="s">
        <v>3031</v>
      </c>
      <c r="O1672" t="s">
        <v>3032</v>
      </c>
      <c r="P1672" t="s">
        <v>16</v>
      </c>
      <c r="Q1672">
        <v>229.21996398250579</v>
      </c>
      <c r="R1672">
        <f ca="1">YEAR(TODAY())-Table1[[#This Row],[Year Built]]</f>
        <v>26</v>
      </c>
      <c r="S1672" t="str">
        <f>IF(Table1[[#This Row],[Days on Market]] &lt; 30,"Fast",IF(Table1[[#This Row],[Days on Market]]&lt;= 90,"Average", "Slow"))</f>
        <v>Slow</v>
      </c>
      <c r="T1672" t="str">
        <f>IF(Table1[[#This Row],[Price2]]&lt;500000,"Affordable",IF(Table1[[#This Row],[Price2]]&lt;1000000,"Mid range","Luxury"))</f>
        <v>Mid range</v>
      </c>
    </row>
    <row r="1673" spans="1:20" x14ac:dyDescent="0.35">
      <c r="A1673" s="3">
        <v>891266</v>
      </c>
      <c r="B1673" s="2" t="s">
        <v>12</v>
      </c>
      <c r="C1673">
        <v>88255</v>
      </c>
      <c r="D1673" s="2" t="s">
        <v>13</v>
      </c>
      <c r="E1673">
        <v>2</v>
      </c>
      <c r="F1673">
        <v>4</v>
      </c>
      <c r="G1673" s="4">
        <f>VALUE(SUBSTITUTE(SUBSTITUTE(Table1[[#This Row],[Price]],"$",""),",",""))</f>
        <v>891266</v>
      </c>
      <c r="H1673" s="1">
        <f>Table1[[#This Row],[Price2]]/Table1[[#This Row],[Area]]</f>
        <v>1291.6898550724638</v>
      </c>
      <c r="I1673">
        <v>690</v>
      </c>
      <c r="J1673">
        <v>2011</v>
      </c>
      <c r="K1673">
        <v>11</v>
      </c>
      <c r="L1673" t="s">
        <v>52</v>
      </c>
      <c r="M1673" t="s">
        <v>775</v>
      </c>
      <c r="N1673" s="2" t="s">
        <v>3035</v>
      </c>
      <c r="O1673" t="s">
        <v>3036</v>
      </c>
      <c r="P1673" t="s">
        <v>16</v>
      </c>
      <c r="Q1673">
        <v>1291.6898550724638</v>
      </c>
      <c r="R1673">
        <f ca="1">YEAR(TODAY())-Table1[[#This Row],[Year Built]]</f>
        <v>15</v>
      </c>
      <c r="S1673" t="str">
        <f>IF(Table1[[#This Row],[Days on Market]] &lt; 30,"Fast",IF(Table1[[#This Row],[Days on Market]]&lt;= 90,"Average", "Slow"))</f>
        <v>Fast</v>
      </c>
      <c r="T1673" t="str">
        <f>IF(Table1[[#This Row],[Price2]]&lt;500000,"Affordable",IF(Table1[[#This Row],[Price2]]&lt;1000000,"Mid range","Luxury"))</f>
        <v>Mid range</v>
      </c>
    </row>
    <row r="1674" spans="1:20" x14ac:dyDescent="0.35">
      <c r="A1674" s="3">
        <v>891336</v>
      </c>
      <c r="B1674" s="2" t="s">
        <v>27</v>
      </c>
      <c r="C1674">
        <v>62063</v>
      </c>
      <c r="D1674" s="2" t="s">
        <v>13</v>
      </c>
      <c r="E1674">
        <v>5</v>
      </c>
      <c r="F1674">
        <v>2</v>
      </c>
      <c r="G1674" s="4">
        <f>VALUE(SUBSTITUTE(SUBSTITUTE(Table1[[#This Row],[Price]],"$",""),",",""))</f>
        <v>891336</v>
      </c>
      <c r="H1674" s="1">
        <f>Table1[[#This Row],[Price2]]/Table1[[#This Row],[Area]]</f>
        <v>283.05366783105745</v>
      </c>
      <c r="I1674">
        <v>3149</v>
      </c>
      <c r="J1674">
        <v>1962</v>
      </c>
      <c r="K1674">
        <v>88</v>
      </c>
      <c r="L1674" t="s">
        <v>52</v>
      </c>
      <c r="M1674" t="s">
        <v>1545</v>
      </c>
      <c r="N1674" s="2" t="s">
        <v>3029</v>
      </c>
      <c r="O1674" t="s">
        <v>3030</v>
      </c>
      <c r="P1674" t="s">
        <v>26</v>
      </c>
      <c r="Q1674">
        <v>283.05366783105745</v>
      </c>
      <c r="R1674">
        <f ca="1">YEAR(TODAY())-Table1[[#This Row],[Year Built]]</f>
        <v>64</v>
      </c>
      <c r="S1674" t="str">
        <f>IF(Table1[[#This Row],[Days on Market]] &lt; 30,"Fast",IF(Table1[[#This Row],[Days on Market]]&lt;= 90,"Average", "Slow"))</f>
        <v>Average</v>
      </c>
      <c r="T1674" t="str">
        <f>IF(Table1[[#This Row],[Price2]]&lt;500000,"Affordable",IF(Table1[[#This Row],[Price2]]&lt;1000000,"Mid range","Luxury"))</f>
        <v>Mid range</v>
      </c>
    </row>
    <row r="1675" spans="1:20" x14ac:dyDescent="0.35">
      <c r="A1675" s="3">
        <v>891575</v>
      </c>
      <c r="B1675" s="2" t="s">
        <v>22</v>
      </c>
      <c r="C1675">
        <v>96050</v>
      </c>
      <c r="D1675" s="2" t="s">
        <v>35</v>
      </c>
      <c r="E1675">
        <v>2</v>
      </c>
      <c r="F1675">
        <v>4</v>
      </c>
      <c r="G1675" s="4">
        <f>VALUE(SUBSTITUTE(SUBSTITUTE(Table1[[#This Row],[Price]],"$",""),",",""))</f>
        <v>891575</v>
      </c>
      <c r="H1675" s="1">
        <f>Table1[[#This Row],[Price2]]/Table1[[#This Row],[Area]]</f>
        <v>483.23848238482384</v>
      </c>
      <c r="I1675">
        <v>1845</v>
      </c>
      <c r="J1675">
        <v>1998</v>
      </c>
      <c r="K1675">
        <v>91</v>
      </c>
      <c r="L1675" t="s">
        <v>30</v>
      </c>
      <c r="M1675" t="s">
        <v>173</v>
      </c>
      <c r="N1675" s="2" t="s">
        <v>3029</v>
      </c>
      <c r="O1675" t="s">
        <v>3030</v>
      </c>
      <c r="P1675" t="s">
        <v>21</v>
      </c>
      <c r="Q1675">
        <v>483.23848238482384</v>
      </c>
      <c r="R1675">
        <f ca="1">YEAR(TODAY())-Table1[[#This Row],[Year Built]]</f>
        <v>28</v>
      </c>
      <c r="S1675" t="str">
        <f>IF(Table1[[#This Row],[Days on Market]] &lt; 30,"Fast",IF(Table1[[#This Row],[Days on Market]]&lt;= 90,"Average", "Slow"))</f>
        <v>Slow</v>
      </c>
      <c r="T1675" t="str">
        <f>IF(Table1[[#This Row],[Price2]]&lt;500000,"Affordable",IF(Table1[[#This Row],[Price2]]&lt;1000000,"Mid range","Luxury"))</f>
        <v>Mid range</v>
      </c>
    </row>
    <row r="1676" spans="1:20" x14ac:dyDescent="0.35">
      <c r="A1676" s="3">
        <v>891896</v>
      </c>
      <c r="B1676" s="2" t="s">
        <v>34</v>
      </c>
      <c r="C1676">
        <v>12184</v>
      </c>
      <c r="D1676" s="2" t="s">
        <v>13</v>
      </c>
      <c r="E1676">
        <v>6</v>
      </c>
      <c r="F1676">
        <v>1</v>
      </c>
      <c r="G1676" s="4">
        <f>VALUE(SUBSTITUTE(SUBSTITUTE(Table1[[#This Row],[Price]],"$",""),",",""))</f>
        <v>891896</v>
      </c>
      <c r="H1676" s="1">
        <f>Table1[[#This Row],[Price2]]/Table1[[#This Row],[Area]]</f>
        <v>893.68336673346698</v>
      </c>
      <c r="I1676">
        <v>998</v>
      </c>
      <c r="J1676">
        <v>1970</v>
      </c>
      <c r="K1676">
        <v>87</v>
      </c>
      <c r="L1676" t="s">
        <v>40</v>
      </c>
      <c r="M1676" t="s">
        <v>2021</v>
      </c>
      <c r="N1676" s="2" t="s">
        <v>3031</v>
      </c>
      <c r="O1676" t="s">
        <v>3032</v>
      </c>
      <c r="P1676" t="s">
        <v>26</v>
      </c>
      <c r="Q1676">
        <v>893.68336673346698</v>
      </c>
      <c r="R1676">
        <f ca="1">YEAR(TODAY())-Table1[[#This Row],[Year Built]]</f>
        <v>56</v>
      </c>
      <c r="S1676" t="str">
        <f>IF(Table1[[#This Row],[Days on Market]] &lt; 30,"Fast",IF(Table1[[#This Row],[Days on Market]]&lt;= 90,"Average", "Slow"))</f>
        <v>Average</v>
      </c>
      <c r="T1676" t="str">
        <f>IF(Table1[[#This Row],[Price2]]&lt;500000,"Affordable",IF(Table1[[#This Row],[Price2]]&lt;1000000,"Mid range","Luxury"))</f>
        <v>Mid range</v>
      </c>
    </row>
    <row r="1677" spans="1:20" x14ac:dyDescent="0.35">
      <c r="A1677" s="3">
        <v>892349</v>
      </c>
      <c r="B1677" s="2" t="s">
        <v>34</v>
      </c>
      <c r="C1677">
        <v>96678</v>
      </c>
      <c r="D1677" s="2" t="s">
        <v>13</v>
      </c>
      <c r="E1677">
        <v>3</v>
      </c>
      <c r="F1677">
        <v>1</v>
      </c>
      <c r="G1677" s="4">
        <f>VALUE(SUBSTITUTE(SUBSTITUTE(Table1[[#This Row],[Price]],"$",""),",",""))</f>
        <v>892349</v>
      </c>
      <c r="H1677" s="1">
        <f>Table1[[#This Row],[Price2]]/Table1[[#This Row],[Area]]</f>
        <v>461.40072388831436</v>
      </c>
      <c r="I1677">
        <v>1934</v>
      </c>
      <c r="J1677">
        <v>1970</v>
      </c>
      <c r="K1677">
        <v>118</v>
      </c>
      <c r="L1677" t="s">
        <v>30</v>
      </c>
      <c r="M1677" t="s">
        <v>1776</v>
      </c>
      <c r="N1677" s="2" t="s">
        <v>3035</v>
      </c>
      <c r="O1677" t="s">
        <v>3036</v>
      </c>
      <c r="P1677" t="s">
        <v>16</v>
      </c>
      <c r="Q1677">
        <v>461.40072388831436</v>
      </c>
      <c r="R1677">
        <f ca="1">YEAR(TODAY())-Table1[[#This Row],[Year Built]]</f>
        <v>56</v>
      </c>
      <c r="S1677" t="str">
        <f>IF(Table1[[#This Row],[Days on Market]] &lt; 30,"Fast",IF(Table1[[#This Row],[Days on Market]]&lt;= 90,"Average", "Slow"))</f>
        <v>Slow</v>
      </c>
      <c r="T1677" t="str">
        <f>IF(Table1[[#This Row],[Price2]]&lt;500000,"Affordable",IF(Table1[[#This Row],[Price2]]&lt;1000000,"Mid range","Luxury"))</f>
        <v>Mid range</v>
      </c>
    </row>
    <row r="1678" spans="1:20" x14ac:dyDescent="0.35">
      <c r="A1678" s="3">
        <v>892569</v>
      </c>
      <c r="B1678" s="2" t="s">
        <v>12</v>
      </c>
      <c r="C1678">
        <v>24264</v>
      </c>
      <c r="D1678" s="2" t="s">
        <v>23</v>
      </c>
      <c r="E1678">
        <v>1</v>
      </c>
      <c r="F1678">
        <v>4</v>
      </c>
      <c r="G1678" s="4">
        <f>VALUE(SUBSTITUTE(SUBSTITUTE(Table1[[#This Row],[Price]],"$",""),",",""))</f>
        <v>892569</v>
      </c>
      <c r="H1678" s="1">
        <f>Table1[[#This Row],[Price2]]/Table1[[#This Row],[Area]]</f>
        <v>395.29185119574845</v>
      </c>
      <c r="I1678">
        <v>2258</v>
      </c>
      <c r="J1678">
        <v>1963</v>
      </c>
      <c r="K1678">
        <v>82</v>
      </c>
      <c r="L1678" t="s">
        <v>52</v>
      </c>
      <c r="M1678" t="s">
        <v>341</v>
      </c>
      <c r="N1678" s="2" t="s">
        <v>3027</v>
      </c>
      <c r="O1678" t="s">
        <v>3028</v>
      </c>
      <c r="P1678" t="s">
        <v>16</v>
      </c>
      <c r="Q1678">
        <v>395.29185119574845</v>
      </c>
      <c r="R1678">
        <f ca="1">YEAR(TODAY())-Table1[[#This Row],[Year Built]]</f>
        <v>63</v>
      </c>
      <c r="S1678" t="str">
        <f>IF(Table1[[#This Row],[Days on Market]] &lt; 30,"Fast",IF(Table1[[#This Row],[Days on Market]]&lt;= 90,"Average", "Slow"))</f>
        <v>Average</v>
      </c>
      <c r="T1678" t="str">
        <f>IF(Table1[[#This Row],[Price2]]&lt;500000,"Affordable",IF(Table1[[#This Row],[Price2]]&lt;1000000,"Mid range","Luxury"))</f>
        <v>Mid range</v>
      </c>
    </row>
    <row r="1679" spans="1:20" x14ac:dyDescent="0.35">
      <c r="A1679" s="3">
        <v>892712</v>
      </c>
      <c r="B1679" s="2" t="s">
        <v>22</v>
      </c>
      <c r="C1679">
        <v>97171</v>
      </c>
      <c r="D1679" s="2" t="s">
        <v>29</v>
      </c>
      <c r="E1679">
        <v>6</v>
      </c>
      <c r="F1679">
        <v>2</v>
      </c>
      <c r="G1679" s="4">
        <f>VALUE(SUBSTITUTE(SUBSTITUTE(Table1[[#This Row],[Price]],"$",""),",",""))</f>
        <v>892712</v>
      </c>
      <c r="H1679" s="1">
        <f>Table1[[#This Row],[Price2]]/Table1[[#This Row],[Area]]</f>
        <v>651.61459854014595</v>
      </c>
      <c r="I1679">
        <v>1370</v>
      </c>
      <c r="J1679">
        <v>1974</v>
      </c>
      <c r="K1679">
        <v>11</v>
      </c>
      <c r="L1679" t="s">
        <v>14</v>
      </c>
      <c r="M1679" t="s">
        <v>1986</v>
      </c>
      <c r="N1679" s="2" t="s">
        <v>3029</v>
      </c>
      <c r="O1679" t="s">
        <v>3030</v>
      </c>
      <c r="P1679" t="s">
        <v>26</v>
      </c>
      <c r="Q1679">
        <v>651.61459854014595</v>
      </c>
      <c r="R1679">
        <f ca="1">YEAR(TODAY())-Table1[[#This Row],[Year Built]]</f>
        <v>52</v>
      </c>
      <c r="S1679" t="str">
        <f>IF(Table1[[#This Row],[Days on Market]] &lt; 30,"Fast",IF(Table1[[#This Row],[Days on Market]]&lt;= 90,"Average", "Slow"))</f>
        <v>Fast</v>
      </c>
      <c r="T1679" t="str">
        <f>IF(Table1[[#This Row],[Price2]]&lt;500000,"Affordable",IF(Table1[[#This Row],[Price2]]&lt;1000000,"Mid range","Luxury"))</f>
        <v>Mid range</v>
      </c>
    </row>
    <row r="1680" spans="1:20" x14ac:dyDescent="0.35">
      <c r="A1680" s="3">
        <v>892897</v>
      </c>
      <c r="B1680" s="2" t="s">
        <v>22</v>
      </c>
      <c r="C1680">
        <v>31183</v>
      </c>
      <c r="D1680" s="2" t="s">
        <v>23</v>
      </c>
      <c r="E1680">
        <v>3</v>
      </c>
      <c r="F1680">
        <v>3</v>
      </c>
      <c r="G1680" s="4">
        <f>VALUE(SUBSTITUTE(SUBSTITUTE(Table1[[#This Row],[Price]],"$",""),",",""))</f>
        <v>892897</v>
      </c>
      <c r="H1680" s="1">
        <f>Table1[[#This Row],[Price2]]/Table1[[#This Row],[Area]]</f>
        <v>1018.1265678449258</v>
      </c>
      <c r="I1680">
        <v>877</v>
      </c>
      <c r="J1680">
        <v>1980</v>
      </c>
      <c r="K1680">
        <v>83</v>
      </c>
      <c r="L1680" t="s">
        <v>30</v>
      </c>
      <c r="M1680" t="s">
        <v>2538</v>
      </c>
      <c r="N1680" s="2" t="s">
        <v>3031</v>
      </c>
      <c r="O1680" t="s">
        <v>3032</v>
      </c>
      <c r="P1680" t="s">
        <v>21</v>
      </c>
      <c r="Q1680">
        <v>1018.1265678449258</v>
      </c>
      <c r="R1680">
        <f ca="1">YEAR(TODAY())-Table1[[#This Row],[Year Built]]</f>
        <v>46</v>
      </c>
      <c r="S1680" t="str">
        <f>IF(Table1[[#This Row],[Days on Market]] &lt; 30,"Fast",IF(Table1[[#This Row],[Days on Market]]&lt;= 90,"Average", "Slow"))</f>
        <v>Average</v>
      </c>
      <c r="T1680" t="str">
        <f>IF(Table1[[#This Row],[Price2]]&lt;500000,"Affordable",IF(Table1[[#This Row],[Price2]]&lt;1000000,"Mid range","Luxury"))</f>
        <v>Mid range</v>
      </c>
    </row>
    <row r="1681" spans="1:20" x14ac:dyDescent="0.35">
      <c r="A1681" s="3">
        <v>893945</v>
      </c>
      <c r="B1681" s="2" t="s">
        <v>27</v>
      </c>
      <c r="C1681">
        <v>55515</v>
      </c>
      <c r="D1681" s="2" t="s">
        <v>18</v>
      </c>
      <c r="E1681">
        <v>5</v>
      </c>
      <c r="F1681">
        <v>2</v>
      </c>
      <c r="G1681" s="4">
        <f>VALUE(SUBSTITUTE(SUBSTITUTE(Table1[[#This Row],[Price]],"$",""),",",""))</f>
        <v>893945</v>
      </c>
      <c r="H1681" s="1">
        <f>Table1[[#This Row],[Price2]]/Table1[[#This Row],[Area]]</f>
        <v>612.29109589041093</v>
      </c>
      <c r="I1681">
        <v>1460</v>
      </c>
      <c r="J1681">
        <v>1987</v>
      </c>
      <c r="K1681">
        <v>118</v>
      </c>
      <c r="L1681" t="s">
        <v>30</v>
      </c>
      <c r="M1681" t="s">
        <v>2368</v>
      </c>
      <c r="N1681" s="2" t="s">
        <v>3031</v>
      </c>
      <c r="O1681" t="s">
        <v>3032</v>
      </c>
      <c r="P1681" t="s">
        <v>16</v>
      </c>
      <c r="Q1681">
        <v>612.29109589041093</v>
      </c>
      <c r="R1681">
        <f ca="1">YEAR(TODAY())-Table1[[#This Row],[Year Built]]</f>
        <v>39</v>
      </c>
      <c r="S1681" t="str">
        <f>IF(Table1[[#This Row],[Days on Market]] &lt; 30,"Fast",IF(Table1[[#This Row],[Days on Market]]&lt;= 90,"Average", "Slow"))</f>
        <v>Slow</v>
      </c>
      <c r="T1681" t="str">
        <f>IF(Table1[[#This Row],[Price2]]&lt;500000,"Affordable",IF(Table1[[#This Row],[Price2]]&lt;1000000,"Mid range","Luxury"))</f>
        <v>Mid range</v>
      </c>
    </row>
    <row r="1682" spans="1:20" x14ac:dyDescent="0.35">
      <c r="A1682" s="3">
        <v>894259</v>
      </c>
      <c r="B1682" s="2" t="s">
        <v>17</v>
      </c>
      <c r="C1682">
        <v>12761</v>
      </c>
      <c r="D1682" s="2" t="s">
        <v>23</v>
      </c>
      <c r="E1682">
        <v>3</v>
      </c>
      <c r="F1682">
        <v>1</v>
      </c>
      <c r="G1682" s="4">
        <f>VALUE(SUBSTITUTE(SUBSTITUTE(Table1[[#This Row],[Price]],"$",""),",",""))</f>
        <v>894259</v>
      </c>
      <c r="H1682" s="1">
        <f>Table1[[#This Row],[Price2]]/Table1[[#This Row],[Area]]</f>
        <v>262.94001764187004</v>
      </c>
      <c r="I1682">
        <v>3401</v>
      </c>
      <c r="J1682">
        <v>1993</v>
      </c>
      <c r="K1682">
        <v>83</v>
      </c>
      <c r="L1682" t="s">
        <v>14</v>
      </c>
      <c r="M1682" t="s">
        <v>2126</v>
      </c>
      <c r="N1682" s="2" t="s">
        <v>3035</v>
      </c>
      <c r="O1682" t="s">
        <v>3036</v>
      </c>
      <c r="P1682" t="s">
        <v>21</v>
      </c>
      <c r="Q1682">
        <v>262.94001764187004</v>
      </c>
      <c r="R1682">
        <f ca="1">YEAR(TODAY())-Table1[[#This Row],[Year Built]]</f>
        <v>33</v>
      </c>
      <c r="S1682" t="str">
        <f>IF(Table1[[#This Row],[Days on Market]] &lt; 30,"Fast",IF(Table1[[#This Row],[Days on Market]]&lt;= 90,"Average", "Slow"))</f>
        <v>Average</v>
      </c>
      <c r="T1682" t="str">
        <f>IF(Table1[[#This Row],[Price2]]&lt;500000,"Affordable",IF(Table1[[#This Row],[Price2]]&lt;1000000,"Mid range","Luxury"))</f>
        <v>Mid range</v>
      </c>
    </row>
    <row r="1683" spans="1:20" x14ac:dyDescent="0.35">
      <c r="A1683" s="3">
        <v>894755</v>
      </c>
      <c r="B1683" s="2" t="s">
        <v>22</v>
      </c>
      <c r="C1683">
        <v>57822</v>
      </c>
      <c r="D1683" s="2" t="s">
        <v>23</v>
      </c>
      <c r="E1683">
        <v>5</v>
      </c>
      <c r="F1683">
        <v>1</v>
      </c>
      <c r="G1683" s="4">
        <f>VALUE(SUBSTITUTE(SUBSTITUTE(Table1[[#This Row],[Price]],"$",""),",",""))</f>
        <v>894755</v>
      </c>
      <c r="H1683" s="1">
        <f>Table1[[#This Row],[Price2]]/Table1[[#This Row],[Area]]</f>
        <v>275.98858729179517</v>
      </c>
      <c r="I1683">
        <v>3242</v>
      </c>
      <c r="J1683">
        <v>2021</v>
      </c>
      <c r="K1683">
        <v>3</v>
      </c>
      <c r="L1683" t="s">
        <v>14</v>
      </c>
      <c r="M1683" t="s">
        <v>359</v>
      </c>
      <c r="N1683" s="2" t="s">
        <v>3031</v>
      </c>
      <c r="O1683" t="s">
        <v>3032</v>
      </c>
      <c r="P1683" t="s">
        <v>16</v>
      </c>
      <c r="Q1683">
        <v>275.98858729179517</v>
      </c>
      <c r="R1683">
        <f ca="1">YEAR(TODAY())-Table1[[#This Row],[Year Built]]</f>
        <v>5</v>
      </c>
      <c r="S1683" t="str">
        <f>IF(Table1[[#This Row],[Days on Market]] &lt; 30,"Fast",IF(Table1[[#This Row],[Days on Market]]&lt;= 90,"Average", "Slow"))</f>
        <v>Fast</v>
      </c>
      <c r="T1683" t="str">
        <f>IF(Table1[[#This Row],[Price2]]&lt;500000,"Affordable",IF(Table1[[#This Row],[Price2]]&lt;1000000,"Mid range","Luxury"))</f>
        <v>Mid range</v>
      </c>
    </row>
    <row r="1684" spans="1:20" x14ac:dyDescent="0.35">
      <c r="A1684" s="3">
        <v>894851</v>
      </c>
      <c r="B1684" s="2" t="s">
        <v>27</v>
      </c>
      <c r="C1684">
        <v>25964</v>
      </c>
      <c r="D1684" s="2" t="s">
        <v>29</v>
      </c>
      <c r="E1684">
        <v>1</v>
      </c>
      <c r="F1684">
        <v>1</v>
      </c>
      <c r="G1684" s="4">
        <f>VALUE(SUBSTITUTE(SUBSTITUTE(Table1[[#This Row],[Price]],"$",""),",",""))</f>
        <v>894851</v>
      </c>
      <c r="H1684" s="1">
        <f>Table1[[#This Row],[Price2]]/Table1[[#This Row],[Area]]</f>
        <v>299.98357358364063</v>
      </c>
      <c r="I1684">
        <v>2983</v>
      </c>
      <c r="J1684">
        <v>1975</v>
      </c>
      <c r="K1684">
        <v>89</v>
      </c>
      <c r="L1684" t="s">
        <v>52</v>
      </c>
      <c r="M1684" t="s">
        <v>81</v>
      </c>
      <c r="N1684" s="2" t="s">
        <v>3031</v>
      </c>
      <c r="O1684" t="s">
        <v>3032</v>
      </c>
      <c r="P1684" t="s">
        <v>16</v>
      </c>
      <c r="Q1684">
        <v>299.98357358364063</v>
      </c>
      <c r="R1684">
        <f ca="1">YEAR(TODAY())-Table1[[#This Row],[Year Built]]</f>
        <v>51</v>
      </c>
      <c r="S1684" t="str">
        <f>IF(Table1[[#This Row],[Days on Market]] &lt; 30,"Fast",IF(Table1[[#This Row],[Days on Market]]&lt;= 90,"Average", "Slow"))</f>
        <v>Average</v>
      </c>
      <c r="T1684" t="str">
        <f>IF(Table1[[#This Row],[Price2]]&lt;500000,"Affordable",IF(Table1[[#This Row],[Price2]]&lt;1000000,"Mid range","Luxury"))</f>
        <v>Mid range</v>
      </c>
    </row>
    <row r="1685" spans="1:20" x14ac:dyDescent="0.35">
      <c r="A1685" s="3">
        <v>895042</v>
      </c>
      <c r="B1685" s="2" t="s">
        <v>22</v>
      </c>
      <c r="C1685">
        <v>35544</v>
      </c>
      <c r="D1685" s="2" t="s">
        <v>23</v>
      </c>
      <c r="E1685">
        <v>5</v>
      </c>
      <c r="F1685">
        <v>1</v>
      </c>
      <c r="G1685" s="4">
        <f>VALUE(SUBSTITUTE(SUBSTITUTE(Table1[[#This Row],[Price]],"$",""),",",""))</f>
        <v>895042</v>
      </c>
      <c r="H1685" s="1">
        <f>Table1[[#This Row],[Price2]]/Table1[[#This Row],[Area]]</f>
        <v>444.18957816377173</v>
      </c>
      <c r="I1685">
        <v>2015</v>
      </c>
      <c r="J1685">
        <v>2000</v>
      </c>
      <c r="K1685">
        <v>116</v>
      </c>
      <c r="L1685" t="s">
        <v>52</v>
      </c>
      <c r="M1685" t="s">
        <v>2962</v>
      </c>
      <c r="N1685" s="2" t="s">
        <v>3033</v>
      </c>
      <c r="O1685" t="s">
        <v>3034</v>
      </c>
      <c r="P1685" t="s">
        <v>26</v>
      </c>
      <c r="Q1685">
        <v>444.18957816377173</v>
      </c>
      <c r="R1685">
        <f ca="1">YEAR(TODAY())-Table1[[#This Row],[Year Built]]</f>
        <v>26</v>
      </c>
      <c r="S1685" t="str">
        <f>IF(Table1[[#This Row],[Days on Market]] &lt; 30,"Fast",IF(Table1[[#This Row],[Days on Market]]&lt;= 90,"Average", "Slow"))</f>
        <v>Slow</v>
      </c>
      <c r="T1685" t="str">
        <f>IF(Table1[[#This Row],[Price2]]&lt;500000,"Affordable",IF(Table1[[#This Row],[Price2]]&lt;1000000,"Mid range","Luxury"))</f>
        <v>Mid range</v>
      </c>
    </row>
    <row r="1686" spans="1:20" x14ac:dyDescent="0.35">
      <c r="A1686" s="3">
        <v>895568</v>
      </c>
      <c r="B1686" s="2" t="s">
        <v>22</v>
      </c>
      <c r="C1686">
        <v>35537</v>
      </c>
      <c r="D1686" s="2" t="s">
        <v>29</v>
      </c>
      <c r="E1686">
        <v>5</v>
      </c>
      <c r="F1686">
        <v>1</v>
      </c>
      <c r="G1686" s="4">
        <f>VALUE(SUBSTITUTE(SUBSTITUTE(Table1[[#This Row],[Price]],"$",""),",",""))</f>
        <v>895568</v>
      </c>
      <c r="H1686" s="1">
        <f>Table1[[#This Row],[Price2]]/Table1[[#This Row],[Area]]</f>
        <v>852.11037107516654</v>
      </c>
      <c r="I1686">
        <v>1051</v>
      </c>
      <c r="J1686">
        <v>1966</v>
      </c>
      <c r="K1686">
        <v>49</v>
      </c>
      <c r="L1686" t="s">
        <v>52</v>
      </c>
      <c r="M1686" t="s">
        <v>2535</v>
      </c>
      <c r="N1686" s="2" t="s">
        <v>3033</v>
      </c>
      <c r="O1686" t="s">
        <v>3034</v>
      </c>
      <c r="P1686" t="s">
        <v>26</v>
      </c>
      <c r="Q1686">
        <v>852.11037107516654</v>
      </c>
      <c r="R1686">
        <f ca="1">YEAR(TODAY())-Table1[[#This Row],[Year Built]]</f>
        <v>60</v>
      </c>
      <c r="S1686" t="str">
        <f>IF(Table1[[#This Row],[Days on Market]] &lt; 30,"Fast",IF(Table1[[#This Row],[Days on Market]]&lt;= 90,"Average", "Slow"))</f>
        <v>Average</v>
      </c>
      <c r="T1686" t="str">
        <f>IF(Table1[[#This Row],[Price2]]&lt;500000,"Affordable",IF(Table1[[#This Row],[Price2]]&lt;1000000,"Mid range","Luxury"))</f>
        <v>Mid range</v>
      </c>
    </row>
    <row r="1687" spans="1:20" x14ac:dyDescent="0.35">
      <c r="A1687" s="3">
        <v>895834</v>
      </c>
      <c r="B1687" s="2" t="s">
        <v>22</v>
      </c>
      <c r="C1687">
        <v>40991</v>
      </c>
      <c r="D1687" s="2" t="s">
        <v>29</v>
      </c>
      <c r="E1687">
        <v>1</v>
      </c>
      <c r="F1687">
        <v>2</v>
      </c>
      <c r="G1687" s="4">
        <f>VALUE(SUBSTITUTE(SUBSTITUTE(Table1[[#This Row],[Price]],"$",""),",",""))</f>
        <v>895834</v>
      </c>
      <c r="H1687" s="1">
        <f>Table1[[#This Row],[Price2]]/Table1[[#This Row],[Area]]</f>
        <v>631.7588152327221</v>
      </c>
      <c r="I1687">
        <v>1418</v>
      </c>
      <c r="J1687">
        <v>1975</v>
      </c>
      <c r="K1687">
        <v>47</v>
      </c>
      <c r="L1687" t="s">
        <v>30</v>
      </c>
      <c r="M1687" t="s">
        <v>185</v>
      </c>
      <c r="N1687" s="2" t="s">
        <v>3033</v>
      </c>
      <c r="O1687" t="s">
        <v>3034</v>
      </c>
      <c r="P1687" t="s">
        <v>26</v>
      </c>
      <c r="Q1687">
        <v>631.7588152327221</v>
      </c>
      <c r="R1687">
        <f ca="1">YEAR(TODAY())-Table1[[#This Row],[Year Built]]</f>
        <v>51</v>
      </c>
      <c r="S1687" t="str">
        <f>IF(Table1[[#This Row],[Days on Market]] &lt; 30,"Fast",IF(Table1[[#This Row],[Days on Market]]&lt;= 90,"Average", "Slow"))</f>
        <v>Average</v>
      </c>
      <c r="T1687" t="str">
        <f>IF(Table1[[#This Row],[Price2]]&lt;500000,"Affordable",IF(Table1[[#This Row],[Price2]]&lt;1000000,"Mid range","Luxury"))</f>
        <v>Mid range</v>
      </c>
    </row>
    <row r="1688" spans="1:20" x14ac:dyDescent="0.35">
      <c r="A1688" s="3">
        <v>898194</v>
      </c>
      <c r="B1688" s="2" t="s">
        <v>34</v>
      </c>
      <c r="C1688">
        <v>61938</v>
      </c>
      <c r="D1688" s="2" t="s">
        <v>13</v>
      </c>
      <c r="E1688">
        <v>6</v>
      </c>
      <c r="F1688">
        <v>1</v>
      </c>
      <c r="G1688" s="4">
        <f>VALUE(SUBSTITUTE(SUBSTITUTE(Table1[[#This Row],[Price]],"$",""),",",""))</f>
        <v>898194</v>
      </c>
      <c r="H1688" s="1">
        <f>Table1[[#This Row],[Price2]]/Table1[[#This Row],[Area]]</f>
        <v>560.67041198501875</v>
      </c>
      <c r="I1688">
        <v>1602</v>
      </c>
      <c r="J1688">
        <v>2003</v>
      </c>
      <c r="K1688">
        <v>69</v>
      </c>
      <c r="L1688" t="s">
        <v>52</v>
      </c>
      <c r="M1688" t="s">
        <v>2781</v>
      </c>
      <c r="N1688" s="2" t="s">
        <v>3029</v>
      </c>
      <c r="O1688" t="s">
        <v>3030</v>
      </c>
      <c r="P1688" t="s">
        <v>16</v>
      </c>
      <c r="Q1688">
        <v>560.67041198501875</v>
      </c>
      <c r="R1688">
        <f ca="1">YEAR(TODAY())-Table1[[#This Row],[Year Built]]</f>
        <v>23</v>
      </c>
      <c r="S1688" t="str">
        <f>IF(Table1[[#This Row],[Days on Market]] &lt; 30,"Fast",IF(Table1[[#This Row],[Days on Market]]&lt;= 90,"Average", "Slow"))</f>
        <v>Average</v>
      </c>
      <c r="T1688" t="str">
        <f>IF(Table1[[#This Row],[Price2]]&lt;500000,"Affordable",IF(Table1[[#This Row],[Price2]]&lt;1000000,"Mid range","Luxury"))</f>
        <v>Mid range</v>
      </c>
    </row>
    <row r="1689" spans="1:20" x14ac:dyDescent="0.35">
      <c r="A1689" s="3">
        <v>898597</v>
      </c>
      <c r="B1689" s="2" t="s">
        <v>22</v>
      </c>
      <c r="C1689">
        <v>16851</v>
      </c>
      <c r="D1689" s="2" t="s">
        <v>35</v>
      </c>
      <c r="E1689">
        <v>6</v>
      </c>
      <c r="F1689">
        <v>3</v>
      </c>
      <c r="G1689" s="4">
        <f>VALUE(SUBSTITUTE(SUBSTITUTE(Table1[[#This Row],[Price]],"$",""),",",""))</f>
        <v>898597</v>
      </c>
      <c r="H1689" s="1">
        <f>Table1[[#This Row],[Price2]]/Table1[[#This Row],[Area]]</f>
        <v>235.60487676979548</v>
      </c>
      <c r="I1689">
        <v>3814</v>
      </c>
      <c r="J1689">
        <v>1957</v>
      </c>
      <c r="K1689">
        <v>71</v>
      </c>
      <c r="L1689" t="s">
        <v>40</v>
      </c>
      <c r="M1689" t="s">
        <v>54</v>
      </c>
      <c r="N1689" s="2" t="s">
        <v>3035</v>
      </c>
      <c r="O1689" t="s">
        <v>3036</v>
      </c>
      <c r="P1689" t="s">
        <v>21</v>
      </c>
      <c r="Q1689">
        <v>235.60487676979548</v>
      </c>
      <c r="R1689">
        <f ca="1">YEAR(TODAY())-Table1[[#This Row],[Year Built]]</f>
        <v>69</v>
      </c>
      <c r="S1689" t="str">
        <f>IF(Table1[[#This Row],[Days on Market]] &lt; 30,"Fast",IF(Table1[[#This Row],[Days on Market]]&lt;= 90,"Average", "Slow"))</f>
        <v>Average</v>
      </c>
      <c r="T1689" t="str">
        <f>IF(Table1[[#This Row],[Price2]]&lt;500000,"Affordable",IF(Table1[[#This Row],[Price2]]&lt;1000000,"Mid range","Luxury"))</f>
        <v>Mid range</v>
      </c>
    </row>
    <row r="1690" spans="1:20" x14ac:dyDescent="0.35">
      <c r="A1690" s="3">
        <v>898766</v>
      </c>
      <c r="B1690" s="2" t="s">
        <v>22</v>
      </c>
      <c r="C1690">
        <v>85906</v>
      </c>
      <c r="D1690" s="2" t="s">
        <v>18</v>
      </c>
      <c r="E1690">
        <v>4</v>
      </c>
      <c r="F1690">
        <v>3</v>
      </c>
      <c r="G1690" s="4">
        <f>VALUE(SUBSTITUTE(SUBSTITUTE(Table1[[#This Row],[Price]],"$",""),",",""))</f>
        <v>898766</v>
      </c>
      <c r="H1690" s="1">
        <f>Table1[[#This Row],[Price2]]/Table1[[#This Row],[Area]]</f>
        <v>1250.0222531293464</v>
      </c>
      <c r="I1690">
        <v>719</v>
      </c>
      <c r="J1690">
        <v>2023</v>
      </c>
      <c r="K1690">
        <v>115</v>
      </c>
      <c r="L1690" t="s">
        <v>40</v>
      </c>
      <c r="M1690" t="s">
        <v>2679</v>
      </c>
      <c r="N1690" s="2" t="s">
        <v>3027</v>
      </c>
      <c r="O1690" t="s">
        <v>3028</v>
      </c>
      <c r="P1690" t="s">
        <v>21</v>
      </c>
      <c r="Q1690">
        <v>1250.0222531293464</v>
      </c>
      <c r="R1690">
        <f ca="1">YEAR(TODAY())-Table1[[#This Row],[Year Built]]</f>
        <v>3</v>
      </c>
      <c r="S1690" t="str">
        <f>IF(Table1[[#This Row],[Days on Market]] &lt; 30,"Fast",IF(Table1[[#This Row],[Days on Market]]&lt;= 90,"Average", "Slow"))</f>
        <v>Slow</v>
      </c>
      <c r="T1690" t="str">
        <f>IF(Table1[[#This Row],[Price2]]&lt;500000,"Affordable",IF(Table1[[#This Row],[Price2]]&lt;1000000,"Mid range","Luxury"))</f>
        <v>Mid range</v>
      </c>
    </row>
    <row r="1691" spans="1:20" x14ac:dyDescent="0.35">
      <c r="A1691" s="3">
        <v>900400</v>
      </c>
      <c r="B1691" s="2" t="s">
        <v>27</v>
      </c>
      <c r="C1691">
        <v>37962</v>
      </c>
      <c r="D1691" s="2" t="s">
        <v>29</v>
      </c>
      <c r="E1691">
        <v>4</v>
      </c>
      <c r="F1691">
        <v>2</v>
      </c>
      <c r="G1691" s="4">
        <f>VALUE(SUBSTITUTE(SUBSTITUTE(Table1[[#This Row],[Price]],"$",""),",",""))</f>
        <v>900400</v>
      </c>
      <c r="H1691" s="1">
        <f>Table1[[#This Row],[Price2]]/Table1[[#This Row],[Area]]</f>
        <v>1306.8214804063862</v>
      </c>
      <c r="I1691">
        <v>689</v>
      </c>
      <c r="J1691">
        <v>2015</v>
      </c>
      <c r="K1691">
        <v>110</v>
      </c>
      <c r="L1691" t="s">
        <v>30</v>
      </c>
      <c r="M1691" t="s">
        <v>435</v>
      </c>
      <c r="N1691" s="2" t="s">
        <v>3031</v>
      </c>
      <c r="O1691" t="s">
        <v>3032</v>
      </c>
      <c r="P1691" t="s">
        <v>26</v>
      </c>
      <c r="Q1691">
        <v>1306.8214804063862</v>
      </c>
      <c r="R1691">
        <f ca="1">YEAR(TODAY())-Table1[[#This Row],[Year Built]]</f>
        <v>11</v>
      </c>
      <c r="S1691" t="str">
        <f>IF(Table1[[#This Row],[Days on Market]] &lt; 30,"Fast",IF(Table1[[#This Row],[Days on Market]]&lt;= 90,"Average", "Slow"))</f>
        <v>Slow</v>
      </c>
      <c r="T1691" t="str">
        <f>IF(Table1[[#This Row],[Price2]]&lt;500000,"Affordable",IF(Table1[[#This Row],[Price2]]&lt;1000000,"Mid range","Luxury"))</f>
        <v>Mid range</v>
      </c>
    </row>
    <row r="1692" spans="1:20" x14ac:dyDescent="0.35">
      <c r="A1692" s="3">
        <v>900787</v>
      </c>
      <c r="B1692" s="2" t="s">
        <v>22</v>
      </c>
      <c r="C1692">
        <v>35096</v>
      </c>
      <c r="D1692" s="2" t="s">
        <v>35</v>
      </c>
      <c r="E1692">
        <v>5</v>
      </c>
      <c r="F1692">
        <v>3</v>
      </c>
      <c r="G1692" s="4">
        <f>VALUE(SUBSTITUTE(SUBSTITUTE(Table1[[#This Row],[Price]],"$",""),",",""))</f>
        <v>900787</v>
      </c>
      <c r="H1692" s="1">
        <f>Table1[[#This Row],[Price2]]/Table1[[#This Row],[Area]]</f>
        <v>230.38030690537084</v>
      </c>
      <c r="I1692">
        <v>3910</v>
      </c>
      <c r="J1692">
        <v>1970</v>
      </c>
      <c r="K1692">
        <v>21</v>
      </c>
      <c r="L1692" t="s">
        <v>19</v>
      </c>
      <c r="M1692" t="s">
        <v>2114</v>
      </c>
      <c r="N1692" s="2" t="s">
        <v>3031</v>
      </c>
      <c r="O1692" t="s">
        <v>3032</v>
      </c>
      <c r="P1692" t="s">
        <v>26</v>
      </c>
      <c r="Q1692">
        <v>230.38030690537084</v>
      </c>
      <c r="R1692">
        <f ca="1">YEAR(TODAY())-Table1[[#This Row],[Year Built]]</f>
        <v>56</v>
      </c>
      <c r="S1692" t="str">
        <f>IF(Table1[[#This Row],[Days on Market]] &lt; 30,"Fast",IF(Table1[[#This Row],[Days on Market]]&lt;= 90,"Average", "Slow"))</f>
        <v>Fast</v>
      </c>
      <c r="T1692" t="str">
        <f>IF(Table1[[#This Row],[Price2]]&lt;500000,"Affordable",IF(Table1[[#This Row],[Price2]]&lt;1000000,"Mid range","Luxury"))</f>
        <v>Mid range</v>
      </c>
    </row>
    <row r="1693" spans="1:20" x14ac:dyDescent="0.35">
      <c r="A1693" s="3">
        <v>900797</v>
      </c>
      <c r="B1693" s="2" t="s">
        <v>17</v>
      </c>
      <c r="C1693">
        <v>18870</v>
      </c>
      <c r="D1693" s="2" t="s">
        <v>23</v>
      </c>
      <c r="E1693">
        <v>2</v>
      </c>
      <c r="F1693">
        <v>4</v>
      </c>
      <c r="G1693" s="4">
        <f>VALUE(SUBSTITUTE(SUBSTITUTE(Table1[[#This Row],[Price]],"$",""),",",""))</f>
        <v>900797</v>
      </c>
      <c r="H1693" s="1">
        <f>Table1[[#This Row],[Price2]]/Table1[[#This Row],[Area]]</f>
        <v>234.46043727225404</v>
      </c>
      <c r="I1693">
        <v>3842</v>
      </c>
      <c r="J1693">
        <v>1957</v>
      </c>
      <c r="K1693">
        <v>98</v>
      </c>
      <c r="L1693" t="s">
        <v>52</v>
      </c>
      <c r="M1693" t="s">
        <v>900</v>
      </c>
      <c r="N1693" s="2" t="s">
        <v>3033</v>
      </c>
      <c r="O1693" t="s">
        <v>3034</v>
      </c>
      <c r="P1693" t="s">
        <v>26</v>
      </c>
      <c r="Q1693">
        <v>234.46043727225404</v>
      </c>
      <c r="R1693">
        <f ca="1">YEAR(TODAY())-Table1[[#This Row],[Year Built]]</f>
        <v>69</v>
      </c>
      <c r="S1693" t="str">
        <f>IF(Table1[[#This Row],[Days on Market]] &lt; 30,"Fast",IF(Table1[[#This Row],[Days on Market]]&lt;= 90,"Average", "Slow"))</f>
        <v>Slow</v>
      </c>
      <c r="T1693" t="str">
        <f>IF(Table1[[#This Row],[Price2]]&lt;500000,"Affordable",IF(Table1[[#This Row],[Price2]]&lt;1000000,"Mid range","Luxury"))</f>
        <v>Mid range</v>
      </c>
    </row>
    <row r="1694" spans="1:20" x14ac:dyDescent="0.35">
      <c r="A1694" s="3">
        <v>900860</v>
      </c>
      <c r="B1694" s="2" t="s">
        <v>27</v>
      </c>
      <c r="C1694">
        <v>23693</v>
      </c>
      <c r="D1694" s="2" t="s">
        <v>23</v>
      </c>
      <c r="E1694">
        <v>2</v>
      </c>
      <c r="F1694">
        <v>4</v>
      </c>
      <c r="G1694" s="4">
        <f>VALUE(SUBSTITUTE(SUBSTITUTE(Table1[[#This Row],[Price]],"$",""),",",""))</f>
        <v>900860</v>
      </c>
      <c r="H1694" s="1">
        <f>Table1[[#This Row],[Price2]]/Table1[[#This Row],[Area]]</f>
        <v>225.27131782945736</v>
      </c>
      <c r="I1694">
        <v>3999</v>
      </c>
      <c r="J1694">
        <v>1972</v>
      </c>
      <c r="K1694">
        <v>21</v>
      </c>
      <c r="L1694" t="s">
        <v>40</v>
      </c>
      <c r="M1694" t="s">
        <v>536</v>
      </c>
      <c r="N1694" s="2" t="s">
        <v>3035</v>
      </c>
      <c r="O1694" t="s">
        <v>3036</v>
      </c>
      <c r="P1694" t="s">
        <v>21</v>
      </c>
      <c r="Q1694">
        <v>225.27131782945736</v>
      </c>
      <c r="R1694">
        <f ca="1">YEAR(TODAY())-Table1[[#This Row],[Year Built]]</f>
        <v>54</v>
      </c>
      <c r="S1694" t="str">
        <f>IF(Table1[[#This Row],[Days on Market]] &lt; 30,"Fast",IF(Table1[[#This Row],[Days on Market]]&lt;= 90,"Average", "Slow"))</f>
        <v>Fast</v>
      </c>
      <c r="T1694" t="str">
        <f>IF(Table1[[#This Row],[Price2]]&lt;500000,"Affordable",IF(Table1[[#This Row],[Price2]]&lt;1000000,"Mid range","Luxury"))</f>
        <v>Mid range</v>
      </c>
    </row>
    <row r="1695" spans="1:20" x14ac:dyDescent="0.35">
      <c r="A1695" s="3">
        <v>901849</v>
      </c>
      <c r="B1695" s="2" t="s">
        <v>34</v>
      </c>
      <c r="C1695">
        <v>29419</v>
      </c>
      <c r="D1695" s="2" t="s">
        <v>35</v>
      </c>
      <c r="E1695">
        <v>2</v>
      </c>
      <c r="F1695">
        <v>1</v>
      </c>
      <c r="G1695" s="4">
        <f>VALUE(SUBSTITUTE(SUBSTITUTE(Table1[[#This Row],[Price]],"$",""),",",""))</f>
        <v>901849</v>
      </c>
      <c r="H1695" s="1">
        <f>Table1[[#This Row],[Price2]]/Table1[[#This Row],[Area]]</f>
        <v>244.60238676430703</v>
      </c>
      <c r="I1695">
        <v>3687</v>
      </c>
      <c r="J1695">
        <v>1969</v>
      </c>
      <c r="K1695">
        <v>108</v>
      </c>
      <c r="L1695" t="s">
        <v>14</v>
      </c>
      <c r="M1695" t="s">
        <v>1836</v>
      </c>
      <c r="N1695" s="2" t="s">
        <v>3027</v>
      </c>
      <c r="O1695" t="s">
        <v>3028</v>
      </c>
      <c r="P1695" t="s">
        <v>16</v>
      </c>
      <c r="Q1695">
        <v>244.60238676430703</v>
      </c>
      <c r="R1695">
        <f ca="1">YEAR(TODAY())-Table1[[#This Row],[Year Built]]</f>
        <v>57</v>
      </c>
      <c r="S1695" t="str">
        <f>IF(Table1[[#This Row],[Days on Market]] &lt; 30,"Fast",IF(Table1[[#This Row],[Days on Market]]&lt;= 90,"Average", "Slow"))</f>
        <v>Slow</v>
      </c>
      <c r="T1695" t="str">
        <f>IF(Table1[[#This Row],[Price2]]&lt;500000,"Affordable",IF(Table1[[#This Row],[Price2]]&lt;1000000,"Mid range","Luxury"))</f>
        <v>Mid range</v>
      </c>
    </row>
    <row r="1696" spans="1:20" x14ac:dyDescent="0.35">
      <c r="A1696" s="3">
        <v>902572</v>
      </c>
      <c r="B1696" s="2" t="s">
        <v>17</v>
      </c>
      <c r="C1696">
        <v>21356</v>
      </c>
      <c r="D1696" s="2" t="s">
        <v>35</v>
      </c>
      <c r="E1696">
        <v>5</v>
      </c>
      <c r="F1696">
        <v>3</v>
      </c>
      <c r="G1696" s="4">
        <f>VALUE(SUBSTITUTE(SUBSTITUTE(Table1[[#This Row],[Price]],"$",""),",",""))</f>
        <v>902572</v>
      </c>
      <c r="H1696" s="1">
        <f>Table1[[#This Row],[Price2]]/Table1[[#This Row],[Area]]</f>
        <v>333.29837518463813</v>
      </c>
      <c r="I1696">
        <v>2708</v>
      </c>
      <c r="J1696">
        <v>1987</v>
      </c>
      <c r="K1696">
        <v>102</v>
      </c>
      <c r="L1696" t="s">
        <v>40</v>
      </c>
      <c r="M1696" t="s">
        <v>2220</v>
      </c>
      <c r="N1696" s="2" t="s">
        <v>3031</v>
      </c>
      <c r="O1696" t="s">
        <v>3032</v>
      </c>
      <c r="P1696" t="s">
        <v>21</v>
      </c>
      <c r="Q1696">
        <v>333.29837518463813</v>
      </c>
      <c r="R1696">
        <f ca="1">YEAR(TODAY())-Table1[[#This Row],[Year Built]]</f>
        <v>39</v>
      </c>
      <c r="S1696" t="str">
        <f>IF(Table1[[#This Row],[Days on Market]] &lt; 30,"Fast",IF(Table1[[#This Row],[Days on Market]]&lt;= 90,"Average", "Slow"))</f>
        <v>Slow</v>
      </c>
      <c r="T1696" t="str">
        <f>IF(Table1[[#This Row],[Price2]]&lt;500000,"Affordable",IF(Table1[[#This Row],[Price2]]&lt;1000000,"Mid range","Luxury"))</f>
        <v>Mid range</v>
      </c>
    </row>
    <row r="1697" spans="1:20" x14ac:dyDescent="0.35">
      <c r="A1697" s="3">
        <v>903149</v>
      </c>
      <c r="B1697" s="2" t="s">
        <v>27</v>
      </c>
      <c r="C1697">
        <v>73605</v>
      </c>
      <c r="D1697" s="2" t="s">
        <v>18</v>
      </c>
      <c r="E1697">
        <v>2</v>
      </c>
      <c r="F1697">
        <v>2</v>
      </c>
      <c r="G1697" s="4">
        <f>VALUE(SUBSTITUTE(SUBSTITUTE(Table1[[#This Row],[Price]],"$",""),",",""))</f>
        <v>903149</v>
      </c>
      <c r="H1697" s="1">
        <f>Table1[[#This Row],[Price2]]/Table1[[#This Row],[Area]]</f>
        <v>630.2505233775297</v>
      </c>
      <c r="I1697">
        <v>1433</v>
      </c>
      <c r="J1697">
        <v>1998</v>
      </c>
      <c r="K1697">
        <v>102</v>
      </c>
      <c r="L1697" t="s">
        <v>40</v>
      </c>
      <c r="M1697" t="s">
        <v>1714</v>
      </c>
      <c r="N1697" s="2" t="s">
        <v>3031</v>
      </c>
      <c r="O1697" t="s">
        <v>3032</v>
      </c>
      <c r="P1697" t="s">
        <v>26</v>
      </c>
      <c r="Q1697">
        <v>630.2505233775297</v>
      </c>
      <c r="R1697">
        <f ca="1">YEAR(TODAY())-Table1[[#This Row],[Year Built]]</f>
        <v>28</v>
      </c>
      <c r="S1697" t="str">
        <f>IF(Table1[[#This Row],[Days on Market]] &lt; 30,"Fast",IF(Table1[[#This Row],[Days on Market]]&lt;= 90,"Average", "Slow"))</f>
        <v>Slow</v>
      </c>
      <c r="T1697" t="str">
        <f>IF(Table1[[#This Row],[Price2]]&lt;500000,"Affordable",IF(Table1[[#This Row],[Price2]]&lt;1000000,"Mid range","Luxury"))</f>
        <v>Mid range</v>
      </c>
    </row>
    <row r="1698" spans="1:20" x14ac:dyDescent="0.35">
      <c r="A1698" s="3">
        <v>903226</v>
      </c>
      <c r="B1698" s="2" t="s">
        <v>34</v>
      </c>
      <c r="C1698">
        <v>37989</v>
      </c>
      <c r="D1698" s="2" t="s">
        <v>29</v>
      </c>
      <c r="E1698">
        <v>4</v>
      </c>
      <c r="F1698">
        <v>2</v>
      </c>
      <c r="G1698" s="4">
        <f>VALUE(SUBSTITUTE(SUBSTITUTE(Table1[[#This Row],[Price]],"$",""),",",""))</f>
        <v>903226</v>
      </c>
      <c r="H1698" s="1">
        <f>Table1[[#This Row],[Price2]]/Table1[[#This Row],[Area]]</f>
        <v>356.30216962524656</v>
      </c>
      <c r="I1698">
        <v>2535</v>
      </c>
      <c r="J1698">
        <v>2017</v>
      </c>
      <c r="K1698">
        <v>55</v>
      </c>
      <c r="L1698" t="s">
        <v>14</v>
      </c>
      <c r="M1698" t="s">
        <v>1579</v>
      </c>
      <c r="N1698" s="2" t="s">
        <v>3035</v>
      </c>
      <c r="O1698" t="s">
        <v>3036</v>
      </c>
      <c r="P1698" t="s">
        <v>21</v>
      </c>
      <c r="Q1698">
        <v>356.30216962524656</v>
      </c>
      <c r="R1698">
        <f ca="1">YEAR(TODAY())-Table1[[#This Row],[Year Built]]</f>
        <v>9</v>
      </c>
      <c r="S1698" t="str">
        <f>IF(Table1[[#This Row],[Days on Market]] &lt; 30,"Fast",IF(Table1[[#This Row],[Days on Market]]&lt;= 90,"Average", "Slow"))</f>
        <v>Average</v>
      </c>
      <c r="T1698" t="str">
        <f>IF(Table1[[#This Row],[Price2]]&lt;500000,"Affordable",IF(Table1[[#This Row],[Price2]]&lt;1000000,"Mid range","Luxury"))</f>
        <v>Mid range</v>
      </c>
    </row>
    <row r="1699" spans="1:20" x14ac:dyDescent="0.35">
      <c r="A1699" s="3">
        <v>903375</v>
      </c>
      <c r="B1699" s="2" t="s">
        <v>17</v>
      </c>
      <c r="C1699">
        <v>74744</v>
      </c>
      <c r="D1699" s="2" t="s">
        <v>18</v>
      </c>
      <c r="E1699">
        <v>4</v>
      </c>
      <c r="F1699">
        <v>3</v>
      </c>
      <c r="G1699" s="4">
        <f>VALUE(SUBSTITUTE(SUBSTITUTE(Table1[[#This Row],[Price]],"$",""),",",""))</f>
        <v>903375</v>
      </c>
      <c r="H1699" s="1">
        <f>Table1[[#This Row],[Price2]]/Table1[[#This Row],[Area]]</f>
        <v>973.46443965517244</v>
      </c>
      <c r="I1699">
        <v>928</v>
      </c>
      <c r="J1699">
        <v>1963</v>
      </c>
      <c r="K1699">
        <v>87</v>
      </c>
      <c r="L1699" t="s">
        <v>19</v>
      </c>
      <c r="M1699" t="s">
        <v>938</v>
      </c>
      <c r="N1699" s="2" t="s">
        <v>3029</v>
      </c>
      <c r="O1699" t="s">
        <v>3030</v>
      </c>
      <c r="P1699" t="s">
        <v>16</v>
      </c>
      <c r="Q1699">
        <v>973.46443965517244</v>
      </c>
      <c r="R1699">
        <f ca="1">YEAR(TODAY())-Table1[[#This Row],[Year Built]]</f>
        <v>63</v>
      </c>
      <c r="S1699" t="str">
        <f>IF(Table1[[#This Row],[Days on Market]] &lt; 30,"Fast",IF(Table1[[#This Row],[Days on Market]]&lt;= 90,"Average", "Slow"))</f>
        <v>Average</v>
      </c>
      <c r="T1699" t="str">
        <f>IF(Table1[[#This Row],[Price2]]&lt;500000,"Affordable",IF(Table1[[#This Row],[Price2]]&lt;1000000,"Mid range","Luxury"))</f>
        <v>Mid range</v>
      </c>
    </row>
    <row r="1700" spans="1:20" x14ac:dyDescent="0.35">
      <c r="A1700" s="3">
        <v>903726</v>
      </c>
      <c r="B1700" s="2" t="s">
        <v>27</v>
      </c>
      <c r="C1700">
        <v>42568</v>
      </c>
      <c r="D1700" s="2" t="s">
        <v>35</v>
      </c>
      <c r="E1700">
        <v>3</v>
      </c>
      <c r="F1700">
        <v>1</v>
      </c>
      <c r="G1700" s="4">
        <f>VALUE(SUBSTITUTE(SUBSTITUTE(Table1[[#This Row],[Price]],"$",""),",",""))</f>
        <v>903726</v>
      </c>
      <c r="H1700" s="1">
        <f>Table1[[#This Row],[Price2]]/Table1[[#This Row],[Area]]</f>
        <v>302.45180722891564</v>
      </c>
      <c r="I1700">
        <v>2988</v>
      </c>
      <c r="J1700">
        <v>2017</v>
      </c>
      <c r="K1700">
        <v>36</v>
      </c>
      <c r="L1700" t="s">
        <v>19</v>
      </c>
      <c r="M1700" t="s">
        <v>158</v>
      </c>
      <c r="N1700" s="2" t="s">
        <v>3033</v>
      </c>
      <c r="O1700" t="s">
        <v>3034</v>
      </c>
      <c r="P1700" t="s">
        <v>26</v>
      </c>
      <c r="Q1700">
        <v>302.45180722891564</v>
      </c>
      <c r="R1700">
        <f ca="1">YEAR(TODAY())-Table1[[#This Row],[Year Built]]</f>
        <v>9</v>
      </c>
      <c r="S1700" t="str">
        <f>IF(Table1[[#This Row],[Days on Market]] &lt; 30,"Fast",IF(Table1[[#This Row],[Days on Market]]&lt;= 90,"Average", "Slow"))</f>
        <v>Average</v>
      </c>
      <c r="T1700" t="str">
        <f>IF(Table1[[#This Row],[Price2]]&lt;500000,"Affordable",IF(Table1[[#This Row],[Price2]]&lt;1000000,"Mid range","Luxury"))</f>
        <v>Mid range</v>
      </c>
    </row>
    <row r="1701" spans="1:20" x14ac:dyDescent="0.35">
      <c r="A1701" s="3">
        <v>903859</v>
      </c>
      <c r="B1701" s="2" t="s">
        <v>17</v>
      </c>
      <c r="C1701">
        <v>23854</v>
      </c>
      <c r="D1701" s="2" t="s">
        <v>13</v>
      </c>
      <c r="E1701">
        <v>3</v>
      </c>
      <c r="F1701">
        <v>1</v>
      </c>
      <c r="G1701" s="4">
        <f>VALUE(SUBSTITUTE(SUBSTITUTE(Table1[[#This Row],[Price]],"$",""),",",""))</f>
        <v>903859</v>
      </c>
      <c r="H1701" s="1">
        <f>Table1[[#This Row],[Price2]]/Table1[[#This Row],[Area]]</f>
        <v>295.9590700720367</v>
      </c>
      <c r="I1701">
        <v>3054</v>
      </c>
      <c r="J1701">
        <v>1976</v>
      </c>
      <c r="K1701">
        <v>33</v>
      </c>
      <c r="L1701" t="s">
        <v>14</v>
      </c>
      <c r="M1701" t="s">
        <v>1400</v>
      </c>
      <c r="N1701" s="2" t="s">
        <v>3029</v>
      </c>
      <c r="O1701" t="s">
        <v>3030</v>
      </c>
      <c r="P1701" t="s">
        <v>16</v>
      </c>
      <c r="Q1701">
        <v>295.9590700720367</v>
      </c>
      <c r="R1701">
        <f ca="1">YEAR(TODAY())-Table1[[#This Row],[Year Built]]</f>
        <v>50</v>
      </c>
      <c r="S1701" t="str">
        <f>IF(Table1[[#This Row],[Days on Market]] &lt; 30,"Fast",IF(Table1[[#This Row],[Days on Market]]&lt;= 90,"Average", "Slow"))</f>
        <v>Average</v>
      </c>
      <c r="T1701" t="str">
        <f>IF(Table1[[#This Row],[Price2]]&lt;500000,"Affordable",IF(Table1[[#This Row],[Price2]]&lt;1000000,"Mid range","Luxury"))</f>
        <v>Mid range</v>
      </c>
    </row>
    <row r="1702" spans="1:20" x14ac:dyDescent="0.35">
      <c r="A1702" s="3">
        <v>903893</v>
      </c>
      <c r="B1702" s="2" t="s">
        <v>22</v>
      </c>
      <c r="C1702">
        <v>46598</v>
      </c>
      <c r="D1702" s="2" t="s">
        <v>18</v>
      </c>
      <c r="E1702">
        <v>6</v>
      </c>
      <c r="F1702">
        <v>1</v>
      </c>
      <c r="G1702" s="4">
        <f>VALUE(SUBSTITUTE(SUBSTITUTE(Table1[[#This Row],[Price]],"$",""),",",""))</f>
        <v>903893</v>
      </c>
      <c r="H1702" s="1">
        <f>Table1[[#This Row],[Price2]]/Table1[[#This Row],[Area]]</f>
        <v>888.78367748279254</v>
      </c>
      <c r="I1702">
        <v>1017</v>
      </c>
      <c r="J1702">
        <v>2016</v>
      </c>
      <c r="K1702">
        <v>76</v>
      </c>
      <c r="L1702" t="s">
        <v>40</v>
      </c>
      <c r="M1702" t="s">
        <v>1419</v>
      </c>
      <c r="N1702" s="2" t="s">
        <v>3027</v>
      </c>
      <c r="O1702" t="s">
        <v>3028</v>
      </c>
      <c r="P1702" t="s">
        <v>16</v>
      </c>
      <c r="Q1702">
        <v>888.78367748279254</v>
      </c>
      <c r="R1702">
        <f ca="1">YEAR(TODAY())-Table1[[#This Row],[Year Built]]</f>
        <v>10</v>
      </c>
      <c r="S1702" t="str">
        <f>IF(Table1[[#This Row],[Days on Market]] &lt; 30,"Fast",IF(Table1[[#This Row],[Days on Market]]&lt;= 90,"Average", "Slow"))</f>
        <v>Average</v>
      </c>
      <c r="T1702" t="str">
        <f>IF(Table1[[#This Row],[Price2]]&lt;500000,"Affordable",IF(Table1[[#This Row],[Price2]]&lt;1000000,"Mid range","Luxury"))</f>
        <v>Mid range</v>
      </c>
    </row>
    <row r="1703" spans="1:20" x14ac:dyDescent="0.35">
      <c r="A1703" s="3">
        <v>905273</v>
      </c>
      <c r="B1703" s="2" t="s">
        <v>34</v>
      </c>
      <c r="C1703">
        <v>77179</v>
      </c>
      <c r="D1703" s="2" t="s">
        <v>13</v>
      </c>
      <c r="E1703">
        <v>1</v>
      </c>
      <c r="F1703">
        <v>3</v>
      </c>
      <c r="G1703" s="4">
        <f>VALUE(SUBSTITUTE(SUBSTITUTE(Table1[[#This Row],[Price]],"$",""),",",""))</f>
        <v>905273</v>
      </c>
      <c r="H1703" s="1">
        <f>Table1[[#This Row],[Price2]]/Table1[[#This Row],[Area]]</f>
        <v>334.79031065088759</v>
      </c>
      <c r="I1703">
        <v>2704</v>
      </c>
      <c r="J1703">
        <v>2022</v>
      </c>
      <c r="K1703">
        <v>28</v>
      </c>
      <c r="L1703" t="s">
        <v>40</v>
      </c>
      <c r="M1703" t="s">
        <v>874</v>
      </c>
      <c r="N1703" s="2" t="s">
        <v>3027</v>
      </c>
      <c r="O1703" t="s">
        <v>3028</v>
      </c>
      <c r="P1703" t="s">
        <v>16</v>
      </c>
      <c r="Q1703">
        <v>334.79031065088759</v>
      </c>
      <c r="R1703">
        <f ca="1">YEAR(TODAY())-Table1[[#This Row],[Year Built]]</f>
        <v>4</v>
      </c>
      <c r="S1703" t="str">
        <f>IF(Table1[[#This Row],[Days on Market]] &lt; 30,"Fast",IF(Table1[[#This Row],[Days on Market]]&lt;= 90,"Average", "Slow"))</f>
        <v>Fast</v>
      </c>
      <c r="T1703" t="str">
        <f>IF(Table1[[#This Row],[Price2]]&lt;500000,"Affordable",IF(Table1[[#This Row],[Price2]]&lt;1000000,"Mid range","Luxury"))</f>
        <v>Mid range</v>
      </c>
    </row>
    <row r="1704" spans="1:20" x14ac:dyDescent="0.35">
      <c r="A1704" s="3">
        <v>905495</v>
      </c>
      <c r="B1704" s="2" t="s">
        <v>34</v>
      </c>
      <c r="C1704">
        <v>46688</v>
      </c>
      <c r="D1704" s="2" t="s">
        <v>29</v>
      </c>
      <c r="E1704">
        <v>5</v>
      </c>
      <c r="F1704">
        <v>1</v>
      </c>
      <c r="G1704" s="4">
        <f>VALUE(SUBSTITUTE(SUBSTITUTE(Table1[[#This Row],[Price]],"$",""),",",""))</f>
        <v>905495</v>
      </c>
      <c r="H1704" s="1">
        <f>Table1[[#This Row],[Price2]]/Table1[[#This Row],[Area]]</f>
        <v>269.73339291033659</v>
      </c>
      <c r="I1704">
        <v>3357</v>
      </c>
      <c r="J1704">
        <v>2006</v>
      </c>
      <c r="K1704">
        <v>2</v>
      </c>
      <c r="L1704" t="s">
        <v>14</v>
      </c>
      <c r="M1704" t="s">
        <v>2789</v>
      </c>
      <c r="N1704" s="2" t="s">
        <v>3027</v>
      </c>
      <c r="O1704" t="s">
        <v>3028</v>
      </c>
      <c r="P1704" t="s">
        <v>26</v>
      </c>
      <c r="Q1704">
        <v>269.73339291033659</v>
      </c>
      <c r="R1704">
        <f ca="1">YEAR(TODAY())-Table1[[#This Row],[Year Built]]</f>
        <v>20</v>
      </c>
      <c r="S1704" t="str">
        <f>IF(Table1[[#This Row],[Days on Market]] &lt; 30,"Fast",IF(Table1[[#This Row],[Days on Market]]&lt;= 90,"Average", "Slow"))</f>
        <v>Fast</v>
      </c>
      <c r="T1704" t="str">
        <f>IF(Table1[[#This Row],[Price2]]&lt;500000,"Affordable",IF(Table1[[#This Row],[Price2]]&lt;1000000,"Mid range","Luxury"))</f>
        <v>Mid range</v>
      </c>
    </row>
    <row r="1705" spans="1:20" x14ac:dyDescent="0.35">
      <c r="A1705" s="3">
        <v>905860</v>
      </c>
      <c r="B1705" s="2" t="s">
        <v>22</v>
      </c>
      <c r="C1705">
        <v>16674</v>
      </c>
      <c r="D1705" s="2" t="s">
        <v>13</v>
      </c>
      <c r="E1705">
        <v>3</v>
      </c>
      <c r="F1705">
        <v>4</v>
      </c>
      <c r="G1705" s="4">
        <f>VALUE(SUBSTITUTE(SUBSTITUTE(Table1[[#This Row],[Price]],"$",""),",",""))</f>
        <v>905860</v>
      </c>
      <c r="H1705" s="1">
        <f>Table1[[#This Row],[Price2]]/Table1[[#This Row],[Area]]</f>
        <v>1211.0427807486631</v>
      </c>
      <c r="I1705">
        <v>748</v>
      </c>
      <c r="J1705">
        <v>2017</v>
      </c>
      <c r="K1705">
        <v>16</v>
      </c>
      <c r="L1705" t="s">
        <v>52</v>
      </c>
      <c r="M1705" t="s">
        <v>957</v>
      </c>
      <c r="N1705" s="2" t="s">
        <v>3033</v>
      </c>
      <c r="O1705" t="s">
        <v>3034</v>
      </c>
      <c r="P1705" t="s">
        <v>26</v>
      </c>
      <c r="Q1705">
        <v>1211.0427807486631</v>
      </c>
      <c r="R1705">
        <f ca="1">YEAR(TODAY())-Table1[[#This Row],[Year Built]]</f>
        <v>9</v>
      </c>
      <c r="S1705" t="str">
        <f>IF(Table1[[#This Row],[Days on Market]] &lt; 30,"Fast",IF(Table1[[#This Row],[Days on Market]]&lt;= 90,"Average", "Slow"))</f>
        <v>Fast</v>
      </c>
      <c r="T1705" t="str">
        <f>IF(Table1[[#This Row],[Price2]]&lt;500000,"Affordable",IF(Table1[[#This Row],[Price2]]&lt;1000000,"Mid range","Luxury"))</f>
        <v>Mid range</v>
      </c>
    </row>
    <row r="1706" spans="1:20" x14ac:dyDescent="0.35">
      <c r="A1706" s="3">
        <v>906038</v>
      </c>
      <c r="B1706" s="2" t="s">
        <v>17</v>
      </c>
      <c r="C1706">
        <v>28975</v>
      </c>
      <c r="D1706" s="2" t="s">
        <v>18</v>
      </c>
      <c r="E1706">
        <v>2</v>
      </c>
      <c r="F1706">
        <v>4</v>
      </c>
      <c r="G1706" s="4">
        <f>VALUE(SUBSTITUTE(SUBSTITUTE(Table1[[#This Row],[Price]],"$",""),",",""))</f>
        <v>906038</v>
      </c>
      <c r="H1706" s="1">
        <f>Table1[[#This Row],[Price2]]/Table1[[#This Row],[Area]]</f>
        <v>597.6503957783641</v>
      </c>
      <c r="I1706">
        <v>1516</v>
      </c>
      <c r="J1706">
        <v>1951</v>
      </c>
      <c r="K1706">
        <v>101</v>
      </c>
      <c r="L1706" t="s">
        <v>30</v>
      </c>
      <c r="M1706" t="s">
        <v>641</v>
      </c>
      <c r="N1706" s="2" t="s">
        <v>3033</v>
      </c>
      <c r="O1706" t="s">
        <v>3034</v>
      </c>
      <c r="P1706" t="s">
        <v>21</v>
      </c>
      <c r="Q1706">
        <v>597.6503957783641</v>
      </c>
      <c r="R1706">
        <f ca="1">YEAR(TODAY())-Table1[[#This Row],[Year Built]]</f>
        <v>75</v>
      </c>
      <c r="S1706" t="str">
        <f>IF(Table1[[#This Row],[Days on Market]] &lt; 30,"Fast",IF(Table1[[#This Row],[Days on Market]]&lt;= 90,"Average", "Slow"))</f>
        <v>Slow</v>
      </c>
      <c r="T1706" t="str">
        <f>IF(Table1[[#This Row],[Price2]]&lt;500000,"Affordable",IF(Table1[[#This Row],[Price2]]&lt;1000000,"Mid range","Luxury"))</f>
        <v>Mid range</v>
      </c>
    </row>
    <row r="1707" spans="1:20" x14ac:dyDescent="0.35">
      <c r="A1707" s="3">
        <v>906658</v>
      </c>
      <c r="B1707" s="2" t="s">
        <v>12</v>
      </c>
      <c r="C1707">
        <v>60005</v>
      </c>
      <c r="D1707" s="2" t="s">
        <v>13</v>
      </c>
      <c r="E1707">
        <v>3</v>
      </c>
      <c r="F1707">
        <v>3</v>
      </c>
      <c r="G1707" s="4">
        <f>VALUE(SUBSTITUTE(SUBSTITUTE(Table1[[#This Row],[Price]],"$",""),",",""))</f>
        <v>906658</v>
      </c>
      <c r="H1707" s="1">
        <f>Table1[[#This Row],[Price2]]/Table1[[#This Row],[Area]]</f>
        <v>256.77088643443784</v>
      </c>
      <c r="I1707">
        <v>3531</v>
      </c>
      <c r="J1707">
        <v>1956</v>
      </c>
      <c r="K1707">
        <v>100</v>
      </c>
      <c r="L1707" t="s">
        <v>52</v>
      </c>
      <c r="M1707" t="s">
        <v>1022</v>
      </c>
      <c r="N1707" s="2" t="s">
        <v>3029</v>
      </c>
      <c r="O1707" t="s">
        <v>3030</v>
      </c>
      <c r="P1707" t="s">
        <v>21</v>
      </c>
      <c r="Q1707">
        <v>256.77088643443784</v>
      </c>
      <c r="R1707">
        <f ca="1">YEAR(TODAY())-Table1[[#This Row],[Year Built]]</f>
        <v>70</v>
      </c>
      <c r="S1707" t="str">
        <f>IF(Table1[[#This Row],[Days on Market]] &lt; 30,"Fast",IF(Table1[[#This Row],[Days on Market]]&lt;= 90,"Average", "Slow"))</f>
        <v>Slow</v>
      </c>
      <c r="T1707" t="str">
        <f>IF(Table1[[#This Row],[Price2]]&lt;500000,"Affordable",IF(Table1[[#This Row],[Price2]]&lt;1000000,"Mid range","Luxury"))</f>
        <v>Mid range</v>
      </c>
    </row>
    <row r="1708" spans="1:20" x14ac:dyDescent="0.35">
      <c r="A1708" s="3">
        <v>906684</v>
      </c>
      <c r="B1708" s="2" t="s">
        <v>12</v>
      </c>
      <c r="C1708">
        <v>56900</v>
      </c>
      <c r="D1708" s="2" t="s">
        <v>23</v>
      </c>
      <c r="E1708">
        <v>2</v>
      </c>
      <c r="F1708">
        <v>4</v>
      </c>
      <c r="G1708" s="4">
        <f>VALUE(SUBSTITUTE(SUBSTITUTE(Table1[[#This Row],[Price]],"$",""),",",""))</f>
        <v>906684</v>
      </c>
      <c r="H1708" s="1">
        <f>Table1[[#This Row],[Price2]]/Table1[[#This Row],[Area]]</f>
        <v>285.83984867591425</v>
      </c>
      <c r="I1708">
        <v>3172</v>
      </c>
      <c r="J1708">
        <v>2019</v>
      </c>
      <c r="K1708">
        <v>28</v>
      </c>
      <c r="L1708" t="s">
        <v>40</v>
      </c>
      <c r="M1708" t="s">
        <v>1133</v>
      </c>
      <c r="N1708" s="2" t="s">
        <v>3035</v>
      </c>
      <c r="O1708" t="s">
        <v>3036</v>
      </c>
      <c r="P1708" t="s">
        <v>26</v>
      </c>
      <c r="Q1708">
        <v>285.83984867591425</v>
      </c>
      <c r="R1708">
        <f ca="1">YEAR(TODAY())-Table1[[#This Row],[Year Built]]</f>
        <v>7</v>
      </c>
      <c r="S1708" t="str">
        <f>IF(Table1[[#This Row],[Days on Market]] &lt; 30,"Fast",IF(Table1[[#This Row],[Days on Market]]&lt;= 90,"Average", "Slow"))</f>
        <v>Fast</v>
      </c>
      <c r="T1708" t="str">
        <f>IF(Table1[[#This Row],[Price2]]&lt;500000,"Affordable",IF(Table1[[#This Row],[Price2]]&lt;1000000,"Mid range","Luxury"))</f>
        <v>Mid range</v>
      </c>
    </row>
    <row r="1709" spans="1:20" x14ac:dyDescent="0.35">
      <c r="A1709" s="3">
        <v>906981</v>
      </c>
      <c r="B1709" s="2" t="s">
        <v>12</v>
      </c>
      <c r="C1709">
        <v>85377</v>
      </c>
      <c r="D1709" s="2" t="s">
        <v>35</v>
      </c>
      <c r="E1709">
        <v>5</v>
      </c>
      <c r="F1709">
        <v>1</v>
      </c>
      <c r="G1709" s="4">
        <f>VALUE(SUBSTITUTE(SUBSTITUTE(Table1[[#This Row],[Price]],"$",""),",",""))</f>
        <v>906981</v>
      </c>
      <c r="H1709" s="1">
        <f>Table1[[#This Row],[Price2]]/Table1[[#This Row],[Area]]</f>
        <v>276.35009140767824</v>
      </c>
      <c r="I1709">
        <v>3282</v>
      </c>
      <c r="J1709">
        <v>1986</v>
      </c>
      <c r="K1709">
        <v>48</v>
      </c>
      <c r="L1709" t="s">
        <v>30</v>
      </c>
      <c r="M1709" t="s">
        <v>1957</v>
      </c>
      <c r="N1709" s="2" t="s">
        <v>3029</v>
      </c>
      <c r="O1709" t="s">
        <v>3030</v>
      </c>
      <c r="P1709" t="s">
        <v>16</v>
      </c>
      <c r="Q1709">
        <v>276.35009140767824</v>
      </c>
      <c r="R1709">
        <f ca="1">YEAR(TODAY())-Table1[[#This Row],[Year Built]]</f>
        <v>40</v>
      </c>
      <c r="S1709" t="str">
        <f>IF(Table1[[#This Row],[Days on Market]] &lt; 30,"Fast",IF(Table1[[#This Row],[Days on Market]]&lt;= 90,"Average", "Slow"))</f>
        <v>Average</v>
      </c>
      <c r="T1709" t="str">
        <f>IF(Table1[[#This Row],[Price2]]&lt;500000,"Affordable",IF(Table1[[#This Row],[Price2]]&lt;1000000,"Mid range","Luxury"))</f>
        <v>Mid range</v>
      </c>
    </row>
    <row r="1710" spans="1:20" x14ac:dyDescent="0.35">
      <c r="A1710" s="3">
        <v>907603</v>
      </c>
      <c r="B1710" s="2" t="s">
        <v>17</v>
      </c>
      <c r="C1710">
        <v>30523</v>
      </c>
      <c r="D1710" s="2" t="s">
        <v>18</v>
      </c>
      <c r="E1710">
        <v>6</v>
      </c>
      <c r="F1710">
        <v>3</v>
      </c>
      <c r="G1710" s="4">
        <f>VALUE(SUBSTITUTE(SUBSTITUTE(Table1[[#This Row],[Price]],"$",""),",",""))</f>
        <v>907603</v>
      </c>
      <c r="H1710" s="1">
        <f>Table1[[#This Row],[Price2]]/Table1[[#This Row],[Area]]</f>
        <v>936.63880288957694</v>
      </c>
      <c r="I1710">
        <v>969</v>
      </c>
      <c r="J1710">
        <v>1988</v>
      </c>
      <c r="K1710">
        <v>110</v>
      </c>
      <c r="L1710" t="s">
        <v>19</v>
      </c>
      <c r="M1710" t="s">
        <v>837</v>
      </c>
      <c r="N1710" s="2" t="s">
        <v>3027</v>
      </c>
      <c r="O1710" t="s">
        <v>3028</v>
      </c>
      <c r="P1710" t="s">
        <v>16</v>
      </c>
      <c r="Q1710">
        <v>936.63880288957694</v>
      </c>
      <c r="R1710">
        <f ca="1">YEAR(TODAY())-Table1[[#This Row],[Year Built]]</f>
        <v>38</v>
      </c>
      <c r="S1710" t="str">
        <f>IF(Table1[[#This Row],[Days on Market]] &lt; 30,"Fast",IF(Table1[[#This Row],[Days on Market]]&lt;= 90,"Average", "Slow"))</f>
        <v>Slow</v>
      </c>
      <c r="T1710" t="str">
        <f>IF(Table1[[#This Row],[Price2]]&lt;500000,"Affordable",IF(Table1[[#This Row],[Price2]]&lt;1000000,"Mid range","Luxury"))</f>
        <v>Mid range</v>
      </c>
    </row>
    <row r="1711" spans="1:20" x14ac:dyDescent="0.35">
      <c r="A1711" s="3">
        <v>908029</v>
      </c>
      <c r="B1711" s="2" t="s">
        <v>27</v>
      </c>
      <c r="C1711">
        <v>24663</v>
      </c>
      <c r="D1711" s="2" t="s">
        <v>18</v>
      </c>
      <c r="E1711">
        <v>2</v>
      </c>
      <c r="F1711">
        <v>4</v>
      </c>
      <c r="G1711" s="4">
        <f>VALUE(SUBSTITUTE(SUBSTITUTE(Table1[[#This Row],[Price]],"$",""),",",""))</f>
        <v>908029</v>
      </c>
      <c r="H1711" s="1">
        <f>Table1[[#This Row],[Price2]]/Table1[[#This Row],[Area]]</f>
        <v>1405.6176470588234</v>
      </c>
      <c r="I1711">
        <v>646</v>
      </c>
      <c r="J1711">
        <v>2004</v>
      </c>
      <c r="K1711">
        <v>58</v>
      </c>
      <c r="L1711" t="s">
        <v>40</v>
      </c>
      <c r="M1711" t="s">
        <v>1037</v>
      </c>
      <c r="N1711" s="2" t="s">
        <v>3029</v>
      </c>
      <c r="O1711" t="s">
        <v>3030</v>
      </c>
      <c r="P1711" t="s">
        <v>21</v>
      </c>
      <c r="Q1711">
        <v>1405.6176470588234</v>
      </c>
      <c r="R1711">
        <f ca="1">YEAR(TODAY())-Table1[[#This Row],[Year Built]]</f>
        <v>22</v>
      </c>
      <c r="S1711" t="str">
        <f>IF(Table1[[#This Row],[Days on Market]] &lt; 30,"Fast",IF(Table1[[#This Row],[Days on Market]]&lt;= 90,"Average", "Slow"))</f>
        <v>Average</v>
      </c>
      <c r="T1711" t="str">
        <f>IF(Table1[[#This Row],[Price2]]&lt;500000,"Affordable",IF(Table1[[#This Row],[Price2]]&lt;1000000,"Mid range","Luxury"))</f>
        <v>Mid range</v>
      </c>
    </row>
    <row r="1712" spans="1:20" x14ac:dyDescent="0.35">
      <c r="A1712" s="3">
        <v>908122</v>
      </c>
      <c r="B1712" s="2" t="s">
        <v>34</v>
      </c>
      <c r="C1712">
        <v>98765</v>
      </c>
      <c r="D1712" s="2" t="s">
        <v>23</v>
      </c>
      <c r="E1712">
        <v>4</v>
      </c>
      <c r="F1712">
        <v>1</v>
      </c>
      <c r="G1712" s="4">
        <f>VALUE(SUBSTITUTE(SUBSTITUTE(Table1[[#This Row],[Price]],"$",""),",",""))</f>
        <v>908122</v>
      </c>
      <c r="H1712" s="1">
        <f>Table1[[#This Row],[Price2]]/Table1[[#This Row],[Area]]</f>
        <v>290.87828315182577</v>
      </c>
      <c r="I1712">
        <v>3122</v>
      </c>
      <c r="J1712">
        <v>1975</v>
      </c>
      <c r="K1712">
        <v>79</v>
      </c>
      <c r="L1712" t="s">
        <v>30</v>
      </c>
      <c r="M1712" t="s">
        <v>1852</v>
      </c>
      <c r="N1712" s="2" t="s">
        <v>3035</v>
      </c>
      <c r="O1712" t="s">
        <v>3036</v>
      </c>
      <c r="P1712" t="s">
        <v>16</v>
      </c>
      <c r="Q1712">
        <v>290.87828315182577</v>
      </c>
      <c r="R1712">
        <f ca="1">YEAR(TODAY())-Table1[[#This Row],[Year Built]]</f>
        <v>51</v>
      </c>
      <c r="S1712" t="str">
        <f>IF(Table1[[#This Row],[Days on Market]] &lt; 30,"Fast",IF(Table1[[#This Row],[Days on Market]]&lt;= 90,"Average", "Slow"))</f>
        <v>Average</v>
      </c>
      <c r="T1712" t="str">
        <f>IF(Table1[[#This Row],[Price2]]&lt;500000,"Affordable",IF(Table1[[#This Row],[Price2]]&lt;1000000,"Mid range","Luxury"))</f>
        <v>Mid range</v>
      </c>
    </row>
    <row r="1713" spans="1:20" x14ac:dyDescent="0.35">
      <c r="A1713" s="3">
        <v>909232</v>
      </c>
      <c r="B1713" s="2" t="s">
        <v>17</v>
      </c>
      <c r="C1713">
        <v>93235</v>
      </c>
      <c r="D1713" s="2" t="s">
        <v>23</v>
      </c>
      <c r="E1713">
        <v>2</v>
      </c>
      <c r="F1713">
        <v>4</v>
      </c>
      <c r="G1713" s="4">
        <f>VALUE(SUBSTITUTE(SUBSTITUTE(Table1[[#This Row],[Price]],"$",""),",",""))</f>
        <v>909232</v>
      </c>
      <c r="H1713" s="1">
        <f>Table1[[#This Row],[Price2]]/Table1[[#This Row],[Area]]</f>
        <v>870.91187739463601</v>
      </c>
      <c r="I1713">
        <v>1044</v>
      </c>
      <c r="J1713">
        <v>1954</v>
      </c>
      <c r="K1713">
        <v>58</v>
      </c>
      <c r="L1713" t="s">
        <v>19</v>
      </c>
      <c r="M1713" t="s">
        <v>763</v>
      </c>
      <c r="N1713" s="2" t="s">
        <v>3027</v>
      </c>
      <c r="O1713" t="s">
        <v>3028</v>
      </c>
      <c r="P1713" t="s">
        <v>16</v>
      </c>
      <c r="Q1713">
        <v>870.91187739463601</v>
      </c>
      <c r="R1713">
        <f ca="1">YEAR(TODAY())-Table1[[#This Row],[Year Built]]</f>
        <v>72</v>
      </c>
      <c r="S1713" t="str">
        <f>IF(Table1[[#This Row],[Days on Market]] &lt; 30,"Fast",IF(Table1[[#This Row],[Days on Market]]&lt;= 90,"Average", "Slow"))</f>
        <v>Average</v>
      </c>
      <c r="T1713" t="str">
        <f>IF(Table1[[#This Row],[Price2]]&lt;500000,"Affordable",IF(Table1[[#This Row],[Price2]]&lt;1000000,"Mid range","Luxury"))</f>
        <v>Mid range</v>
      </c>
    </row>
    <row r="1714" spans="1:20" x14ac:dyDescent="0.35">
      <c r="A1714" s="3">
        <v>910254</v>
      </c>
      <c r="B1714" s="2" t="s">
        <v>17</v>
      </c>
      <c r="C1714">
        <v>96969</v>
      </c>
      <c r="D1714" s="2" t="s">
        <v>35</v>
      </c>
      <c r="E1714">
        <v>1</v>
      </c>
      <c r="F1714">
        <v>4</v>
      </c>
      <c r="G1714" s="4">
        <f>VALUE(SUBSTITUTE(SUBSTITUTE(Table1[[#This Row],[Price]],"$",""),",",""))</f>
        <v>910254</v>
      </c>
      <c r="H1714" s="1">
        <f>Table1[[#This Row],[Price2]]/Table1[[#This Row],[Area]]</f>
        <v>535.12874779541448</v>
      </c>
      <c r="I1714">
        <v>1701</v>
      </c>
      <c r="J1714">
        <v>1955</v>
      </c>
      <c r="K1714">
        <v>6</v>
      </c>
      <c r="L1714" t="s">
        <v>52</v>
      </c>
      <c r="M1714" t="s">
        <v>2509</v>
      </c>
      <c r="N1714" s="2" t="s">
        <v>3027</v>
      </c>
      <c r="O1714" t="s">
        <v>3028</v>
      </c>
      <c r="P1714" t="s">
        <v>26</v>
      </c>
      <c r="Q1714">
        <v>535.12874779541448</v>
      </c>
      <c r="R1714">
        <f ca="1">YEAR(TODAY())-Table1[[#This Row],[Year Built]]</f>
        <v>71</v>
      </c>
      <c r="S1714" t="str">
        <f>IF(Table1[[#This Row],[Days on Market]] &lt; 30,"Fast",IF(Table1[[#This Row],[Days on Market]]&lt;= 90,"Average", "Slow"))</f>
        <v>Fast</v>
      </c>
      <c r="T1714" t="str">
        <f>IF(Table1[[#This Row],[Price2]]&lt;500000,"Affordable",IF(Table1[[#This Row],[Price2]]&lt;1000000,"Mid range","Luxury"))</f>
        <v>Mid range</v>
      </c>
    </row>
    <row r="1715" spans="1:20" x14ac:dyDescent="0.35">
      <c r="A1715" s="3">
        <v>910408</v>
      </c>
      <c r="B1715" s="2" t="s">
        <v>22</v>
      </c>
      <c r="C1715">
        <v>19709</v>
      </c>
      <c r="D1715" s="2" t="s">
        <v>13</v>
      </c>
      <c r="E1715">
        <v>3</v>
      </c>
      <c r="F1715">
        <v>2</v>
      </c>
      <c r="G1715" s="4">
        <f>VALUE(SUBSTITUTE(SUBSTITUTE(Table1[[#This Row],[Price]],"$",""),",",""))</f>
        <v>910408</v>
      </c>
      <c r="H1715" s="1">
        <f>Table1[[#This Row],[Price2]]/Table1[[#This Row],[Area]]</f>
        <v>642.03667136812408</v>
      </c>
      <c r="I1715">
        <v>1418</v>
      </c>
      <c r="J1715">
        <v>2021</v>
      </c>
      <c r="K1715">
        <v>69</v>
      </c>
      <c r="L1715" t="s">
        <v>40</v>
      </c>
      <c r="M1715" t="s">
        <v>691</v>
      </c>
      <c r="N1715" s="2" t="s">
        <v>3029</v>
      </c>
      <c r="O1715" t="s">
        <v>3030</v>
      </c>
      <c r="P1715" t="s">
        <v>21</v>
      </c>
      <c r="Q1715">
        <v>642.03667136812408</v>
      </c>
      <c r="R1715">
        <f ca="1">YEAR(TODAY())-Table1[[#This Row],[Year Built]]</f>
        <v>5</v>
      </c>
      <c r="S1715" t="str">
        <f>IF(Table1[[#This Row],[Days on Market]] &lt; 30,"Fast",IF(Table1[[#This Row],[Days on Market]]&lt;= 90,"Average", "Slow"))</f>
        <v>Average</v>
      </c>
      <c r="T1715" t="str">
        <f>IF(Table1[[#This Row],[Price2]]&lt;500000,"Affordable",IF(Table1[[#This Row],[Price2]]&lt;1000000,"Mid range","Luxury"))</f>
        <v>Mid range</v>
      </c>
    </row>
    <row r="1716" spans="1:20" x14ac:dyDescent="0.35">
      <c r="A1716" s="3">
        <v>910544</v>
      </c>
      <c r="B1716" s="2" t="s">
        <v>27</v>
      </c>
      <c r="C1716">
        <v>47278</v>
      </c>
      <c r="D1716" s="2" t="s">
        <v>35</v>
      </c>
      <c r="E1716">
        <v>1</v>
      </c>
      <c r="F1716">
        <v>4</v>
      </c>
      <c r="G1716" s="4">
        <f>VALUE(SUBSTITUTE(SUBSTITUTE(Table1[[#This Row],[Price]],"$",""),",",""))</f>
        <v>910544</v>
      </c>
      <c r="H1716" s="1">
        <f>Table1[[#This Row],[Price2]]/Table1[[#This Row],[Area]]</f>
        <v>258.5303804656445</v>
      </c>
      <c r="I1716">
        <v>3522</v>
      </c>
      <c r="J1716">
        <v>2011</v>
      </c>
      <c r="K1716">
        <v>45</v>
      </c>
      <c r="L1716" t="s">
        <v>19</v>
      </c>
      <c r="M1716" t="s">
        <v>2436</v>
      </c>
      <c r="N1716" s="2" t="s">
        <v>3035</v>
      </c>
      <c r="O1716" t="s">
        <v>3036</v>
      </c>
      <c r="P1716" t="s">
        <v>21</v>
      </c>
      <c r="Q1716">
        <v>258.5303804656445</v>
      </c>
      <c r="R1716">
        <f ca="1">YEAR(TODAY())-Table1[[#This Row],[Year Built]]</f>
        <v>15</v>
      </c>
      <c r="S1716" t="str">
        <f>IF(Table1[[#This Row],[Days on Market]] &lt; 30,"Fast",IF(Table1[[#This Row],[Days on Market]]&lt;= 90,"Average", "Slow"))</f>
        <v>Average</v>
      </c>
      <c r="T1716" t="str">
        <f>IF(Table1[[#This Row],[Price2]]&lt;500000,"Affordable",IF(Table1[[#This Row],[Price2]]&lt;1000000,"Mid range","Luxury"))</f>
        <v>Mid range</v>
      </c>
    </row>
    <row r="1717" spans="1:20" x14ac:dyDescent="0.35">
      <c r="A1717" s="3">
        <v>911278</v>
      </c>
      <c r="B1717" s="2" t="s">
        <v>22</v>
      </c>
      <c r="C1717">
        <v>26360</v>
      </c>
      <c r="D1717" s="2" t="s">
        <v>23</v>
      </c>
      <c r="E1717">
        <v>6</v>
      </c>
      <c r="F1717">
        <v>1</v>
      </c>
      <c r="G1717" s="4">
        <f>VALUE(SUBSTITUTE(SUBSTITUTE(Table1[[#This Row],[Price]],"$",""),",",""))</f>
        <v>911278</v>
      </c>
      <c r="H1717" s="1">
        <f>Table1[[#This Row],[Price2]]/Table1[[#This Row],[Area]]</f>
        <v>233.18270214943706</v>
      </c>
      <c r="I1717">
        <v>3908</v>
      </c>
      <c r="J1717">
        <v>2013</v>
      </c>
      <c r="K1717">
        <v>3</v>
      </c>
      <c r="L1717" t="s">
        <v>40</v>
      </c>
      <c r="M1717" t="s">
        <v>934</v>
      </c>
      <c r="N1717" s="2" t="s">
        <v>3035</v>
      </c>
      <c r="O1717" t="s">
        <v>3036</v>
      </c>
      <c r="P1717" t="s">
        <v>16</v>
      </c>
      <c r="Q1717">
        <v>233.18270214943706</v>
      </c>
      <c r="R1717">
        <f ca="1">YEAR(TODAY())-Table1[[#This Row],[Year Built]]</f>
        <v>13</v>
      </c>
      <c r="S1717" t="str">
        <f>IF(Table1[[#This Row],[Days on Market]] &lt; 30,"Fast",IF(Table1[[#This Row],[Days on Market]]&lt;= 90,"Average", "Slow"))</f>
        <v>Fast</v>
      </c>
      <c r="T1717" t="str">
        <f>IF(Table1[[#This Row],[Price2]]&lt;500000,"Affordable",IF(Table1[[#This Row],[Price2]]&lt;1000000,"Mid range","Luxury"))</f>
        <v>Mid range</v>
      </c>
    </row>
    <row r="1718" spans="1:20" x14ac:dyDescent="0.35">
      <c r="A1718" s="3">
        <v>911317</v>
      </c>
      <c r="B1718" s="2" t="s">
        <v>27</v>
      </c>
      <c r="C1718">
        <v>25618</v>
      </c>
      <c r="D1718" s="2" t="s">
        <v>29</v>
      </c>
      <c r="E1718">
        <v>3</v>
      </c>
      <c r="F1718">
        <v>2</v>
      </c>
      <c r="G1718" s="4">
        <f>VALUE(SUBSTITUTE(SUBSTITUTE(Table1[[#This Row],[Price]],"$",""),",",""))</f>
        <v>911317</v>
      </c>
      <c r="H1718" s="1">
        <f>Table1[[#This Row],[Price2]]/Table1[[#This Row],[Area]]</f>
        <v>1003.6530837004406</v>
      </c>
      <c r="I1718">
        <v>908</v>
      </c>
      <c r="J1718">
        <v>1963</v>
      </c>
      <c r="K1718">
        <v>42</v>
      </c>
      <c r="L1718" t="s">
        <v>19</v>
      </c>
      <c r="M1718" t="s">
        <v>58</v>
      </c>
      <c r="N1718" s="2" t="s">
        <v>3029</v>
      </c>
      <c r="O1718" t="s">
        <v>3030</v>
      </c>
      <c r="P1718" t="s">
        <v>21</v>
      </c>
      <c r="Q1718">
        <v>1003.6530837004406</v>
      </c>
      <c r="R1718">
        <f ca="1">YEAR(TODAY())-Table1[[#This Row],[Year Built]]</f>
        <v>63</v>
      </c>
      <c r="S1718" t="str">
        <f>IF(Table1[[#This Row],[Days on Market]] &lt; 30,"Fast",IF(Table1[[#This Row],[Days on Market]]&lt;= 90,"Average", "Slow"))</f>
        <v>Average</v>
      </c>
      <c r="T1718" t="str">
        <f>IF(Table1[[#This Row],[Price2]]&lt;500000,"Affordable",IF(Table1[[#This Row],[Price2]]&lt;1000000,"Mid range","Luxury"))</f>
        <v>Mid range</v>
      </c>
    </row>
    <row r="1719" spans="1:20" x14ac:dyDescent="0.35">
      <c r="A1719" s="3">
        <v>911593</v>
      </c>
      <c r="B1719" s="2" t="s">
        <v>22</v>
      </c>
      <c r="C1719">
        <v>33519</v>
      </c>
      <c r="D1719" s="2" t="s">
        <v>18</v>
      </c>
      <c r="E1719">
        <v>5</v>
      </c>
      <c r="F1719">
        <v>2</v>
      </c>
      <c r="G1719" s="4">
        <f>VALUE(SUBSTITUTE(SUBSTITUTE(Table1[[#This Row],[Price]],"$",""),",",""))</f>
        <v>911593</v>
      </c>
      <c r="H1719" s="1">
        <f>Table1[[#This Row],[Price2]]/Table1[[#This Row],[Area]]</f>
        <v>456.70991983967934</v>
      </c>
      <c r="I1719">
        <v>1996</v>
      </c>
      <c r="J1719">
        <v>1986</v>
      </c>
      <c r="K1719">
        <v>60</v>
      </c>
      <c r="L1719" t="s">
        <v>30</v>
      </c>
      <c r="M1719" t="s">
        <v>1767</v>
      </c>
      <c r="N1719" s="2" t="s">
        <v>3033</v>
      </c>
      <c r="O1719" t="s">
        <v>3034</v>
      </c>
      <c r="P1719" t="s">
        <v>16</v>
      </c>
      <c r="Q1719">
        <v>456.70991983967934</v>
      </c>
      <c r="R1719">
        <f ca="1">YEAR(TODAY())-Table1[[#This Row],[Year Built]]</f>
        <v>40</v>
      </c>
      <c r="S1719" t="str">
        <f>IF(Table1[[#This Row],[Days on Market]] &lt; 30,"Fast",IF(Table1[[#This Row],[Days on Market]]&lt;= 90,"Average", "Slow"))</f>
        <v>Average</v>
      </c>
      <c r="T1719" t="str">
        <f>IF(Table1[[#This Row],[Price2]]&lt;500000,"Affordable",IF(Table1[[#This Row],[Price2]]&lt;1000000,"Mid range","Luxury"))</f>
        <v>Mid range</v>
      </c>
    </row>
    <row r="1720" spans="1:20" x14ac:dyDescent="0.35">
      <c r="A1720" s="3">
        <v>911746</v>
      </c>
      <c r="B1720" s="2" t="s">
        <v>34</v>
      </c>
      <c r="C1720">
        <v>85654</v>
      </c>
      <c r="D1720" s="2" t="s">
        <v>18</v>
      </c>
      <c r="E1720">
        <v>3</v>
      </c>
      <c r="F1720">
        <v>4</v>
      </c>
      <c r="G1720" s="4">
        <f>VALUE(SUBSTITUTE(SUBSTITUTE(Table1[[#This Row],[Price]],"$",""),",",""))</f>
        <v>911746</v>
      </c>
      <c r="H1720" s="1">
        <f>Table1[[#This Row],[Price2]]/Table1[[#This Row],[Area]]</f>
        <v>1118.7067484662577</v>
      </c>
      <c r="I1720">
        <v>815</v>
      </c>
      <c r="J1720">
        <v>2017</v>
      </c>
      <c r="K1720">
        <v>39</v>
      </c>
      <c r="L1720" t="s">
        <v>19</v>
      </c>
      <c r="M1720" t="s">
        <v>1908</v>
      </c>
      <c r="N1720" s="2" t="s">
        <v>3035</v>
      </c>
      <c r="O1720" t="s">
        <v>3036</v>
      </c>
      <c r="P1720" t="s">
        <v>21</v>
      </c>
      <c r="Q1720">
        <v>1118.7067484662577</v>
      </c>
      <c r="R1720">
        <f ca="1">YEAR(TODAY())-Table1[[#This Row],[Year Built]]</f>
        <v>9</v>
      </c>
      <c r="S1720" t="str">
        <f>IF(Table1[[#This Row],[Days on Market]] &lt; 30,"Fast",IF(Table1[[#This Row],[Days on Market]]&lt;= 90,"Average", "Slow"))</f>
        <v>Average</v>
      </c>
      <c r="T1720" t="str">
        <f>IF(Table1[[#This Row],[Price2]]&lt;500000,"Affordable",IF(Table1[[#This Row],[Price2]]&lt;1000000,"Mid range","Luxury"))</f>
        <v>Mid range</v>
      </c>
    </row>
    <row r="1721" spans="1:20" x14ac:dyDescent="0.35">
      <c r="A1721" s="3">
        <v>911772</v>
      </c>
      <c r="B1721" s="2" t="s">
        <v>22</v>
      </c>
      <c r="C1721">
        <v>72473</v>
      </c>
      <c r="D1721" s="2" t="s">
        <v>13</v>
      </c>
      <c r="E1721">
        <v>3</v>
      </c>
      <c r="F1721">
        <v>1</v>
      </c>
      <c r="G1721" s="4">
        <f>VALUE(SUBSTITUTE(SUBSTITUTE(Table1[[#This Row],[Price]],"$",""),",",""))</f>
        <v>911772</v>
      </c>
      <c r="H1721" s="1">
        <f>Table1[[#This Row],[Price2]]/Table1[[#This Row],[Area]]</f>
        <v>239.24744161637366</v>
      </c>
      <c r="I1721">
        <v>3811</v>
      </c>
      <c r="J1721">
        <v>1981</v>
      </c>
      <c r="K1721">
        <v>84</v>
      </c>
      <c r="L1721" t="s">
        <v>30</v>
      </c>
      <c r="M1721" t="s">
        <v>1129</v>
      </c>
      <c r="N1721" s="2" t="s">
        <v>3029</v>
      </c>
      <c r="O1721" t="s">
        <v>3030</v>
      </c>
      <c r="P1721" t="s">
        <v>21</v>
      </c>
      <c r="Q1721">
        <v>239.24744161637366</v>
      </c>
      <c r="R1721">
        <f ca="1">YEAR(TODAY())-Table1[[#This Row],[Year Built]]</f>
        <v>45</v>
      </c>
      <c r="S1721" t="str">
        <f>IF(Table1[[#This Row],[Days on Market]] &lt; 30,"Fast",IF(Table1[[#This Row],[Days on Market]]&lt;= 90,"Average", "Slow"))</f>
        <v>Average</v>
      </c>
      <c r="T1721" t="str">
        <f>IF(Table1[[#This Row],[Price2]]&lt;500000,"Affordable",IF(Table1[[#This Row],[Price2]]&lt;1000000,"Mid range","Luxury"))</f>
        <v>Mid range</v>
      </c>
    </row>
    <row r="1722" spans="1:20" x14ac:dyDescent="0.35">
      <c r="A1722" s="3">
        <v>911898</v>
      </c>
      <c r="B1722" s="2" t="s">
        <v>12</v>
      </c>
      <c r="C1722">
        <v>62559</v>
      </c>
      <c r="D1722" s="2" t="s">
        <v>35</v>
      </c>
      <c r="E1722">
        <v>2</v>
      </c>
      <c r="F1722">
        <v>3</v>
      </c>
      <c r="G1722" s="4">
        <f>VALUE(SUBSTITUTE(SUBSTITUTE(Table1[[#This Row],[Price]],"$",""),",",""))</f>
        <v>911898</v>
      </c>
      <c r="H1722" s="1">
        <f>Table1[[#This Row],[Price2]]/Table1[[#This Row],[Area]]</f>
        <v>991.1934782608696</v>
      </c>
      <c r="I1722">
        <v>920</v>
      </c>
      <c r="J1722">
        <v>1989</v>
      </c>
      <c r="K1722">
        <v>12</v>
      </c>
      <c r="L1722" t="s">
        <v>30</v>
      </c>
      <c r="M1722" t="s">
        <v>2171</v>
      </c>
      <c r="N1722" s="2" t="s">
        <v>3027</v>
      </c>
      <c r="O1722" t="s">
        <v>3028</v>
      </c>
      <c r="P1722" t="s">
        <v>16</v>
      </c>
      <c r="Q1722">
        <v>991.1934782608696</v>
      </c>
      <c r="R1722">
        <f ca="1">YEAR(TODAY())-Table1[[#This Row],[Year Built]]</f>
        <v>37</v>
      </c>
      <c r="S1722" t="str">
        <f>IF(Table1[[#This Row],[Days on Market]] &lt; 30,"Fast",IF(Table1[[#This Row],[Days on Market]]&lt;= 90,"Average", "Slow"))</f>
        <v>Fast</v>
      </c>
      <c r="T1722" t="str">
        <f>IF(Table1[[#This Row],[Price2]]&lt;500000,"Affordable",IF(Table1[[#This Row],[Price2]]&lt;1000000,"Mid range","Luxury"))</f>
        <v>Mid range</v>
      </c>
    </row>
    <row r="1723" spans="1:20" x14ac:dyDescent="0.35">
      <c r="A1723" s="3">
        <v>912491</v>
      </c>
      <c r="B1723" s="2" t="s">
        <v>17</v>
      </c>
      <c r="C1723">
        <v>76828</v>
      </c>
      <c r="D1723" s="2" t="s">
        <v>29</v>
      </c>
      <c r="E1723">
        <v>3</v>
      </c>
      <c r="F1723">
        <v>3</v>
      </c>
      <c r="G1723" s="4">
        <f>VALUE(SUBSTITUTE(SUBSTITUTE(Table1[[#This Row],[Price]],"$",""),",",""))</f>
        <v>912491</v>
      </c>
      <c r="H1723" s="1">
        <f>Table1[[#This Row],[Price2]]/Table1[[#This Row],[Area]]</f>
        <v>387.79898002549936</v>
      </c>
      <c r="I1723">
        <v>2353</v>
      </c>
      <c r="J1723">
        <v>1967</v>
      </c>
      <c r="K1723">
        <v>54</v>
      </c>
      <c r="L1723" t="s">
        <v>19</v>
      </c>
      <c r="M1723" t="s">
        <v>2387</v>
      </c>
      <c r="N1723" s="2" t="s">
        <v>3031</v>
      </c>
      <c r="O1723" t="s">
        <v>3032</v>
      </c>
      <c r="P1723" t="s">
        <v>21</v>
      </c>
      <c r="Q1723">
        <v>387.79898002549936</v>
      </c>
      <c r="R1723">
        <f ca="1">YEAR(TODAY())-Table1[[#This Row],[Year Built]]</f>
        <v>59</v>
      </c>
      <c r="S1723" t="str">
        <f>IF(Table1[[#This Row],[Days on Market]] &lt; 30,"Fast",IF(Table1[[#This Row],[Days on Market]]&lt;= 90,"Average", "Slow"))</f>
        <v>Average</v>
      </c>
      <c r="T1723" t="str">
        <f>IF(Table1[[#This Row],[Price2]]&lt;500000,"Affordable",IF(Table1[[#This Row],[Price2]]&lt;1000000,"Mid range","Luxury"))</f>
        <v>Mid range</v>
      </c>
    </row>
    <row r="1724" spans="1:20" x14ac:dyDescent="0.35">
      <c r="A1724" s="3">
        <v>912802</v>
      </c>
      <c r="B1724" s="2" t="s">
        <v>12</v>
      </c>
      <c r="C1724">
        <v>33055</v>
      </c>
      <c r="D1724" s="2" t="s">
        <v>35</v>
      </c>
      <c r="E1724">
        <v>4</v>
      </c>
      <c r="F1724">
        <v>2</v>
      </c>
      <c r="G1724" s="4">
        <f>VALUE(SUBSTITUTE(SUBSTITUTE(Table1[[#This Row],[Price]],"$",""),",",""))</f>
        <v>912802</v>
      </c>
      <c r="H1724" s="1">
        <f>Table1[[#This Row],[Price2]]/Table1[[#This Row],[Area]]</f>
        <v>298.10646636185498</v>
      </c>
      <c r="I1724">
        <v>3062</v>
      </c>
      <c r="J1724">
        <v>2022</v>
      </c>
      <c r="K1724">
        <v>53</v>
      </c>
      <c r="L1724" t="s">
        <v>30</v>
      </c>
      <c r="M1724" t="s">
        <v>1109</v>
      </c>
      <c r="N1724" s="2" t="s">
        <v>3033</v>
      </c>
      <c r="O1724" t="s">
        <v>3034</v>
      </c>
      <c r="P1724" t="s">
        <v>26</v>
      </c>
      <c r="Q1724">
        <v>298.10646636185498</v>
      </c>
      <c r="R1724">
        <f ca="1">YEAR(TODAY())-Table1[[#This Row],[Year Built]]</f>
        <v>4</v>
      </c>
      <c r="S1724" t="str">
        <f>IF(Table1[[#This Row],[Days on Market]] &lt; 30,"Fast",IF(Table1[[#This Row],[Days on Market]]&lt;= 90,"Average", "Slow"))</f>
        <v>Average</v>
      </c>
      <c r="T1724" t="str">
        <f>IF(Table1[[#This Row],[Price2]]&lt;500000,"Affordable",IF(Table1[[#This Row],[Price2]]&lt;1000000,"Mid range","Luxury"))</f>
        <v>Mid range</v>
      </c>
    </row>
    <row r="1725" spans="1:20" x14ac:dyDescent="0.35">
      <c r="A1725" s="3">
        <v>913054</v>
      </c>
      <c r="B1725" s="2" t="s">
        <v>34</v>
      </c>
      <c r="C1725">
        <v>99109</v>
      </c>
      <c r="D1725" s="2" t="s">
        <v>23</v>
      </c>
      <c r="E1725">
        <v>1</v>
      </c>
      <c r="F1725">
        <v>1</v>
      </c>
      <c r="G1725" s="4">
        <f>VALUE(SUBSTITUTE(SUBSTITUTE(Table1[[#This Row],[Price]],"$",""),",",""))</f>
        <v>913054</v>
      </c>
      <c r="H1725" s="1">
        <f>Table1[[#This Row],[Price2]]/Table1[[#This Row],[Area]]</f>
        <v>631.87128027681661</v>
      </c>
      <c r="I1725">
        <v>1445</v>
      </c>
      <c r="J1725">
        <v>1972</v>
      </c>
      <c r="K1725">
        <v>62</v>
      </c>
      <c r="L1725" t="s">
        <v>30</v>
      </c>
      <c r="M1725" t="s">
        <v>2571</v>
      </c>
      <c r="N1725" s="2" t="s">
        <v>3027</v>
      </c>
      <c r="O1725" t="s">
        <v>3028</v>
      </c>
      <c r="P1725" t="s">
        <v>21</v>
      </c>
      <c r="Q1725">
        <v>631.87128027681661</v>
      </c>
      <c r="R1725">
        <f ca="1">YEAR(TODAY())-Table1[[#This Row],[Year Built]]</f>
        <v>54</v>
      </c>
      <c r="S1725" t="str">
        <f>IF(Table1[[#This Row],[Days on Market]] &lt; 30,"Fast",IF(Table1[[#This Row],[Days on Market]]&lt;= 90,"Average", "Slow"))</f>
        <v>Average</v>
      </c>
      <c r="T1725" t="str">
        <f>IF(Table1[[#This Row],[Price2]]&lt;500000,"Affordable",IF(Table1[[#This Row],[Price2]]&lt;1000000,"Mid range","Luxury"))</f>
        <v>Mid range</v>
      </c>
    </row>
    <row r="1726" spans="1:20" x14ac:dyDescent="0.35">
      <c r="A1726" s="3">
        <v>913221</v>
      </c>
      <c r="B1726" s="2" t="s">
        <v>27</v>
      </c>
      <c r="C1726">
        <v>29033</v>
      </c>
      <c r="D1726" s="2" t="s">
        <v>13</v>
      </c>
      <c r="E1726">
        <v>5</v>
      </c>
      <c r="F1726">
        <v>1</v>
      </c>
      <c r="G1726" s="4">
        <f>VALUE(SUBSTITUTE(SUBSTITUTE(Table1[[#This Row],[Price]],"$",""),",",""))</f>
        <v>913221</v>
      </c>
      <c r="H1726" s="1">
        <f>Table1[[#This Row],[Price2]]/Table1[[#This Row],[Area]]</f>
        <v>368.2342741935484</v>
      </c>
      <c r="I1726">
        <v>2480</v>
      </c>
      <c r="J1726">
        <v>1956</v>
      </c>
      <c r="K1726">
        <v>13</v>
      </c>
      <c r="L1726" t="s">
        <v>40</v>
      </c>
      <c r="M1726" t="s">
        <v>2024</v>
      </c>
      <c r="N1726" s="2" t="s">
        <v>3033</v>
      </c>
      <c r="O1726" t="s">
        <v>3034</v>
      </c>
      <c r="P1726" t="s">
        <v>26</v>
      </c>
      <c r="Q1726">
        <v>368.2342741935484</v>
      </c>
      <c r="R1726">
        <f ca="1">YEAR(TODAY())-Table1[[#This Row],[Year Built]]</f>
        <v>70</v>
      </c>
      <c r="S1726" t="str">
        <f>IF(Table1[[#This Row],[Days on Market]] &lt; 30,"Fast",IF(Table1[[#This Row],[Days on Market]]&lt;= 90,"Average", "Slow"))</f>
        <v>Fast</v>
      </c>
      <c r="T1726" t="str">
        <f>IF(Table1[[#This Row],[Price2]]&lt;500000,"Affordable",IF(Table1[[#This Row],[Price2]]&lt;1000000,"Mid range","Luxury"))</f>
        <v>Mid range</v>
      </c>
    </row>
    <row r="1727" spans="1:20" x14ac:dyDescent="0.35">
      <c r="A1727" s="3">
        <v>913878</v>
      </c>
      <c r="B1727" s="2" t="s">
        <v>22</v>
      </c>
      <c r="C1727">
        <v>29610</v>
      </c>
      <c r="D1727" s="2" t="s">
        <v>35</v>
      </c>
      <c r="E1727">
        <v>2</v>
      </c>
      <c r="F1727">
        <v>1</v>
      </c>
      <c r="G1727" s="4">
        <f>VALUE(SUBSTITUTE(SUBSTITUTE(Table1[[#This Row],[Price]],"$",""),",",""))</f>
        <v>913878</v>
      </c>
      <c r="H1727" s="1">
        <f>Table1[[#This Row],[Price2]]/Table1[[#This Row],[Area]]</f>
        <v>277.94343065693431</v>
      </c>
      <c r="I1727">
        <v>3288</v>
      </c>
      <c r="J1727">
        <v>1984</v>
      </c>
      <c r="K1727">
        <v>38</v>
      </c>
      <c r="L1727" t="s">
        <v>30</v>
      </c>
      <c r="M1727" t="s">
        <v>255</v>
      </c>
      <c r="N1727" s="2" t="s">
        <v>3027</v>
      </c>
      <c r="O1727" t="s">
        <v>3028</v>
      </c>
      <c r="P1727" t="s">
        <v>21</v>
      </c>
      <c r="Q1727">
        <v>277.94343065693431</v>
      </c>
      <c r="R1727">
        <f ca="1">YEAR(TODAY())-Table1[[#This Row],[Year Built]]</f>
        <v>42</v>
      </c>
      <c r="S1727" t="str">
        <f>IF(Table1[[#This Row],[Days on Market]] &lt; 30,"Fast",IF(Table1[[#This Row],[Days on Market]]&lt;= 90,"Average", "Slow"))</f>
        <v>Average</v>
      </c>
      <c r="T1727" t="str">
        <f>IF(Table1[[#This Row],[Price2]]&lt;500000,"Affordable",IF(Table1[[#This Row],[Price2]]&lt;1000000,"Mid range","Luxury"))</f>
        <v>Mid range</v>
      </c>
    </row>
    <row r="1728" spans="1:20" x14ac:dyDescent="0.35">
      <c r="A1728" s="3">
        <v>914722</v>
      </c>
      <c r="B1728" s="2" t="s">
        <v>27</v>
      </c>
      <c r="C1728">
        <v>76331</v>
      </c>
      <c r="D1728" s="2" t="s">
        <v>13</v>
      </c>
      <c r="E1728">
        <v>5</v>
      </c>
      <c r="F1728">
        <v>4</v>
      </c>
      <c r="G1728" s="4">
        <f>VALUE(SUBSTITUTE(SUBSTITUTE(Table1[[#This Row],[Price]],"$",""),",",""))</f>
        <v>914722</v>
      </c>
      <c r="H1728" s="1">
        <f>Table1[[#This Row],[Price2]]/Table1[[#This Row],[Area]]</f>
        <v>337.90986331732546</v>
      </c>
      <c r="I1728">
        <v>2707</v>
      </c>
      <c r="J1728">
        <v>1953</v>
      </c>
      <c r="K1728">
        <v>85</v>
      </c>
      <c r="L1728" t="s">
        <v>52</v>
      </c>
      <c r="M1728" t="s">
        <v>412</v>
      </c>
      <c r="N1728" s="2" t="s">
        <v>3029</v>
      </c>
      <c r="O1728" t="s">
        <v>3030</v>
      </c>
      <c r="P1728" t="s">
        <v>26</v>
      </c>
      <c r="Q1728">
        <v>337.90986331732546</v>
      </c>
      <c r="R1728">
        <f ca="1">YEAR(TODAY())-Table1[[#This Row],[Year Built]]</f>
        <v>73</v>
      </c>
      <c r="S1728" t="str">
        <f>IF(Table1[[#This Row],[Days on Market]] &lt; 30,"Fast",IF(Table1[[#This Row],[Days on Market]]&lt;= 90,"Average", "Slow"))</f>
        <v>Average</v>
      </c>
      <c r="T1728" t="str">
        <f>IF(Table1[[#This Row],[Price2]]&lt;500000,"Affordable",IF(Table1[[#This Row],[Price2]]&lt;1000000,"Mid range","Luxury"))</f>
        <v>Mid range</v>
      </c>
    </row>
    <row r="1729" spans="1:20" x14ac:dyDescent="0.35">
      <c r="A1729" s="3">
        <v>914842</v>
      </c>
      <c r="B1729" s="2" t="s">
        <v>17</v>
      </c>
      <c r="C1729">
        <v>59956</v>
      </c>
      <c r="D1729" s="2" t="s">
        <v>35</v>
      </c>
      <c r="E1729">
        <v>1</v>
      </c>
      <c r="F1729">
        <v>1</v>
      </c>
      <c r="G1729" s="4">
        <f>VALUE(SUBSTITUTE(SUBSTITUTE(Table1[[#This Row],[Price]],"$",""),",",""))</f>
        <v>914842</v>
      </c>
      <c r="H1729" s="1">
        <f>Table1[[#This Row],[Price2]]/Table1[[#This Row],[Area]]</f>
        <v>541.32662721893496</v>
      </c>
      <c r="I1729">
        <v>1690</v>
      </c>
      <c r="J1729">
        <v>1995</v>
      </c>
      <c r="K1729">
        <v>42</v>
      </c>
      <c r="L1729" t="s">
        <v>14</v>
      </c>
      <c r="M1729" t="s">
        <v>1338</v>
      </c>
      <c r="N1729" s="2" t="s">
        <v>3033</v>
      </c>
      <c r="O1729" t="s">
        <v>3034</v>
      </c>
      <c r="P1729" t="s">
        <v>16</v>
      </c>
      <c r="Q1729">
        <v>541.32662721893496</v>
      </c>
      <c r="R1729">
        <f ca="1">YEAR(TODAY())-Table1[[#This Row],[Year Built]]</f>
        <v>31</v>
      </c>
      <c r="S1729" t="str">
        <f>IF(Table1[[#This Row],[Days on Market]] &lt; 30,"Fast",IF(Table1[[#This Row],[Days on Market]]&lt;= 90,"Average", "Slow"))</f>
        <v>Average</v>
      </c>
      <c r="T1729" t="str">
        <f>IF(Table1[[#This Row],[Price2]]&lt;500000,"Affordable",IF(Table1[[#This Row],[Price2]]&lt;1000000,"Mid range","Luxury"))</f>
        <v>Mid range</v>
      </c>
    </row>
    <row r="1730" spans="1:20" x14ac:dyDescent="0.35">
      <c r="A1730" s="3">
        <v>915201</v>
      </c>
      <c r="B1730" s="2" t="s">
        <v>34</v>
      </c>
      <c r="C1730">
        <v>60231</v>
      </c>
      <c r="D1730" s="2" t="s">
        <v>35</v>
      </c>
      <c r="E1730">
        <v>4</v>
      </c>
      <c r="F1730">
        <v>1</v>
      </c>
      <c r="G1730" s="4">
        <f>VALUE(SUBSTITUTE(SUBSTITUTE(Table1[[#This Row],[Price]],"$",""),",",""))</f>
        <v>915201</v>
      </c>
      <c r="H1730" s="1">
        <f>Table1[[#This Row],[Price2]]/Table1[[#This Row],[Area]]</f>
        <v>235.51235203293876</v>
      </c>
      <c r="I1730">
        <v>3886</v>
      </c>
      <c r="J1730">
        <v>1996</v>
      </c>
      <c r="K1730">
        <v>9</v>
      </c>
      <c r="L1730" t="s">
        <v>19</v>
      </c>
      <c r="M1730" t="s">
        <v>1683</v>
      </c>
      <c r="N1730" s="2" t="s">
        <v>3027</v>
      </c>
      <c r="O1730" t="s">
        <v>3028</v>
      </c>
      <c r="P1730" t="s">
        <v>16</v>
      </c>
      <c r="Q1730">
        <v>235.51235203293876</v>
      </c>
      <c r="R1730">
        <f ca="1">YEAR(TODAY())-Table1[[#This Row],[Year Built]]</f>
        <v>30</v>
      </c>
      <c r="S1730" t="str">
        <f>IF(Table1[[#This Row],[Days on Market]] &lt; 30,"Fast",IF(Table1[[#This Row],[Days on Market]]&lt;= 90,"Average", "Slow"))</f>
        <v>Fast</v>
      </c>
      <c r="T1730" t="str">
        <f>IF(Table1[[#This Row],[Price2]]&lt;500000,"Affordable",IF(Table1[[#This Row],[Price2]]&lt;1000000,"Mid range","Luxury"))</f>
        <v>Mid range</v>
      </c>
    </row>
    <row r="1731" spans="1:20" x14ac:dyDescent="0.35">
      <c r="A1731" s="3">
        <v>915237</v>
      </c>
      <c r="B1731" s="2" t="s">
        <v>22</v>
      </c>
      <c r="C1731">
        <v>35214</v>
      </c>
      <c r="D1731" s="2" t="s">
        <v>13</v>
      </c>
      <c r="E1731">
        <v>2</v>
      </c>
      <c r="F1731">
        <v>4</v>
      </c>
      <c r="G1731" s="4">
        <f>VALUE(SUBSTITUTE(SUBSTITUTE(Table1[[#This Row],[Price]],"$",""),",",""))</f>
        <v>915237</v>
      </c>
      <c r="H1731" s="1">
        <f>Table1[[#This Row],[Price2]]/Table1[[#This Row],[Area]]</f>
        <v>370.69137302551638</v>
      </c>
      <c r="I1731">
        <v>2469</v>
      </c>
      <c r="J1731">
        <v>2007</v>
      </c>
      <c r="K1731">
        <v>7</v>
      </c>
      <c r="L1731" t="s">
        <v>52</v>
      </c>
      <c r="M1731" t="s">
        <v>759</v>
      </c>
      <c r="N1731" s="2" t="s">
        <v>3031</v>
      </c>
      <c r="O1731" t="s">
        <v>3032</v>
      </c>
      <c r="P1731" t="s">
        <v>21</v>
      </c>
      <c r="Q1731">
        <v>370.69137302551638</v>
      </c>
      <c r="R1731">
        <f ca="1">YEAR(TODAY())-Table1[[#This Row],[Year Built]]</f>
        <v>19</v>
      </c>
      <c r="S1731" t="str">
        <f>IF(Table1[[#This Row],[Days on Market]] &lt; 30,"Fast",IF(Table1[[#This Row],[Days on Market]]&lt;= 90,"Average", "Slow"))</f>
        <v>Fast</v>
      </c>
      <c r="T1731" t="str">
        <f>IF(Table1[[#This Row],[Price2]]&lt;500000,"Affordable",IF(Table1[[#This Row],[Price2]]&lt;1000000,"Mid range","Luxury"))</f>
        <v>Mid range</v>
      </c>
    </row>
    <row r="1732" spans="1:20" x14ac:dyDescent="0.35">
      <c r="A1732" s="3">
        <v>915791</v>
      </c>
      <c r="B1732" s="2" t="s">
        <v>27</v>
      </c>
      <c r="C1732">
        <v>79505</v>
      </c>
      <c r="D1732" s="2" t="s">
        <v>29</v>
      </c>
      <c r="E1732">
        <v>2</v>
      </c>
      <c r="F1732">
        <v>1</v>
      </c>
      <c r="G1732" s="4">
        <f>VALUE(SUBSTITUTE(SUBSTITUTE(Table1[[#This Row],[Price]],"$",""),",",""))</f>
        <v>915791</v>
      </c>
      <c r="H1732" s="1">
        <f>Table1[[#This Row],[Price2]]/Table1[[#This Row],[Area]]</f>
        <v>437.75860420650093</v>
      </c>
      <c r="I1732">
        <v>2092</v>
      </c>
      <c r="J1732">
        <v>2023</v>
      </c>
      <c r="K1732">
        <v>37</v>
      </c>
      <c r="L1732" t="s">
        <v>30</v>
      </c>
      <c r="M1732" t="s">
        <v>1276</v>
      </c>
      <c r="N1732" s="2" t="s">
        <v>3029</v>
      </c>
      <c r="O1732" t="s">
        <v>3030</v>
      </c>
      <c r="P1732" t="s">
        <v>21</v>
      </c>
      <c r="Q1732">
        <v>437.75860420650093</v>
      </c>
      <c r="R1732">
        <f ca="1">YEAR(TODAY())-Table1[[#This Row],[Year Built]]</f>
        <v>3</v>
      </c>
      <c r="S1732" t="str">
        <f>IF(Table1[[#This Row],[Days on Market]] &lt; 30,"Fast",IF(Table1[[#This Row],[Days on Market]]&lt;= 90,"Average", "Slow"))</f>
        <v>Average</v>
      </c>
      <c r="T1732" t="str">
        <f>IF(Table1[[#This Row],[Price2]]&lt;500000,"Affordable",IF(Table1[[#This Row],[Price2]]&lt;1000000,"Mid range","Luxury"))</f>
        <v>Mid range</v>
      </c>
    </row>
    <row r="1733" spans="1:20" x14ac:dyDescent="0.35">
      <c r="A1733" s="3">
        <v>916065</v>
      </c>
      <c r="B1733" s="2" t="s">
        <v>22</v>
      </c>
      <c r="C1733">
        <v>76660</v>
      </c>
      <c r="D1733" s="2" t="s">
        <v>18</v>
      </c>
      <c r="E1733">
        <v>2</v>
      </c>
      <c r="F1733">
        <v>1</v>
      </c>
      <c r="G1733" s="4">
        <f>VALUE(SUBSTITUTE(SUBSTITUTE(Table1[[#This Row],[Price]],"$",""),",",""))</f>
        <v>916065</v>
      </c>
      <c r="H1733" s="1">
        <f>Table1[[#This Row],[Price2]]/Table1[[#This Row],[Area]]</f>
        <v>918.82146439317955</v>
      </c>
      <c r="I1733">
        <v>997</v>
      </c>
      <c r="J1733">
        <v>1988</v>
      </c>
      <c r="K1733">
        <v>24</v>
      </c>
      <c r="L1733" t="s">
        <v>30</v>
      </c>
      <c r="M1733" t="s">
        <v>2399</v>
      </c>
      <c r="N1733" s="2" t="s">
        <v>3033</v>
      </c>
      <c r="O1733" t="s">
        <v>3034</v>
      </c>
      <c r="P1733" t="s">
        <v>16</v>
      </c>
      <c r="Q1733">
        <v>918.82146439317955</v>
      </c>
      <c r="R1733">
        <f ca="1">YEAR(TODAY())-Table1[[#This Row],[Year Built]]</f>
        <v>38</v>
      </c>
      <c r="S1733" t="str">
        <f>IF(Table1[[#This Row],[Days on Market]] &lt; 30,"Fast",IF(Table1[[#This Row],[Days on Market]]&lt;= 90,"Average", "Slow"))</f>
        <v>Fast</v>
      </c>
      <c r="T1733" t="str">
        <f>IF(Table1[[#This Row],[Price2]]&lt;500000,"Affordable",IF(Table1[[#This Row],[Price2]]&lt;1000000,"Mid range","Luxury"))</f>
        <v>Mid range</v>
      </c>
    </row>
    <row r="1734" spans="1:20" x14ac:dyDescent="0.35">
      <c r="A1734" s="3">
        <v>916544</v>
      </c>
      <c r="B1734" s="2" t="s">
        <v>22</v>
      </c>
      <c r="C1734">
        <v>96591</v>
      </c>
      <c r="D1734" s="2" t="s">
        <v>18</v>
      </c>
      <c r="E1734">
        <v>5</v>
      </c>
      <c r="F1734">
        <v>4</v>
      </c>
      <c r="G1734" s="4">
        <f>VALUE(SUBSTITUTE(SUBSTITUTE(Table1[[#This Row],[Price]],"$",""),",",""))</f>
        <v>916544</v>
      </c>
      <c r="H1734" s="1">
        <f>Table1[[#This Row],[Price2]]/Table1[[#This Row],[Area]]</f>
        <v>245.13078363198716</v>
      </c>
      <c r="I1734">
        <v>3739</v>
      </c>
      <c r="J1734">
        <v>1997</v>
      </c>
      <c r="K1734">
        <v>52</v>
      </c>
      <c r="L1734" t="s">
        <v>14</v>
      </c>
      <c r="M1734" t="s">
        <v>2005</v>
      </c>
      <c r="N1734" s="2" t="s">
        <v>3031</v>
      </c>
      <c r="O1734" t="s">
        <v>3032</v>
      </c>
      <c r="P1734" t="s">
        <v>26</v>
      </c>
      <c r="Q1734">
        <v>245.13078363198716</v>
      </c>
      <c r="R1734">
        <f ca="1">YEAR(TODAY())-Table1[[#This Row],[Year Built]]</f>
        <v>29</v>
      </c>
      <c r="S1734" t="str">
        <f>IF(Table1[[#This Row],[Days on Market]] &lt; 30,"Fast",IF(Table1[[#This Row],[Days on Market]]&lt;= 90,"Average", "Slow"))</f>
        <v>Average</v>
      </c>
      <c r="T1734" t="str">
        <f>IF(Table1[[#This Row],[Price2]]&lt;500000,"Affordable",IF(Table1[[#This Row],[Price2]]&lt;1000000,"Mid range","Luxury"))</f>
        <v>Mid range</v>
      </c>
    </row>
    <row r="1735" spans="1:20" x14ac:dyDescent="0.35">
      <c r="A1735" s="3">
        <v>917243</v>
      </c>
      <c r="B1735" s="2" t="s">
        <v>34</v>
      </c>
      <c r="C1735">
        <v>52206</v>
      </c>
      <c r="D1735" s="2" t="s">
        <v>29</v>
      </c>
      <c r="E1735">
        <v>5</v>
      </c>
      <c r="F1735">
        <v>2</v>
      </c>
      <c r="G1735" s="4">
        <f>VALUE(SUBSTITUTE(SUBSTITUTE(Table1[[#This Row],[Price]],"$",""),",",""))</f>
        <v>917243</v>
      </c>
      <c r="H1735" s="1">
        <f>Table1[[#This Row],[Price2]]/Table1[[#This Row],[Area]]</f>
        <v>306.05372038705372</v>
      </c>
      <c r="I1735">
        <v>2997</v>
      </c>
      <c r="J1735">
        <v>1996</v>
      </c>
      <c r="K1735">
        <v>89</v>
      </c>
      <c r="L1735" t="s">
        <v>30</v>
      </c>
      <c r="M1735" t="s">
        <v>2075</v>
      </c>
      <c r="N1735" s="2" t="s">
        <v>3031</v>
      </c>
      <c r="O1735" t="s">
        <v>3032</v>
      </c>
      <c r="P1735" t="s">
        <v>26</v>
      </c>
      <c r="Q1735">
        <v>306.05372038705372</v>
      </c>
      <c r="R1735">
        <f ca="1">YEAR(TODAY())-Table1[[#This Row],[Year Built]]</f>
        <v>30</v>
      </c>
      <c r="S1735" t="str">
        <f>IF(Table1[[#This Row],[Days on Market]] &lt; 30,"Fast",IF(Table1[[#This Row],[Days on Market]]&lt;= 90,"Average", "Slow"))</f>
        <v>Average</v>
      </c>
      <c r="T1735" t="str">
        <f>IF(Table1[[#This Row],[Price2]]&lt;500000,"Affordable",IF(Table1[[#This Row],[Price2]]&lt;1000000,"Mid range","Luxury"))</f>
        <v>Mid range</v>
      </c>
    </row>
    <row r="1736" spans="1:20" x14ac:dyDescent="0.35">
      <c r="A1736" s="3">
        <v>917965</v>
      </c>
      <c r="B1736" s="2" t="s">
        <v>12</v>
      </c>
      <c r="C1736">
        <v>97217</v>
      </c>
      <c r="D1736" s="2" t="s">
        <v>29</v>
      </c>
      <c r="E1736">
        <v>3</v>
      </c>
      <c r="F1736">
        <v>1</v>
      </c>
      <c r="G1736" s="4">
        <f>VALUE(SUBSTITUTE(SUBSTITUTE(Table1[[#This Row],[Price]],"$",""),",",""))</f>
        <v>917965</v>
      </c>
      <c r="H1736" s="1">
        <f>Table1[[#This Row],[Price2]]/Table1[[#This Row],[Area]]</f>
        <v>342.14125978382407</v>
      </c>
      <c r="I1736">
        <v>2683</v>
      </c>
      <c r="J1736">
        <v>1983</v>
      </c>
      <c r="K1736">
        <v>59</v>
      </c>
      <c r="L1736" t="s">
        <v>14</v>
      </c>
      <c r="M1736" t="s">
        <v>394</v>
      </c>
      <c r="N1736" s="2" t="s">
        <v>3033</v>
      </c>
      <c r="O1736" t="s">
        <v>3034</v>
      </c>
      <c r="P1736" t="s">
        <v>21</v>
      </c>
      <c r="Q1736">
        <v>342.14125978382407</v>
      </c>
      <c r="R1736">
        <f ca="1">YEAR(TODAY())-Table1[[#This Row],[Year Built]]</f>
        <v>43</v>
      </c>
      <c r="S1736" t="str">
        <f>IF(Table1[[#This Row],[Days on Market]] &lt; 30,"Fast",IF(Table1[[#This Row],[Days on Market]]&lt;= 90,"Average", "Slow"))</f>
        <v>Average</v>
      </c>
      <c r="T1736" t="str">
        <f>IF(Table1[[#This Row],[Price2]]&lt;500000,"Affordable",IF(Table1[[#This Row],[Price2]]&lt;1000000,"Mid range","Luxury"))</f>
        <v>Mid range</v>
      </c>
    </row>
    <row r="1737" spans="1:20" x14ac:dyDescent="0.35">
      <c r="A1737" s="3">
        <v>918155</v>
      </c>
      <c r="B1737" s="2" t="s">
        <v>12</v>
      </c>
      <c r="C1737">
        <v>89898</v>
      </c>
      <c r="D1737" s="2" t="s">
        <v>35</v>
      </c>
      <c r="E1737">
        <v>3</v>
      </c>
      <c r="F1737">
        <v>2</v>
      </c>
      <c r="G1737" s="4">
        <f>VALUE(SUBSTITUTE(SUBSTITUTE(Table1[[#This Row],[Price]],"$",""),",",""))</f>
        <v>918155</v>
      </c>
      <c r="H1737" s="1">
        <f>Table1[[#This Row],[Price2]]/Table1[[#This Row],[Area]]</f>
        <v>271.72388280556379</v>
      </c>
      <c r="I1737">
        <v>3379</v>
      </c>
      <c r="J1737">
        <v>1992</v>
      </c>
      <c r="K1737">
        <v>102</v>
      </c>
      <c r="L1737" t="s">
        <v>52</v>
      </c>
      <c r="M1737" t="s">
        <v>2666</v>
      </c>
      <c r="N1737" s="2" t="s">
        <v>3035</v>
      </c>
      <c r="O1737" t="s">
        <v>3036</v>
      </c>
      <c r="P1737" t="s">
        <v>21</v>
      </c>
      <c r="Q1737">
        <v>271.72388280556379</v>
      </c>
      <c r="R1737">
        <f ca="1">YEAR(TODAY())-Table1[[#This Row],[Year Built]]</f>
        <v>34</v>
      </c>
      <c r="S1737" t="str">
        <f>IF(Table1[[#This Row],[Days on Market]] &lt; 30,"Fast",IF(Table1[[#This Row],[Days on Market]]&lt;= 90,"Average", "Slow"))</f>
        <v>Slow</v>
      </c>
      <c r="T1737" t="str">
        <f>IF(Table1[[#This Row],[Price2]]&lt;500000,"Affordable",IF(Table1[[#This Row],[Price2]]&lt;1000000,"Mid range","Luxury"))</f>
        <v>Mid range</v>
      </c>
    </row>
    <row r="1738" spans="1:20" x14ac:dyDescent="0.35">
      <c r="A1738" s="3">
        <v>918160</v>
      </c>
      <c r="B1738" s="2" t="s">
        <v>34</v>
      </c>
      <c r="C1738">
        <v>79190</v>
      </c>
      <c r="D1738" s="2" t="s">
        <v>23</v>
      </c>
      <c r="E1738">
        <v>3</v>
      </c>
      <c r="F1738">
        <v>1</v>
      </c>
      <c r="G1738" s="4">
        <f>VALUE(SUBSTITUTE(SUBSTITUTE(Table1[[#This Row],[Price]],"$",""),",",""))</f>
        <v>918160</v>
      </c>
      <c r="H1738" s="1">
        <f>Table1[[#This Row],[Price2]]/Table1[[#This Row],[Area]]</f>
        <v>451.4060963618486</v>
      </c>
      <c r="I1738">
        <v>2034</v>
      </c>
      <c r="J1738">
        <v>1996</v>
      </c>
      <c r="K1738">
        <v>65</v>
      </c>
      <c r="L1738" t="s">
        <v>52</v>
      </c>
      <c r="M1738" t="s">
        <v>1285</v>
      </c>
      <c r="N1738" s="2" t="s">
        <v>3035</v>
      </c>
      <c r="O1738" t="s">
        <v>3036</v>
      </c>
      <c r="P1738" t="s">
        <v>21</v>
      </c>
      <c r="Q1738">
        <v>451.4060963618486</v>
      </c>
      <c r="R1738">
        <f ca="1">YEAR(TODAY())-Table1[[#This Row],[Year Built]]</f>
        <v>30</v>
      </c>
      <c r="S1738" t="str">
        <f>IF(Table1[[#This Row],[Days on Market]] &lt; 30,"Fast",IF(Table1[[#This Row],[Days on Market]]&lt;= 90,"Average", "Slow"))</f>
        <v>Average</v>
      </c>
      <c r="T1738" t="str">
        <f>IF(Table1[[#This Row],[Price2]]&lt;500000,"Affordable",IF(Table1[[#This Row],[Price2]]&lt;1000000,"Mid range","Luxury"))</f>
        <v>Mid range</v>
      </c>
    </row>
    <row r="1739" spans="1:20" x14ac:dyDescent="0.35">
      <c r="A1739" s="3">
        <v>919464</v>
      </c>
      <c r="B1739" s="2" t="s">
        <v>22</v>
      </c>
      <c r="C1739">
        <v>67859</v>
      </c>
      <c r="D1739" s="2" t="s">
        <v>29</v>
      </c>
      <c r="E1739">
        <v>4</v>
      </c>
      <c r="F1739">
        <v>2</v>
      </c>
      <c r="G1739" s="4">
        <f>VALUE(SUBSTITUTE(SUBSTITUTE(Table1[[#This Row],[Price]],"$",""),",",""))</f>
        <v>919464</v>
      </c>
      <c r="H1739" s="1">
        <f>Table1[[#This Row],[Price2]]/Table1[[#This Row],[Area]]</f>
        <v>300.18413320274243</v>
      </c>
      <c r="I1739">
        <v>3063</v>
      </c>
      <c r="J1739">
        <v>1981</v>
      </c>
      <c r="K1739">
        <v>66</v>
      </c>
      <c r="L1739" t="s">
        <v>14</v>
      </c>
      <c r="M1739" t="s">
        <v>1945</v>
      </c>
      <c r="N1739" s="2" t="s">
        <v>3029</v>
      </c>
      <c r="O1739" t="s">
        <v>3030</v>
      </c>
      <c r="P1739" t="s">
        <v>21</v>
      </c>
      <c r="Q1739">
        <v>300.18413320274243</v>
      </c>
      <c r="R1739">
        <f ca="1">YEAR(TODAY())-Table1[[#This Row],[Year Built]]</f>
        <v>45</v>
      </c>
      <c r="S1739" t="str">
        <f>IF(Table1[[#This Row],[Days on Market]] &lt; 30,"Fast",IF(Table1[[#This Row],[Days on Market]]&lt;= 90,"Average", "Slow"))</f>
        <v>Average</v>
      </c>
      <c r="T1739" t="str">
        <f>IF(Table1[[#This Row],[Price2]]&lt;500000,"Affordable",IF(Table1[[#This Row],[Price2]]&lt;1000000,"Mid range","Luxury"))</f>
        <v>Mid range</v>
      </c>
    </row>
    <row r="1740" spans="1:20" x14ac:dyDescent="0.35">
      <c r="A1740" s="3">
        <v>922155</v>
      </c>
      <c r="B1740" s="2" t="s">
        <v>34</v>
      </c>
      <c r="C1740">
        <v>40195</v>
      </c>
      <c r="D1740" s="2" t="s">
        <v>23</v>
      </c>
      <c r="E1740">
        <v>5</v>
      </c>
      <c r="F1740">
        <v>1</v>
      </c>
      <c r="G1740" s="4">
        <f>VALUE(SUBSTITUTE(SUBSTITUTE(Table1[[#This Row],[Price]],"$",""),",",""))</f>
        <v>922155</v>
      </c>
      <c r="H1740" s="1">
        <f>Table1[[#This Row],[Price2]]/Table1[[#This Row],[Area]]</f>
        <v>1241.1238223418572</v>
      </c>
      <c r="I1740">
        <v>743</v>
      </c>
      <c r="J1740">
        <v>2016</v>
      </c>
      <c r="K1740">
        <v>64</v>
      </c>
      <c r="L1740" t="s">
        <v>14</v>
      </c>
      <c r="M1740" t="s">
        <v>689</v>
      </c>
      <c r="N1740" s="2" t="s">
        <v>3027</v>
      </c>
      <c r="O1740" t="s">
        <v>3028</v>
      </c>
      <c r="P1740" t="s">
        <v>26</v>
      </c>
      <c r="Q1740">
        <v>1241.1238223418572</v>
      </c>
      <c r="R1740">
        <f ca="1">YEAR(TODAY())-Table1[[#This Row],[Year Built]]</f>
        <v>10</v>
      </c>
      <c r="S1740" t="str">
        <f>IF(Table1[[#This Row],[Days on Market]] &lt; 30,"Fast",IF(Table1[[#This Row],[Days on Market]]&lt;= 90,"Average", "Slow"))</f>
        <v>Average</v>
      </c>
      <c r="T1740" t="str">
        <f>IF(Table1[[#This Row],[Price2]]&lt;500000,"Affordable",IF(Table1[[#This Row],[Price2]]&lt;1000000,"Mid range","Luxury"))</f>
        <v>Mid range</v>
      </c>
    </row>
    <row r="1741" spans="1:20" x14ac:dyDescent="0.35">
      <c r="A1741" s="3">
        <v>922164</v>
      </c>
      <c r="B1741" s="2" t="s">
        <v>27</v>
      </c>
      <c r="C1741">
        <v>92930</v>
      </c>
      <c r="D1741" s="2" t="s">
        <v>18</v>
      </c>
      <c r="E1741">
        <v>4</v>
      </c>
      <c r="F1741">
        <v>3</v>
      </c>
      <c r="G1741" s="4">
        <f>VALUE(SUBSTITUTE(SUBSTITUTE(Table1[[#This Row],[Price]],"$",""),",",""))</f>
        <v>922164</v>
      </c>
      <c r="H1741" s="1">
        <f>Table1[[#This Row],[Price2]]/Table1[[#This Row],[Area]]</f>
        <v>395.94847574066125</v>
      </c>
      <c r="I1741">
        <v>2329</v>
      </c>
      <c r="J1741">
        <v>2019</v>
      </c>
      <c r="K1741">
        <v>69</v>
      </c>
      <c r="L1741" t="s">
        <v>19</v>
      </c>
      <c r="M1741" t="s">
        <v>252</v>
      </c>
      <c r="N1741" s="2" t="s">
        <v>3035</v>
      </c>
      <c r="O1741" t="s">
        <v>3036</v>
      </c>
      <c r="P1741" t="s">
        <v>16</v>
      </c>
      <c r="Q1741">
        <v>395.94847574066125</v>
      </c>
      <c r="R1741">
        <f ca="1">YEAR(TODAY())-Table1[[#This Row],[Year Built]]</f>
        <v>7</v>
      </c>
      <c r="S1741" t="str">
        <f>IF(Table1[[#This Row],[Days on Market]] &lt; 30,"Fast",IF(Table1[[#This Row],[Days on Market]]&lt;= 90,"Average", "Slow"))</f>
        <v>Average</v>
      </c>
      <c r="T1741" t="str">
        <f>IF(Table1[[#This Row],[Price2]]&lt;500000,"Affordable",IF(Table1[[#This Row],[Price2]]&lt;1000000,"Mid range","Luxury"))</f>
        <v>Mid range</v>
      </c>
    </row>
    <row r="1742" spans="1:20" x14ac:dyDescent="0.35">
      <c r="A1742" s="3">
        <v>922569</v>
      </c>
      <c r="B1742" s="2" t="s">
        <v>12</v>
      </c>
      <c r="C1742">
        <v>23424</v>
      </c>
      <c r="D1742" s="2" t="s">
        <v>35</v>
      </c>
      <c r="E1742">
        <v>5</v>
      </c>
      <c r="F1742">
        <v>2</v>
      </c>
      <c r="G1742" s="4">
        <f>VALUE(SUBSTITUTE(SUBSTITUTE(Table1[[#This Row],[Price]],"$",""),",",""))</f>
        <v>922569</v>
      </c>
      <c r="H1742" s="1">
        <f>Table1[[#This Row],[Price2]]/Table1[[#This Row],[Area]]</f>
        <v>288.12273579013117</v>
      </c>
      <c r="I1742">
        <v>3202</v>
      </c>
      <c r="J1742">
        <v>1992</v>
      </c>
      <c r="K1742">
        <v>66</v>
      </c>
      <c r="L1742" t="s">
        <v>40</v>
      </c>
      <c r="M1742" t="s">
        <v>1976</v>
      </c>
      <c r="N1742" s="2" t="s">
        <v>3029</v>
      </c>
      <c r="O1742" t="s">
        <v>3030</v>
      </c>
      <c r="P1742" t="s">
        <v>16</v>
      </c>
      <c r="Q1742">
        <v>288.12273579013117</v>
      </c>
      <c r="R1742">
        <f ca="1">YEAR(TODAY())-Table1[[#This Row],[Year Built]]</f>
        <v>34</v>
      </c>
      <c r="S1742" t="str">
        <f>IF(Table1[[#This Row],[Days on Market]] &lt; 30,"Fast",IF(Table1[[#This Row],[Days on Market]]&lt;= 90,"Average", "Slow"))</f>
        <v>Average</v>
      </c>
      <c r="T1742" t="str">
        <f>IF(Table1[[#This Row],[Price2]]&lt;500000,"Affordable",IF(Table1[[#This Row],[Price2]]&lt;1000000,"Mid range","Luxury"))</f>
        <v>Mid range</v>
      </c>
    </row>
    <row r="1743" spans="1:20" x14ac:dyDescent="0.35">
      <c r="A1743" s="3">
        <v>923080</v>
      </c>
      <c r="B1743" s="2" t="s">
        <v>27</v>
      </c>
      <c r="C1743">
        <v>23668</v>
      </c>
      <c r="D1743" s="2" t="s">
        <v>18</v>
      </c>
      <c r="E1743">
        <v>3</v>
      </c>
      <c r="F1743">
        <v>2</v>
      </c>
      <c r="G1743" s="4">
        <f>VALUE(SUBSTITUTE(SUBSTITUTE(Table1[[#This Row],[Price]],"$",""),",",""))</f>
        <v>923080</v>
      </c>
      <c r="H1743" s="1">
        <f>Table1[[#This Row],[Price2]]/Table1[[#This Row],[Area]]</f>
        <v>336.64478482859226</v>
      </c>
      <c r="I1743">
        <v>2742</v>
      </c>
      <c r="J1743">
        <v>1951</v>
      </c>
      <c r="K1743">
        <v>67</v>
      </c>
      <c r="L1743" t="s">
        <v>40</v>
      </c>
      <c r="M1743" t="s">
        <v>810</v>
      </c>
      <c r="N1743" s="2" t="s">
        <v>3027</v>
      </c>
      <c r="O1743" t="s">
        <v>3028</v>
      </c>
      <c r="P1743" t="s">
        <v>21</v>
      </c>
      <c r="Q1743">
        <v>336.64478482859226</v>
      </c>
      <c r="R1743">
        <f ca="1">YEAR(TODAY())-Table1[[#This Row],[Year Built]]</f>
        <v>75</v>
      </c>
      <c r="S1743" t="str">
        <f>IF(Table1[[#This Row],[Days on Market]] &lt; 30,"Fast",IF(Table1[[#This Row],[Days on Market]]&lt;= 90,"Average", "Slow"))</f>
        <v>Average</v>
      </c>
      <c r="T1743" t="str">
        <f>IF(Table1[[#This Row],[Price2]]&lt;500000,"Affordable",IF(Table1[[#This Row],[Price2]]&lt;1000000,"Mid range","Luxury"))</f>
        <v>Mid range</v>
      </c>
    </row>
    <row r="1744" spans="1:20" x14ac:dyDescent="0.35">
      <c r="A1744" s="3">
        <v>923083</v>
      </c>
      <c r="B1744" s="2" t="s">
        <v>34</v>
      </c>
      <c r="C1744">
        <v>83659</v>
      </c>
      <c r="D1744" s="2" t="s">
        <v>29</v>
      </c>
      <c r="E1744">
        <v>1</v>
      </c>
      <c r="F1744">
        <v>3</v>
      </c>
      <c r="G1744" s="4">
        <f>VALUE(SUBSTITUTE(SUBSTITUTE(Table1[[#This Row],[Price]],"$",""),",",""))</f>
        <v>923083</v>
      </c>
      <c r="H1744" s="1">
        <f>Table1[[#This Row],[Price2]]/Table1[[#This Row],[Area]]</f>
        <v>769.87739783152631</v>
      </c>
      <c r="I1744">
        <v>1199</v>
      </c>
      <c r="J1744">
        <v>2000</v>
      </c>
      <c r="K1744">
        <v>18</v>
      </c>
      <c r="L1744" t="s">
        <v>19</v>
      </c>
      <c r="M1744" t="s">
        <v>1003</v>
      </c>
      <c r="N1744" s="2" t="s">
        <v>3035</v>
      </c>
      <c r="O1744" t="s">
        <v>3036</v>
      </c>
      <c r="P1744" t="s">
        <v>21</v>
      </c>
      <c r="Q1744">
        <v>769.87739783152631</v>
      </c>
      <c r="R1744">
        <f ca="1">YEAR(TODAY())-Table1[[#This Row],[Year Built]]</f>
        <v>26</v>
      </c>
      <c r="S1744" t="str">
        <f>IF(Table1[[#This Row],[Days on Market]] &lt; 30,"Fast",IF(Table1[[#This Row],[Days on Market]]&lt;= 90,"Average", "Slow"))</f>
        <v>Fast</v>
      </c>
      <c r="T1744" t="str">
        <f>IF(Table1[[#This Row],[Price2]]&lt;500000,"Affordable",IF(Table1[[#This Row],[Price2]]&lt;1000000,"Mid range","Luxury"))</f>
        <v>Mid range</v>
      </c>
    </row>
    <row r="1745" spans="1:20" x14ac:dyDescent="0.35">
      <c r="A1745" s="3">
        <v>923487</v>
      </c>
      <c r="B1745" s="2" t="s">
        <v>22</v>
      </c>
      <c r="C1745">
        <v>70846</v>
      </c>
      <c r="D1745" s="2" t="s">
        <v>23</v>
      </c>
      <c r="E1745">
        <v>5</v>
      </c>
      <c r="F1745">
        <v>2</v>
      </c>
      <c r="G1745" s="4">
        <f>VALUE(SUBSTITUTE(SUBSTITUTE(Table1[[#This Row],[Price]],"$",""),",",""))</f>
        <v>923487</v>
      </c>
      <c r="H1745" s="1">
        <f>Table1[[#This Row],[Price2]]/Table1[[#This Row],[Area]]</f>
        <v>851.14009216589864</v>
      </c>
      <c r="I1745">
        <v>1085</v>
      </c>
      <c r="J1745">
        <v>2017</v>
      </c>
      <c r="K1745">
        <v>100</v>
      </c>
      <c r="L1745" t="s">
        <v>14</v>
      </c>
      <c r="M1745" t="s">
        <v>2586</v>
      </c>
      <c r="N1745" s="2" t="s">
        <v>3031</v>
      </c>
      <c r="O1745" t="s">
        <v>3032</v>
      </c>
      <c r="P1745" t="s">
        <v>21</v>
      </c>
      <c r="Q1745">
        <v>851.14009216589864</v>
      </c>
      <c r="R1745">
        <f ca="1">YEAR(TODAY())-Table1[[#This Row],[Year Built]]</f>
        <v>9</v>
      </c>
      <c r="S1745" t="str">
        <f>IF(Table1[[#This Row],[Days on Market]] &lt; 30,"Fast",IF(Table1[[#This Row],[Days on Market]]&lt;= 90,"Average", "Slow"))</f>
        <v>Slow</v>
      </c>
      <c r="T1745" t="str">
        <f>IF(Table1[[#This Row],[Price2]]&lt;500000,"Affordable",IF(Table1[[#This Row],[Price2]]&lt;1000000,"Mid range","Luxury"))</f>
        <v>Mid range</v>
      </c>
    </row>
    <row r="1746" spans="1:20" x14ac:dyDescent="0.35">
      <c r="A1746" s="3">
        <v>923832</v>
      </c>
      <c r="B1746" s="2" t="s">
        <v>22</v>
      </c>
      <c r="C1746">
        <v>27961</v>
      </c>
      <c r="D1746" s="2" t="s">
        <v>18</v>
      </c>
      <c r="E1746">
        <v>1</v>
      </c>
      <c r="F1746">
        <v>4</v>
      </c>
      <c r="G1746" s="4">
        <f>VALUE(SUBSTITUTE(SUBSTITUTE(Table1[[#This Row],[Price]],"$",""),",",""))</f>
        <v>923832</v>
      </c>
      <c r="H1746" s="1">
        <f>Table1[[#This Row],[Price2]]/Table1[[#This Row],[Area]]</f>
        <v>315.94801641586866</v>
      </c>
      <c r="I1746">
        <v>2924</v>
      </c>
      <c r="J1746">
        <v>1955</v>
      </c>
      <c r="K1746">
        <v>85</v>
      </c>
      <c r="L1746" t="s">
        <v>40</v>
      </c>
      <c r="M1746" t="s">
        <v>2879</v>
      </c>
      <c r="N1746" s="2" t="s">
        <v>3027</v>
      </c>
      <c r="O1746" t="s">
        <v>3028</v>
      </c>
      <c r="P1746" t="s">
        <v>16</v>
      </c>
      <c r="Q1746">
        <v>315.94801641586866</v>
      </c>
      <c r="R1746">
        <f ca="1">YEAR(TODAY())-Table1[[#This Row],[Year Built]]</f>
        <v>71</v>
      </c>
      <c r="S1746" t="str">
        <f>IF(Table1[[#This Row],[Days on Market]] &lt; 30,"Fast",IF(Table1[[#This Row],[Days on Market]]&lt;= 90,"Average", "Slow"))</f>
        <v>Average</v>
      </c>
      <c r="T1746" t="str">
        <f>IF(Table1[[#This Row],[Price2]]&lt;500000,"Affordable",IF(Table1[[#This Row],[Price2]]&lt;1000000,"Mid range","Luxury"))</f>
        <v>Mid range</v>
      </c>
    </row>
    <row r="1747" spans="1:20" x14ac:dyDescent="0.35">
      <c r="A1747" s="3">
        <v>924197</v>
      </c>
      <c r="B1747" s="2" t="s">
        <v>17</v>
      </c>
      <c r="C1747">
        <v>57095</v>
      </c>
      <c r="D1747" s="2" t="s">
        <v>23</v>
      </c>
      <c r="E1747">
        <v>6</v>
      </c>
      <c r="F1747">
        <v>1</v>
      </c>
      <c r="G1747" s="4">
        <f>VALUE(SUBSTITUTE(SUBSTITUTE(Table1[[#This Row],[Price]],"$",""),",",""))</f>
        <v>924197</v>
      </c>
      <c r="H1747" s="1">
        <f>Table1[[#This Row],[Price2]]/Table1[[#This Row],[Area]]</f>
        <v>342.93024118738407</v>
      </c>
      <c r="I1747">
        <v>2695</v>
      </c>
      <c r="J1747">
        <v>1956</v>
      </c>
      <c r="K1747">
        <v>69</v>
      </c>
      <c r="L1747" t="s">
        <v>52</v>
      </c>
      <c r="M1747" t="s">
        <v>2383</v>
      </c>
      <c r="N1747" s="2" t="s">
        <v>3033</v>
      </c>
      <c r="O1747" t="s">
        <v>3034</v>
      </c>
      <c r="P1747" t="s">
        <v>26</v>
      </c>
      <c r="Q1747">
        <v>342.93024118738407</v>
      </c>
      <c r="R1747">
        <f ca="1">YEAR(TODAY())-Table1[[#This Row],[Year Built]]</f>
        <v>70</v>
      </c>
      <c r="S1747" t="str">
        <f>IF(Table1[[#This Row],[Days on Market]] &lt; 30,"Fast",IF(Table1[[#This Row],[Days on Market]]&lt;= 90,"Average", "Slow"))</f>
        <v>Average</v>
      </c>
      <c r="T1747" t="str">
        <f>IF(Table1[[#This Row],[Price2]]&lt;500000,"Affordable",IF(Table1[[#This Row],[Price2]]&lt;1000000,"Mid range","Luxury"))</f>
        <v>Mid range</v>
      </c>
    </row>
    <row r="1748" spans="1:20" x14ac:dyDescent="0.35">
      <c r="A1748" s="3">
        <v>924682</v>
      </c>
      <c r="B1748" s="2" t="s">
        <v>27</v>
      </c>
      <c r="C1748">
        <v>53119</v>
      </c>
      <c r="D1748" s="2" t="s">
        <v>35</v>
      </c>
      <c r="E1748">
        <v>2</v>
      </c>
      <c r="F1748">
        <v>4</v>
      </c>
      <c r="G1748" s="4">
        <f>VALUE(SUBSTITUTE(SUBSTITUTE(Table1[[#This Row],[Price]],"$",""),",",""))</f>
        <v>924682</v>
      </c>
      <c r="H1748" s="1">
        <f>Table1[[#This Row],[Price2]]/Table1[[#This Row],[Area]]</f>
        <v>307.61210911510312</v>
      </c>
      <c r="I1748">
        <v>3006</v>
      </c>
      <c r="J1748">
        <v>1990</v>
      </c>
      <c r="K1748">
        <v>55</v>
      </c>
      <c r="L1748" t="s">
        <v>14</v>
      </c>
      <c r="M1748" t="s">
        <v>2308</v>
      </c>
      <c r="N1748" s="2" t="s">
        <v>3033</v>
      </c>
      <c r="O1748" t="s">
        <v>3034</v>
      </c>
      <c r="P1748" t="s">
        <v>16</v>
      </c>
      <c r="Q1748">
        <v>307.61210911510312</v>
      </c>
      <c r="R1748">
        <f ca="1">YEAR(TODAY())-Table1[[#This Row],[Year Built]]</f>
        <v>36</v>
      </c>
      <c r="S1748" t="str">
        <f>IF(Table1[[#This Row],[Days on Market]] &lt; 30,"Fast",IF(Table1[[#This Row],[Days on Market]]&lt;= 90,"Average", "Slow"))</f>
        <v>Average</v>
      </c>
      <c r="T1748" t="str">
        <f>IF(Table1[[#This Row],[Price2]]&lt;500000,"Affordable",IF(Table1[[#This Row],[Price2]]&lt;1000000,"Mid range","Luxury"))</f>
        <v>Mid range</v>
      </c>
    </row>
    <row r="1749" spans="1:20" x14ac:dyDescent="0.35">
      <c r="A1749" s="3">
        <v>924794</v>
      </c>
      <c r="B1749" s="2" t="s">
        <v>34</v>
      </c>
      <c r="C1749">
        <v>38499</v>
      </c>
      <c r="D1749" s="2" t="s">
        <v>29</v>
      </c>
      <c r="E1749">
        <v>6</v>
      </c>
      <c r="F1749">
        <v>3</v>
      </c>
      <c r="G1749" s="4">
        <f>VALUE(SUBSTITUTE(SUBSTITUTE(Table1[[#This Row],[Price]],"$",""),",",""))</f>
        <v>924794</v>
      </c>
      <c r="H1749" s="1">
        <f>Table1[[#This Row],[Price2]]/Table1[[#This Row],[Area]]</f>
        <v>258.39452360994693</v>
      </c>
      <c r="I1749">
        <v>3579</v>
      </c>
      <c r="J1749">
        <v>1995</v>
      </c>
      <c r="K1749">
        <v>98</v>
      </c>
      <c r="L1749" t="s">
        <v>14</v>
      </c>
      <c r="M1749" t="s">
        <v>1813</v>
      </c>
      <c r="N1749" s="2" t="s">
        <v>3029</v>
      </c>
      <c r="O1749" t="s">
        <v>3030</v>
      </c>
      <c r="P1749" t="s">
        <v>16</v>
      </c>
      <c r="Q1749">
        <v>258.39452360994693</v>
      </c>
      <c r="R1749">
        <f ca="1">YEAR(TODAY())-Table1[[#This Row],[Year Built]]</f>
        <v>31</v>
      </c>
      <c r="S1749" t="str">
        <f>IF(Table1[[#This Row],[Days on Market]] &lt; 30,"Fast",IF(Table1[[#This Row],[Days on Market]]&lt;= 90,"Average", "Slow"))</f>
        <v>Slow</v>
      </c>
      <c r="T1749" t="str">
        <f>IF(Table1[[#This Row],[Price2]]&lt;500000,"Affordable",IF(Table1[[#This Row],[Price2]]&lt;1000000,"Mid range","Luxury"))</f>
        <v>Mid range</v>
      </c>
    </row>
    <row r="1750" spans="1:20" x14ac:dyDescent="0.35">
      <c r="A1750" s="3">
        <v>925095</v>
      </c>
      <c r="B1750" s="2" t="s">
        <v>22</v>
      </c>
      <c r="C1750">
        <v>39262</v>
      </c>
      <c r="D1750" s="2" t="s">
        <v>18</v>
      </c>
      <c r="E1750">
        <v>2</v>
      </c>
      <c r="F1750">
        <v>3</v>
      </c>
      <c r="G1750" s="4">
        <f>VALUE(SUBSTITUTE(SUBSTITUTE(Table1[[#This Row],[Price]],"$",""),",",""))</f>
        <v>925095</v>
      </c>
      <c r="H1750" s="1">
        <f>Table1[[#This Row],[Price2]]/Table1[[#This Row],[Area]]</f>
        <v>995.79655543595265</v>
      </c>
      <c r="I1750">
        <v>929</v>
      </c>
      <c r="J1750">
        <v>1961</v>
      </c>
      <c r="K1750">
        <v>16</v>
      </c>
      <c r="L1750" t="s">
        <v>40</v>
      </c>
      <c r="M1750" t="s">
        <v>1524</v>
      </c>
      <c r="N1750" s="2" t="s">
        <v>3027</v>
      </c>
      <c r="O1750" t="s">
        <v>3028</v>
      </c>
      <c r="P1750" t="s">
        <v>16</v>
      </c>
      <c r="Q1750">
        <v>995.79655543595265</v>
      </c>
      <c r="R1750">
        <f ca="1">YEAR(TODAY())-Table1[[#This Row],[Year Built]]</f>
        <v>65</v>
      </c>
      <c r="S1750" t="str">
        <f>IF(Table1[[#This Row],[Days on Market]] &lt; 30,"Fast",IF(Table1[[#This Row],[Days on Market]]&lt;= 90,"Average", "Slow"))</f>
        <v>Fast</v>
      </c>
      <c r="T1750" t="str">
        <f>IF(Table1[[#This Row],[Price2]]&lt;500000,"Affordable",IF(Table1[[#This Row],[Price2]]&lt;1000000,"Mid range","Luxury"))</f>
        <v>Mid range</v>
      </c>
    </row>
    <row r="1751" spans="1:20" x14ac:dyDescent="0.35">
      <c r="A1751" s="3">
        <v>925438</v>
      </c>
      <c r="B1751" s="2" t="s">
        <v>22</v>
      </c>
      <c r="C1751">
        <v>45299</v>
      </c>
      <c r="D1751" s="2" t="s">
        <v>13</v>
      </c>
      <c r="E1751">
        <v>2</v>
      </c>
      <c r="F1751">
        <v>3</v>
      </c>
      <c r="G1751" s="4">
        <f>VALUE(SUBSTITUTE(SUBSTITUTE(Table1[[#This Row],[Price]],"$",""),",",""))</f>
        <v>925438</v>
      </c>
      <c r="H1751" s="1">
        <f>Table1[[#This Row],[Price2]]/Table1[[#This Row],[Area]]</f>
        <v>401.14347637624621</v>
      </c>
      <c r="I1751">
        <v>2307</v>
      </c>
      <c r="J1751">
        <v>2019</v>
      </c>
      <c r="K1751">
        <v>37</v>
      </c>
      <c r="L1751" t="s">
        <v>19</v>
      </c>
      <c r="M1751" t="s">
        <v>253</v>
      </c>
      <c r="N1751" s="2" t="s">
        <v>3027</v>
      </c>
      <c r="O1751" t="s">
        <v>3028</v>
      </c>
      <c r="P1751" t="s">
        <v>21</v>
      </c>
      <c r="Q1751">
        <v>401.14347637624621</v>
      </c>
      <c r="R1751">
        <f ca="1">YEAR(TODAY())-Table1[[#This Row],[Year Built]]</f>
        <v>7</v>
      </c>
      <c r="S1751" t="str">
        <f>IF(Table1[[#This Row],[Days on Market]] &lt; 30,"Fast",IF(Table1[[#This Row],[Days on Market]]&lt;= 90,"Average", "Slow"))</f>
        <v>Average</v>
      </c>
      <c r="T1751" t="str">
        <f>IF(Table1[[#This Row],[Price2]]&lt;500000,"Affordable",IF(Table1[[#This Row],[Price2]]&lt;1000000,"Mid range","Luxury"))</f>
        <v>Mid range</v>
      </c>
    </row>
    <row r="1752" spans="1:20" x14ac:dyDescent="0.35">
      <c r="A1752" s="3">
        <v>925872</v>
      </c>
      <c r="B1752" s="2" t="s">
        <v>22</v>
      </c>
      <c r="C1752">
        <v>13361</v>
      </c>
      <c r="D1752" s="2" t="s">
        <v>23</v>
      </c>
      <c r="E1752">
        <v>6</v>
      </c>
      <c r="F1752">
        <v>2</v>
      </c>
      <c r="G1752" s="4">
        <f>VALUE(SUBSTITUTE(SUBSTITUTE(Table1[[#This Row],[Price]],"$",""),",",""))</f>
        <v>925872</v>
      </c>
      <c r="H1752" s="1">
        <f>Table1[[#This Row],[Price2]]/Table1[[#This Row],[Area]]</f>
        <v>629.41672331747111</v>
      </c>
      <c r="I1752">
        <v>1471</v>
      </c>
      <c r="J1752">
        <v>2020</v>
      </c>
      <c r="K1752">
        <v>46</v>
      </c>
      <c r="L1752" t="s">
        <v>40</v>
      </c>
      <c r="M1752" t="s">
        <v>723</v>
      </c>
      <c r="N1752" s="2" t="s">
        <v>3029</v>
      </c>
      <c r="O1752" t="s">
        <v>3030</v>
      </c>
      <c r="P1752" t="s">
        <v>26</v>
      </c>
      <c r="Q1752">
        <v>629.41672331747111</v>
      </c>
      <c r="R1752">
        <f ca="1">YEAR(TODAY())-Table1[[#This Row],[Year Built]]</f>
        <v>6</v>
      </c>
      <c r="S1752" t="str">
        <f>IF(Table1[[#This Row],[Days on Market]] &lt; 30,"Fast",IF(Table1[[#This Row],[Days on Market]]&lt;= 90,"Average", "Slow"))</f>
        <v>Average</v>
      </c>
      <c r="T1752" t="str">
        <f>IF(Table1[[#This Row],[Price2]]&lt;500000,"Affordable",IF(Table1[[#This Row],[Price2]]&lt;1000000,"Mid range","Luxury"))</f>
        <v>Mid range</v>
      </c>
    </row>
    <row r="1753" spans="1:20" x14ac:dyDescent="0.35">
      <c r="A1753" s="3">
        <v>925973</v>
      </c>
      <c r="B1753" s="2" t="s">
        <v>22</v>
      </c>
      <c r="C1753">
        <v>92292</v>
      </c>
      <c r="D1753" s="2" t="s">
        <v>35</v>
      </c>
      <c r="E1753">
        <v>4</v>
      </c>
      <c r="F1753">
        <v>3</v>
      </c>
      <c r="G1753" s="4">
        <f>VALUE(SUBSTITUTE(SUBSTITUTE(Table1[[#This Row],[Price]],"$",""),",",""))</f>
        <v>925973</v>
      </c>
      <c r="H1753" s="1">
        <f>Table1[[#This Row],[Price2]]/Table1[[#This Row],[Area]]</f>
        <v>658.11869225302064</v>
      </c>
      <c r="I1753">
        <v>1407</v>
      </c>
      <c r="J1753">
        <v>1993</v>
      </c>
      <c r="K1753">
        <v>87</v>
      </c>
      <c r="L1753" t="s">
        <v>52</v>
      </c>
      <c r="M1753" t="s">
        <v>2132</v>
      </c>
      <c r="N1753" s="2" t="s">
        <v>3027</v>
      </c>
      <c r="O1753" t="s">
        <v>3028</v>
      </c>
      <c r="P1753" t="s">
        <v>26</v>
      </c>
      <c r="Q1753">
        <v>658.11869225302064</v>
      </c>
      <c r="R1753">
        <f ca="1">YEAR(TODAY())-Table1[[#This Row],[Year Built]]</f>
        <v>33</v>
      </c>
      <c r="S1753" t="str">
        <f>IF(Table1[[#This Row],[Days on Market]] &lt; 30,"Fast",IF(Table1[[#This Row],[Days on Market]]&lt;= 90,"Average", "Slow"))</f>
        <v>Average</v>
      </c>
      <c r="T1753" t="str">
        <f>IF(Table1[[#This Row],[Price2]]&lt;500000,"Affordable",IF(Table1[[#This Row],[Price2]]&lt;1000000,"Mid range","Luxury"))</f>
        <v>Mid range</v>
      </c>
    </row>
    <row r="1754" spans="1:20" x14ac:dyDescent="0.35">
      <c r="A1754" s="3">
        <v>926781</v>
      </c>
      <c r="B1754" s="2" t="s">
        <v>27</v>
      </c>
      <c r="C1754">
        <v>86926</v>
      </c>
      <c r="D1754" s="2" t="s">
        <v>29</v>
      </c>
      <c r="E1754">
        <v>2</v>
      </c>
      <c r="F1754">
        <v>3</v>
      </c>
      <c r="G1754" s="4">
        <f>VALUE(SUBSTITUTE(SUBSTITUTE(Table1[[#This Row],[Price]],"$",""),",",""))</f>
        <v>926781</v>
      </c>
      <c r="H1754" s="1">
        <f>Table1[[#This Row],[Price2]]/Table1[[#This Row],[Area]]</f>
        <v>1347.0654069767443</v>
      </c>
      <c r="I1754">
        <v>688</v>
      </c>
      <c r="J1754">
        <v>2017</v>
      </c>
      <c r="K1754">
        <v>92</v>
      </c>
      <c r="L1754" t="s">
        <v>52</v>
      </c>
      <c r="M1754" t="s">
        <v>2668</v>
      </c>
      <c r="N1754" s="2" t="s">
        <v>3035</v>
      </c>
      <c r="O1754" t="s">
        <v>3036</v>
      </c>
      <c r="P1754" t="s">
        <v>26</v>
      </c>
      <c r="Q1754">
        <v>1347.0654069767443</v>
      </c>
      <c r="R1754">
        <f ca="1">YEAR(TODAY())-Table1[[#This Row],[Year Built]]</f>
        <v>9</v>
      </c>
      <c r="S1754" t="str">
        <f>IF(Table1[[#This Row],[Days on Market]] &lt; 30,"Fast",IF(Table1[[#This Row],[Days on Market]]&lt;= 90,"Average", "Slow"))</f>
        <v>Slow</v>
      </c>
      <c r="T1754" t="str">
        <f>IF(Table1[[#This Row],[Price2]]&lt;500000,"Affordable",IF(Table1[[#This Row],[Price2]]&lt;1000000,"Mid range","Luxury"))</f>
        <v>Mid range</v>
      </c>
    </row>
    <row r="1755" spans="1:20" x14ac:dyDescent="0.35">
      <c r="A1755" s="3">
        <v>926788</v>
      </c>
      <c r="B1755" s="2" t="s">
        <v>22</v>
      </c>
      <c r="C1755">
        <v>39573</v>
      </c>
      <c r="D1755" s="2" t="s">
        <v>13</v>
      </c>
      <c r="E1755">
        <v>2</v>
      </c>
      <c r="F1755">
        <v>3</v>
      </c>
      <c r="G1755" s="4">
        <f>VALUE(SUBSTITUTE(SUBSTITUTE(Table1[[#This Row],[Price]],"$",""),",",""))</f>
        <v>926788</v>
      </c>
      <c r="H1755" s="1">
        <f>Table1[[#This Row],[Price2]]/Table1[[#This Row],[Area]]</f>
        <v>336.40217785843919</v>
      </c>
      <c r="I1755">
        <v>2755</v>
      </c>
      <c r="J1755">
        <v>2015</v>
      </c>
      <c r="K1755">
        <v>52</v>
      </c>
      <c r="L1755" t="s">
        <v>52</v>
      </c>
      <c r="M1755" t="s">
        <v>1506</v>
      </c>
      <c r="N1755" s="2" t="s">
        <v>3027</v>
      </c>
      <c r="O1755" t="s">
        <v>3028</v>
      </c>
      <c r="P1755" t="s">
        <v>26</v>
      </c>
      <c r="Q1755">
        <v>336.40217785843919</v>
      </c>
      <c r="R1755">
        <f ca="1">YEAR(TODAY())-Table1[[#This Row],[Year Built]]</f>
        <v>11</v>
      </c>
      <c r="S1755" t="str">
        <f>IF(Table1[[#This Row],[Days on Market]] &lt; 30,"Fast",IF(Table1[[#This Row],[Days on Market]]&lt;= 90,"Average", "Slow"))</f>
        <v>Average</v>
      </c>
      <c r="T1755" t="str">
        <f>IF(Table1[[#This Row],[Price2]]&lt;500000,"Affordable",IF(Table1[[#This Row],[Price2]]&lt;1000000,"Mid range","Luxury"))</f>
        <v>Mid range</v>
      </c>
    </row>
    <row r="1756" spans="1:20" x14ac:dyDescent="0.35">
      <c r="A1756" s="3">
        <v>927642</v>
      </c>
      <c r="B1756" s="2" t="s">
        <v>22</v>
      </c>
      <c r="C1756">
        <v>82942</v>
      </c>
      <c r="D1756" s="2" t="s">
        <v>29</v>
      </c>
      <c r="E1756">
        <v>3</v>
      </c>
      <c r="F1756">
        <v>3</v>
      </c>
      <c r="G1756" s="4">
        <f>VALUE(SUBSTITUTE(SUBSTITUTE(Table1[[#This Row],[Price]],"$",""),",",""))</f>
        <v>927642</v>
      </c>
      <c r="H1756" s="1">
        <f>Table1[[#This Row],[Price2]]/Table1[[#This Row],[Area]]</f>
        <v>643.74878556557951</v>
      </c>
      <c r="I1756">
        <v>1441</v>
      </c>
      <c r="J1756">
        <v>2011</v>
      </c>
      <c r="K1756">
        <v>96</v>
      </c>
      <c r="L1756" t="s">
        <v>40</v>
      </c>
      <c r="M1756" t="s">
        <v>2927</v>
      </c>
      <c r="N1756" s="2" t="s">
        <v>3031</v>
      </c>
      <c r="O1756" t="s">
        <v>3032</v>
      </c>
      <c r="P1756" t="s">
        <v>16</v>
      </c>
      <c r="Q1756">
        <v>643.74878556557951</v>
      </c>
      <c r="R1756">
        <f ca="1">YEAR(TODAY())-Table1[[#This Row],[Year Built]]</f>
        <v>15</v>
      </c>
      <c r="S1756" t="str">
        <f>IF(Table1[[#This Row],[Days on Market]] &lt; 30,"Fast",IF(Table1[[#This Row],[Days on Market]]&lt;= 90,"Average", "Slow"))</f>
        <v>Slow</v>
      </c>
      <c r="T1756" t="str">
        <f>IF(Table1[[#This Row],[Price2]]&lt;500000,"Affordable",IF(Table1[[#This Row],[Price2]]&lt;1000000,"Mid range","Luxury"))</f>
        <v>Mid range</v>
      </c>
    </row>
    <row r="1757" spans="1:20" x14ac:dyDescent="0.35">
      <c r="A1757" s="3">
        <v>928085</v>
      </c>
      <c r="B1757" s="2" t="s">
        <v>22</v>
      </c>
      <c r="C1757">
        <v>54502</v>
      </c>
      <c r="D1757" s="2" t="s">
        <v>35</v>
      </c>
      <c r="E1757">
        <v>2</v>
      </c>
      <c r="F1757">
        <v>3</v>
      </c>
      <c r="G1757" s="4">
        <f>VALUE(SUBSTITUTE(SUBSTITUTE(Table1[[#This Row],[Price]],"$",""),",",""))</f>
        <v>928085</v>
      </c>
      <c r="H1757" s="1">
        <f>Table1[[#This Row],[Price2]]/Table1[[#This Row],[Area]]</f>
        <v>289.93595751327712</v>
      </c>
      <c r="I1757">
        <v>3201</v>
      </c>
      <c r="J1757">
        <v>2014</v>
      </c>
      <c r="K1757">
        <v>63</v>
      </c>
      <c r="L1757" t="s">
        <v>30</v>
      </c>
      <c r="M1757" t="s">
        <v>78</v>
      </c>
      <c r="N1757" s="2" t="s">
        <v>3031</v>
      </c>
      <c r="O1757" t="s">
        <v>3032</v>
      </c>
      <c r="P1757" t="s">
        <v>26</v>
      </c>
      <c r="Q1757">
        <v>289.93595751327712</v>
      </c>
      <c r="R1757">
        <f ca="1">YEAR(TODAY())-Table1[[#This Row],[Year Built]]</f>
        <v>12</v>
      </c>
      <c r="S1757" t="str">
        <f>IF(Table1[[#This Row],[Days on Market]] &lt; 30,"Fast",IF(Table1[[#This Row],[Days on Market]]&lt;= 90,"Average", "Slow"))</f>
        <v>Average</v>
      </c>
      <c r="T1757" t="str">
        <f>IF(Table1[[#This Row],[Price2]]&lt;500000,"Affordable",IF(Table1[[#This Row],[Price2]]&lt;1000000,"Mid range","Luxury"))</f>
        <v>Mid range</v>
      </c>
    </row>
    <row r="1758" spans="1:20" x14ac:dyDescent="0.35">
      <c r="A1758" s="3">
        <v>929559</v>
      </c>
      <c r="B1758" s="2" t="s">
        <v>12</v>
      </c>
      <c r="C1758">
        <v>49755</v>
      </c>
      <c r="D1758" s="2" t="s">
        <v>29</v>
      </c>
      <c r="E1758">
        <v>1</v>
      </c>
      <c r="F1758">
        <v>1</v>
      </c>
      <c r="G1758" s="4">
        <f>VALUE(SUBSTITUTE(SUBSTITUTE(Table1[[#This Row],[Price]],"$",""),",",""))</f>
        <v>929559</v>
      </c>
      <c r="H1758" s="1">
        <f>Table1[[#This Row],[Price2]]/Table1[[#This Row],[Area]]</f>
        <v>254.95309928688974</v>
      </c>
      <c r="I1758">
        <v>3646</v>
      </c>
      <c r="J1758">
        <v>1978</v>
      </c>
      <c r="K1758">
        <v>58</v>
      </c>
      <c r="L1758" t="s">
        <v>40</v>
      </c>
      <c r="M1758" t="s">
        <v>1337</v>
      </c>
      <c r="N1758" s="2" t="s">
        <v>3033</v>
      </c>
      <c r="O1758" t="s">
        <v>3034</v>
      </c>
      <c r="P1758" t="s">
        <v>21</v>
      </c>
      <c r="Q1758">
        <v>254.95309928688974</v>
      </c>
      <c r="R1758">
        <f ca="1">YEAR(TODAY())-Table1[[#This Row],[Year Built]]</f>
        <v>48</v>
      </c>
      <c r="S1758" t="str">
        <f>IF(Table1[[#This Row],[Days on Market]] &lt; 30,"Fast",IF(Table1[[#This Row],[Days on Market]]&lt;= 90,"Average", "Slow"))</f>
        <v>Average</v>
      </c>
      <c r="T1758" t="str">
        <f>IF(Table1[[#This Row],[Price2]]&lt;500000,"Affordable",IF(Table1[[#This Row],[Price2]]&lt;1000000,"Mid range","Luxury"))</f>
        <v>Mid range</v>
      </c>
    </row>
    <row r="1759" spans="1:20" x14ac:dyDescent="0.35">
      <c r="A1759" s="3">
        <v>929598</v>
      </c>
      <c r="B1759" s="2" t="s">
        <v>22</v>
      </c>
      <c r="C1759">
        <v>54113</v>
      </c>
      <c r="D1759" s="2" t="s">
        <v>18</v>
      </c>
      <c r="E1759">
        <v>1</v>
      </c>
      <c r="F1759">
        <v>4</v>
      </c>
      <c r="G1759" s="4">
        <f>VALUE(SUBSTITUTE(SUBSTITUTE(Table1[[#This Row],[Price]],"$",""),",",""))</f>
        <v>929598</v>
      </c>
      <c r="H1759" s="1">
        <f>Table1[[#This Row],[Price2]]/Table1[[#This Row],[Area]]</f>
        <v>269.76146256529307</v>
      </c>
      <c r="I1759">
        <v>3446</v>
      </c>
      <c r="J1759">
        <v>1963</v>
      </c>
      <c r="K1759">
        <v>96</v>
      </c>
      <c r="L1759" t="s">
        <v>19</v>
      </c>
      <c r="M1759" t="s">
        <v>875</v>
      </c>
      <c r="N1759" s="2" t="s">
        <v>3031</v>
      </c>
      <c r="O1759" t="s">
        <v>3032</v>
      </c>
      <c r="P1759" t="s">
        <v>16</v>
      </c>
      <c r="Q1759">
        <v>269.76146256529307</v>
      </c>
      <c r="R1759">
        <f ca="1">YEAR(TODAY())-Table1[[#This Row],[Year Built]]</f>
        <v>63</v>
      </c>
      <c r="S1759" t="str">
        <f>IF(Table1[[#This Row],[Days on Market]] &lt; 30,"Fast",IF(Table1[[#This Row],[Days on Market]]&lt;= 90,"Average", "Slow"))</f>
        <v>Slow</v>
      </c>
      <c r="T1759" t="str">
        <f>IF(Table1[[#This Row],[Price2]]&lt;500000,"Affordable",IF(Table1[[#This Row],[Price2]]&lt;1000000,"Mid range","Luxury"))</f>
        <v>Mid range</v>
      </c>
    </row>
    <row r="1760" spans="1:20" x14ac:dyDescent="0.35">
      <c r="A1760" s="3">
        <v>929862</v>
      </c>
      <c r="B1760" s="2" t="s">
        <v>22</v>
      </c>
      <c r="C1760">
        <v>27909</v>
      </c>
      <c r="D1760" s="2" t="s">
        <v>29</v>
      </c>
      <c r="E1760">
        <v>3</v>
      </c>
      <c r="F1760">
        <v>1</v>
      </c>
      <c r="G1760" s="4">
        <f>VALUE(SUBSTITUTE(SUBSTITUTE(Table1[[#This Row],[Price]],"$",""),",",""))</f>
        <v>929862</v>
      </c>
      <c r="H1760" s="1">
        <f>Table1[[#This Row],[Price2]]/Table1[[#This Row],[Area]]</f>
        <v>566.98902439024391</v>
      </c>
      <c r="I1760">
        <v>1640</v>
      </c>
      <c r="J1760">
        <v>1950</v>
      </c>
      <c r="K1760">
        <v>58</v>
      </c>
      <c r="L1760" t="s">
        <v>30</v>
      </c>
      <c r="M1760" t="s">
        <v>96</v>
      </c>
      <c r="N1760" s="2" t="s">
        <v>3033</v>
      </c>
      <c r="O1760" t="s">
        <v>3034</v>
      </c>
      <c r="P1760" t="s">
        <v>21</v>
      </c>
      <c r="Q1760">
        <v>566.98902439024391</v>
      </c>
      <c r="R1760">
        <f ca="1">YEAR(TODAY())-Table1[[#This Row],[Year Built]]</f>
        <v>76</v>
      </c>
      <c r="S1760" t="str">
        <f>IF(Table1[[#This Row],[Days on Market]] &lt; 30,"Fast",IF(Table1[[#This Row],[Days on Market]]&lt;= 90,"Average", "Slow"))</f>
        <v>Average</v>
      </c>
      <c r="T1760" t="str">
        <f>IF(Table1[[#This Row],[Price2]]&lt;500000,"Affordable",IF(Table1[[#This Row],[Price2]]&lt;1000000,"Mid range","Luxury"))</f>
        <v>Mid range</v>
      </c>
    </row>
    <row r="1761" spans="1:20" x14ac:dyDescent="0.35">
      <c r="A1761" s="3">
        <v>930535</v>
      </c>
      <c r="B1761" s="2" t="s">
        <v>12</v>
      </c>
      <c r="C1761">
        <v>93570</v>
      </c>
      <c r="D1761" s="2" t="s">
        <v>18</v>
      </c>
      <c r="E1761">
        <v>6</v>
      </c>
      <c r="F1761">
        <v>1</v>
      </c>
      <c r="G1761" s="4">
        <f>VALUE(SUBSTITUTE(SUBSTITUTE(Table1[[#This Row],[Price]],"$",""),",",""))</f>
        <v>930535</v>
      </c>
      <c r="H1761" s="1">
        <f>Table1[[#This Row],[Price2]]/Table1[[#This Row],[Area]]</f>
        <v>375.8218901453958</v>
      </c>
      <c r="I1761">
        <v>2476</v>
      </c>
      <c r="J1761">
        <v>1962</v>
      </c>
      <c r="K1761">
        <v>116</v>
      </c>
      <c r="L1761" t="s">
        <v>14</v>
      </c>
      <c r="M1761" t="s">
        <v>371</v>
      </c>
      <c r="N1761" s="2" t="s">
        <v>3035</v>
      </c>
      <c r="O1761" t="s">
        <v>3036</v>
      </c>
      <c r="P1761" t="s">
        <v>21</v>
      </c>
      <c r="Q1761">
        <v>375.8218901453958</v>
      </c>
      <c r="R1761">
        <f ca="1">YEAR(TODAY())-Table1[[#This Row],[Year Built]]</f>
        <v>64</v>
      </c>
      <c r="S1761" t="str">
        <f>IF(Table1[[#This Row],[Days on Market]] &lt; 30,"Fast",IF(Table1[[#This Row],[Days on Market]]&lt;= 90,"Average", "Slow"))</f>
        <v>Slow</v>
      </c>
      <c r="T1761" t="str">
        <f>IF(Table1[[#This Row],[Price2]]&lt;500000,"Affordable",IF(Table1[[#This Row],[Price2]]&lt;1000000,"Mid range","Luxury"))</f>
        <v>Mid range</v>
      </c>
    </row>
    <row r="1762" spans="1:20" x14ac:dyDescent="0.35">
      <c r="A1762" s="3">
        <v>930934</v>
      </c>
      <c r="B1762" s="2" t="s">
        <v>34</v>
      </c>
      <c r="C1762">
        <v>88302</v>
      </c>
      <c r="D1762" s="2" t="s">
        <v>18</v>
      </c>
      <c r="E1762">
        <v>1</v>
      </c>
      <c r="F1762">
        <v>1</v>
      </c>
      <c r="G1762" s="4">
        <f>VALUE(SUBSTITUTE(SUBSTITUTE(Table1[[#This Row],[Price]],"$",""),",",""))</f>
        <v>930934</v>
      </c>
      <c r="H1762" s="1">
        <f>Table1[[#This Row],[Price2]]/Table1[[#This Row],[Area]]</f>
        <v>289.19975147561354</v>
      </c>
      <c r="I1762">
        <v>3219</v>
      </c>
      <c r="J1762">
        <v>1966</v>
      </c>
      <c r="K1762">
        <v>70</v>
      </c>
      <c r="L1762" t="s">
        <v>52</v>
      </c>
      <c r="M1762" t="s">
        <v>571</v>
      </c>
      <c r="N1762" s="2" t="s">
        <v>3027</v>
      </c>
      <c r="O1762" t="s">
        <v>3028</v>
      </c>
      <c r="P1762" t="s">
        <v>21</v>
      </c>
      <c r="Q1762">
        <v>289.19975147561354</v>
      </c>
      <c r="R1762">
        <f ca="1">YEAR(TODAY())-Table1[[#This Row],[Year Built]]</f>
        <v>60</v>
      </c>
      <c r="S1762" t="str">
        <f>IF(Table1[[#This Row],[Days on Market]] &lt; 30,"Fast",IF(Table1[[#This Row],[Days on Market]]&lt;= 90,"Average", "Slow"))</f>
        <v>Average</v>
      </c>
      <c r="T1762" t="str">
        <f>IF(Table1[[#This Row],[Price2]]&lt;500000,"Affordable",IF(Table1[[#This Row],[Price2]]&lt;1000000,"Mid range","Luxury"))</f>
        <v>Mid range</v>
      </c>
    </row>
    <row r="1763" spans="1:20" x14ac:dyDescent="0.35">
      <c r="A1763" s="3">
        <v>931701</v>
      </c>
      <c r="B1763" s="2" t="s">
        <v>27</v>
      </c>
      <c r="C1763">
        <v>18307</v>
      </c>
      <c r="D1763" s="2" t="s">
        <v>35</v>
      </c>
      <c r="E1763">
        <v>4</v>
      </c>
      <c r="F1763">
        <v>4</v>
      </c>
      <c r="G1763" s="4">
        <f>VALUE(SUBSTITUTE(SUBSTITUTE(Table1[[#This Row],[Price]],"$",""),",",""))</f>
        <v>931701</v>
      </c>
      <c r="H1763" s="1">
        <f>Table1[[#This Row],[Price2]]/Table1[[#This Row],[Area]]</f>
        <v>278.20274708868317</v>
      </c>
      <c r="I1763">
        <v>3349</v>
      </c>
      <c r="J1763">
        <v>2001</v>
      </c>
      <c r="K1763">
        <v>86</v>
      </c>
      <c r="L1763" t="s">
        <v>40</v>
      </c>
      <c r="M1763" t="s">
        <v>1706</v>
      </c>
      <c r="N1763" s="2" t="s">
        <v>3031</v>
      </c>
      <c r="O1763" t="s">
        <v>3032</v>
      </c>
      <c r="P1763" t="s">
        <v>21</v>
      </c>
      <c r="Q1763">
        <v>278.20274708868317</v>
      </c>
      <c r="R1763">
        <f ca="1">YEAR(TODAY())-Table1[[#This Row],[Year Built]]</f>
        <v>25</v>
      </c>
      <c r="S1763" t="str">
        <f>IF(Table1[[#This Row],[Days on Market]] &lt; 30,"Fast",IF(Table1[[#This Row],[Days on Market]]&lt;= 90,"Average", "Slow"))</f>
        <v>Average</v>
      </c>
      <c r="T1763" t="str">
        <f>IF(Table1[[#This Row],[Price2]]&lt;500000,"Affordable",IF(Table1[[#This Row],[Price2]]&lt;1000000,"Mid range","Luxury"))</f>
        <v>Mid range</v>
      </c>
    </row>
    <row r="1764" spans="1:20" x14ac:dyDescent="0.35">
      <c r="A1764" s="3">
        <v>932923</v>
      </c>
      <c r="B1764" s="2" t="s">
        <v>27</v>
      </c>
      <c r="C1764">
        <v>22124</v>
      </c>
      <c r="D1764" s="2" t="s">
        <v>18</v>
      </c>
      <c r="E1764">
        <v>2</v>
      </c>
      <c r="F1764">
        <v>1</v>
      </c>
      <c r="G1764" s="4">
        <f>VALUE(SUBSTITUTE(SUBSTITUTE(Table1[[#This Row],[Price]],"$",""),",",""))</f>
        <v>932923</v>
      </c>
      <c r="H1764" s="1">
        <f>Table1[[#This Row],[Price2]]/Table1[[#This Row],[Area]]</f>
        <v>338.38338774029745</v>
      </c>
      <c r="I1764">
        <v>2757</v>
      </c>
      <c r="J1764">
        <v>1997</v>
      </c>
      <c r="K1764">
        <v>19</v>
      </c>
      <c r="L1764" t="s">
        <v>30</v>
      </c>
      <c r="M1764" t="s">
        <v>1591</v>
      </c>
      <c r="N1764" s="2" t="s">
        <v>3033</v>
      </c>
      <c r="O1764" t="s">
        <v>3034</v>
      </c>
      <c r="P1764" t="s">
        <v>26</v>
      </c>
      <c r="Q1764">
        <v>338.38338774029745</v>
      </c>
      <c r="R1764">
        <f ca="1">YEAR(TODAY())-Table1[[#This Row],[Year Built]]</f>
        <v>29</v>
      </c>
      <c r="S1764" t="str">
        <f>IF(Table1[[#This Row],[Days on Market]] &lt; 30,"Fast",IF(Table1[[#This Row],[Days on Market]]&lt;= 90,"Average", "Slow"))</f>
        <v>Fast</v>
      </c>
      <c r="T1764" t="str">
        <f>IF(Table1[[#This Row],[Price2]]&lt;500000,"Affordable",IF(Table1[[#This Row],[Price2]]&lt;1000000,"Mid range","Luxury"))</f>
        <v>Mid range</v>
      </c>
    </row>
    <row r="1765" spans="1:20" x14ac:dyDescent="0.35">
      <c r="A1765" s="3">
        <v>933014</v>
      </c>
      <c r="B1765" s="2" t="s">
        <v>17</v>
      </c>
      <c r="C1765">
        <v>49179</v>
      </c>
      <c r="D1765" s="2" t="s">
        <v>23</v>
      </c>
      <c r="E1765">
        <v>3</v>
      </c>
      <c r="F1765">
        <v>4</v>
      </c>
      <c r="G1765" s="4">
        <f>VALUE(SUBSTITUTE(SUBSTITUTE(Table1[[#This Row],[Price]],"$",""),",",""))</f>
        <v>933014</v>
      </c>
      <c r="H1765" s="1">
        <f>Table1[[#This Row],[Price2]]/Table1[[#This Row],[Area]]</f>
        <v>387.1427385892116</v>
      </c>
      <c r="I1765">
        <v>2410</v>
      </c>
      <c r="J1765">
        <v>2002</v>
      </c>
      <c r="K1765">
        <v>73</v>
      </c>
      <c r="L1765" t="s">
        <v>19</v>
      </c>
      <c r="M1765" t="s">
        <v>551</v>
      </c>
      <c r="N1765" s="2" t="s">
        <v>3027</v>
      </c>
      <c r="O1765" t="s">
        <v>3028</v>
      </c>
      <c r="P1765" t="s">
        <v>21</v>
      </c>
      <c r="Q1765">
        <v>387.1427385892116</v>
      </c>
      <c r="R1765">
        <f ca="1">YEAR(TODAY())-Table1[[#This Row],[Year Built]]</f>
        <v>24</v>
      </c>
      <c r="S1765" t="str">
        <f>IF(Table1[[#This Row],[Days on Market]] &lt; 30,"Fast",IF(Table1[[#This Row],[Days on Market]]&lt;= 90,"Average", "Slow"))</f>
        <v>Average</v>
      </c>
      <c r="T1765" t="str">
        <f>IF(Table1[[#This Row],[Price2]]&lt;500000,"Affordable",IF(Table1[[#This Row],[Price2]]&lt;1000000,"Mid range","Luxury"))</f>
        <v>Mid range</v>
      </c>
    </row>
    <row r="1766" spans="1:20" x14ac:dyDescent="0.35">
      <c r="A1766" s="3">
        <v>933171</v>
      </c>
      <c r="B1766" s="2" t="s">
        <v>17</v>
      </c>
      <c r="C1766">
        <v>46537</v>
      </c>
      <c r="D1766" s="2" t="s">
        <v>13</v>
      </c>
      <c r="E1766">
        <v>5</v>
      </c>
      <c r="F1766">
        <v>4</v>
      </c>
      <c r="G1766" s="4">
        <f>VALUE(SUBSTITUTE(SUBSTITUTE(Table1[[#This Row],[Price]],"$",""),",",""))</f>
        <v>933171</v>
      </c>
      <c r="H1766" s="1">
        <f>Table1[[#This Row],[Price2]]/Table1[[#This Row],[Area]]</f>
        <v>379.64646053702199</v>
      </c>
      <c r="I1766">
        <v>2458</v>
      </c>
      <c r="J1766">
        <v>1999</v>
      </c>
      <c r="K1766">
        <v>2</v>
      </c>
      <c r="L1766" t="s">
        <v>14</v>
      </c>
      <c r="M1766" t="s">
        <v>861</v>
      </c>
      <c r="N1766" s="2" t="s">
        <v>3031</v>
      </c>
      <c r="O1766" t="s">
        <v>3032</v>
      </c>
      <c r="P1766" t="s">
        <v>16</v>
      </c>
      <c r="Q1766">
        <v>379.64646053702199</v>
      </c>
      <c r="R1766">
        <f ca="1">YEAR(TODAY())-Table1[[#This Row],[Year Built]]</f>
        <v>27</v>
      </c>
      <c r="S1766" t="str">
        <f>IF(Table1[[#This Row],[Days on Market]] &lt; 30,"Fast",IF(Table1[[#This Row],[Days on Market]]&lt;= 90,"Average", "Slow"))</f>
        <v>Fast</v>
      </c>
      <c r="T1766" t="str">
        <f>IF(Table1[[#This Row],[Price2]]&lt;500000,"Affordable",IF(Table1[[#This Row],[Price2]]&lt;1000000,"Mid range","Luxury"))</f>
        <v>Mid range</v>
      </c>
    </row>
    <row r="1767" spans="1:20" x14ac:dyDescent="0.35">
      <c r="A1767" s="3">
        <v>933573</v>
      </c>
      <c r="B1767" s="2" t="s">
        <v>22</v>
      </c>
      <c r="C1767">
        <v>35223</v>
      </c>
      <c r="D1767" s="2" t="s">
        <v>29</v>
      </c>
      <c r="E1767">
        <v>2</v>
      </c>
      <c r="F1767">
        <v>1</v>
      </c>
      <c r="G1767" s="4">
        <f>VALUE(SUBSTITUTE(SUBSTITUTE(Table1[[#This Row],[Price]],"$",""),",",""))</f>
        <v>933573</v>
      </c>
      <c r="H1767" s="1">
        <f>Table1[[#This Row],[Price2]]/Table1[[#This Row],[Area]]</f>
        <v>816.77427821522315</v>
      </c>
      <c r="I1767">
        <v>1143</v>
      </c>
      <c r="J1767">
        <v>2019</v>
      </c>
      <c r="K1767">
        <v>98</v>
      </c>
      <c r="L1767" t="s">
        <v>40</v>
      </c>
      <c r="M1767" t="s">
        <v>1680</v>
      </c>
      <c r="N1767" s="2" t="s">
        <v>3029</v>
      </c>
      <c r="O1767" t="s">
        <v>3030</v>
      </c>
      <c r="P1767" t="s">
        <v>16</v>
      </c>
      <c r="Q1767">
        <v>816.77427821522315</v>
      </c>
      <c r="R1767">
        <f ca="1">YEAR(TODAY())-Table1[[#This Row],[Year Built]]</f>
        <v>7</v>
      </c>
      <c r="S1767" t="str">
        <f>IF(Table1[[#This Row],[Days on Market]] &lt; 30,"Fast",IF(Table1[[#This Row],[Days on Market]]&lt;= 90,"Average", "Slow"))</f>
        <v>Slow</v>
      </c>
      <c r="T1767" t="str">
        <f>IF(Table1[[#This Row],[Price2]]&lt;500000,"Affordable",IF(Table1[[#This Row],[Price2]]&lt;1000000,"Mid range","Luxury"))</f>
        <v>Mid range</v>
      </c>
    </row>
    <row r="1768" spans="1:20" x14ac:dyDescent="0.35">
      <c r="A1768" s="3">
        <v>934181</v>
      </c>
      <c r="B1768" s="2" t="s">
        <v>27</v>
      </c>
      <c r="C1768">
        <v>54344</v>
      </c>
      <c r="D1768" s="2" t="s">
        <v>35</v>
      </c>
      <c r="E1768">
        <v>6</v>
      </c>
      <c r="F1768">
        <v>1</v>
      </c>
      <c r="G1768" s="4">
        <f>VALUE(SUBSTITUTE(SUBSTITUTE(Table1[[#This Row],[Price]],"$",""),",",""))</f>
        <v>934181</v>
      </c>
      <c r="H1768" s="1">
        <f>Table1[[#This Row],[Price2]]/Table1[[#This Row],[Area]]</f>
        <v>240.3347054283509</v>
      </c>
      <c r="I1768">
        <v>3887</v>
      </c>
      <c r="J1768">
        <v>1976</v>
      </c>
      <c r="K1768">
        <v>100</v>
      </c>
      <c r="L1768" t="s">
        <v>19</v>
      </c>
      <c r="M1768" t="s">
        <v>1935</v>
      </c>
      <c r="N1768" s="2" t="s">
        <v>3033</v>
      </c>
      <c r="O1768" t="s">
        <v>3034</v>
      </c>
      <c r="P1768" t="s">
        <v>16</v>
      </c>
      <c r="Q1768">
        <v>240.3347054283509</v>
      </c>
      <c r="R1768">
        <f ca="1">YEAR(TODAY())-Table1[[#This Row],[Year Built]]</f>
        <v>50</v>
      </c>
      <c r="S1768" t="str">
        <f>IF(Table1[[#This Row],[Days on Market]] &lt; 30,"Fast",IF(Table1[[#This Row],[Days on Market]]&lt;= 90,"Average", "Slow"))</f>
        <v>Slow</v>
      </c>
      <c r="T1768" t="str">
        <f>IF(Table1[[#This Row],[Price2]]&lt;500000,"Affordable",IF(Table1[[#This Row],[Price2]]&lt;1000000,"Mid range","Luxury"))</f>
        <v>Mid range</v>
      </c>
    </row>
    <row r="1769" spans="1:20" x14ac:dyDescent="0.35">
      <c r="A1769" s="3">
        <v>934997</v>
      </c>
      <c r="B1769" s="2" t="s">
        <v>34</v>
      </c>
      <c r="C1769">
        <v>72524</v>
      </c>
      <c r="D1769" s="2" t="s">
        <v>18</v>
      </c>
      <c r="E1769">
        <v>6</v>
      </c>
      <c r="F1769">
        <v>3</v>
      </c>
      <c r="G1769" s="4">
        <f>VALUE(SUBSTITUTE(SUBSTITUTE(Table1[[#This Row],[Price]],"$",""),",",""))</f>
        <v>934997</v>
      </c>
      <c r="H1769" s="1">
        <f>Table1[[#This Row],[Price2]]/Table1[[#This Row],[Area]]</f>
        <v>367.38585461689587</v>
      </c>
      <c r="I1769">
        <v>2545</v>
      </c>
      <c r="J1769">
        <v>1982</v>
      </c>
      <c r="K1769">
        <v>93</v>
      </c>
      <c r="L1769" t="s">
        <v>14</v>
      </c>
      <c r="M1769" t="s">
        <v>2820</v>
      </c>
      <c r="N1769" s="2" t="s">
        <v>3035</v>
      </c>
      <c r="O1769" t="s">
        <v>3036</v>
      </c>
      <c r="P1769" t="s">
        <v>16</v>
      </c>
      <c r="Q1769">
        <v>367.38585461689587</v>
      </c>
      <c r="R1769">
        <f ca="1">YEAR(TODAY())-Table1[[#This Row],[Year Built]]</f>
        <v>44</v>
      </c>
      <c r="S1769" t="str">
        <f>IF(Table1[[#This Row],[Days on Market]] &lt; 30,"Fast",IF(Table1[[#This Row],[Days on Market]]&lt;= 90,"Average", "Slow"))</f>
        <v>Slow</v>
      </c>
      <c r="T1769" t="str">
        <f>IF(Table1[[#This Row],[Price2]]&lt;500000,"Affordable",IF(Table1[[#This Row],[Price2]]&lt;1000000,"Mid range","Luxury"))</f>
        <v>Mid range</v>
      </c>
    </row>
    <row r="1770" spans="1:20" x14ac:dyDescent="0.35">
      <c r="A1770" s="3">
        <v>935219</v>
      </c>
      <c r="B1770" s="2" t="s">
        <v>27</v>
      </c>
      <c r="C1770">
        <v>87095</v>
      </c>
      <c r="D1770" s="2" t="s">
        <v>13</v>
      </c>
      <c r="E1770">
        <v>2</v>
      </c>
      <c r="F1770">
        <v>1</v>
      </c>
      <c r="G1770" s="4">
        <f>VALUE(SUBSTITUTE(SUBSTITUTE(Table1[[#This Row],[Price]],"$",""),",",""))</f>
        <v>935219</v>
      </c>
      <c r="H1770" s="1">
        <f>Table1[[#This Row],[Price2]]/Table1[[#This Row],[Area]]</f>
        <v>310.39462329903751</v>
      </c>
      <c r="I1770">
        <v>3013</v>
      </c>
      <c r="J1770">
        <v>1992</v>
      </c>
      <c r="K1770">
        <v>116</v>
      </c>
      <c r="L1770" t="s">
        <v>19</v>
      </c>
      <c r="M1770" t="s">
        <v>1810</v>
      </c>
      <c r="N1770" s="2" t="s">
        <v>3029</v>
      </c>
      <c r="O1770" t="s">
        <v>3030</v>
      </c>
      <c r="P1770" t="s">
        <v>26</v>
      </c>
      <c r="Q1770">
        <v>310.39462329903751</v>
      </c>
      <c r="R1770">
        <f ca="1">YEAR(TODAY())-Table1[[#This Row],[Year Built]]</f>
        <v>34</v>
      </c>
      <c r="S1770" t="str">
        <f>IF(Table1[[#This Row],[Days on Market]] &lt; 30,"Fast",IF(Table1[[#This Row],[Days on Market]]&lt;= 90,"Average", "Slow"))</f>
        <v>Slow</v>
      </c>
      <c r="T1770" t="str">
        <f>IF(Table1[[#This Row],[Price2]]&lt;500000,"Affordable",IF(Table1[[#This Row],[Price2]]&lt;1000000,"Mid range","Luxury"))</f>
        <v>Mid range</v>
      </c>
    </row>
    <row r="1771" spans="1:20" x14ac:dyDescent="0.35">
      <c r="A1771" s="3">
        <v>935362</v>
      </c>
      <c r="B1771" s="2" t="s">
        <v>17</v>
      </c>
      <c r="C1771">
        <v>71928</v>
      </c>
      <c r="D1771" s="2" t="s">
        <v>23</v>
      </c>
      <c r="E1771">
        <v>4</v>
      </c>
      <c r="F1771">
        <v>1</v>
      </c>
      <c r="G1771" s="4">
        <f>VALUE(SUBSTITUTE(SUBSTITUTE(Table1[[#This Row],[Price]],"$",""),",",""))</f>
        <v>935362</v>
      </c>
      <c r="H1771" s="1">
        <f>Table1[[#This Row],[Price2]]/Table1[[#This Row],[Area]]</f>
        <v>312.93476078956172</v>
      </c>
      <c r="I1771">
        <v>2989</v>
      </c>
      <c r="J1771">
        <v>1965</v>
      </c>
      <c r="K1771">
        <v>113</v>
      </c>
      <c r="L1771" t="s">
        <v>19</v>
      </c>
      <c r="M1771" t="s">
        <v>1308</v>
      </c>
      <c r="N1771" s="2" t="s">
        <v>3035</v>
      </c>
      <c r="O1771" t="s">
        <v>3036</v>
      </c>
      <c r="P1771" t="s">
        <v>26</v>
      </c>
      <c r="Q1771">
        <v>312.93476078956172</v>
      </c>
      <c r="R1771">
        <f ca="1">YEAR(TODAY())-Table1[[#This Row],[Year Built]]</f>
        <v>61</v>
      </c>
      <c r="S1771" t="str">
        <f>IF(Table1[[#This Row],[Days on Market]] &lt; 30,"Fast",IF(Table1[[#This Row],[Days on Market]]&lt;= 90,"Average", "Slow"))</f>
        <v>Slow</v>
      </c>
      <c r="T1771" t="str">
        <f>IF(Table1[[#This Row],[Price2]]&lt;500000,"Affordable",IF(Table1[[#This Row],[Price2]]&lt;1000000,"Mid range","Luxury"))</f>
        <v>Mid range</v>
      </c>
    </row>
    <row r="1772" spans="1:20" x14ac:dyDescent="0.35">
      <c r="A1772" s="3">
        <v>935650</v>
      </c>
      <c r="B1772" s="2" t="s">
        <v>34</v>
      </c>
      <c r="C1772">
        <v>37653</v>
      </c>
      <c r="D1772" s="2" t="s">
        <v>13</v>
      </c>
      <c r="E1772">
        <v>1</v>
      </c>
      <c r="F1772">
        <v>3</v>
      </c>
      <c r="G1772" s="4">
        <f>VALUE(SUBSTITUTE(SUBSTITUTE(Table1[[#This Row],[Price]],"$",""),",",""))</f>
        <v>935650</v>
      </c>
      <c r="H1772" s="1">
        <f>Table1[[#This Row],[Price2]]/Table1[[#This Row],[Area]]</f>
        <v>343.35779816513764</v>
      </c>
      <c r="I1772">
        <v>2725</v>
      </c>
      <c r="J1772">
        <v>1996</v>
      </c>
      <c r="K1772">
        <v>16</v>
      </c>
      <c r="L1772" t="s">
        <v>40</v>
      </c>
      <c r="M1772" t="s">
        <v>2575</v>
      </c>
      <c r="N1772" s="2" t="s">
        <v>3033</v>
      </c>
      <c r="O1772" t="s">
        <v>3034</v>
      </c>
      <c r="P1772" t="s">
        <v>21</v>
      </c>
      <c r="Q1772">
        <v>343.35779816513764</v>
      </c>
      <c r="R1772">
        <f ca="1">YEAR(TODAY())-Table1[[#This Row],[Year Built]]</f>
        <v>30</v>
      </c>
      <c r="S1772" t="str">
        <f>IF(Table1[[#This Row],[Days on Market]] &lt; 30,"Fast",IF(Table1[[#This Row],[Days on Market]]&lt;= 90,"Average", "Slow"))</f>
        <v>Fast</v>
      </c>
      <c r="T1772" t="str">
        <f>IF(Table1[[#This Row],[Price2]]&lt;500000,"Affordable",IF(Table1[[#This Row],[Price2]]&lt;1000000,"Mid range","Luxury"))</f>
        <v>Mid range</v>
      </c>
    </row>
    <row r="1773" spans="1:20" x14ac:dyDescent="0.35">
      <c r="A1773" s="3">
        <v>935900</v>
      </c>
      <c r="B1773" s="2" t="s">
        <v>12</v>
      </c>
      <c r="C1773">
        <v>33686</v>
      </c>
      <c r="D1773" s="2" t="s">
        <v>23</v>
      </c>
      <c r="E1773">
        <v>1</v>
      </c>
      <c r="F1773">
        <v>1</v>
      </c>
      <c r="G1773" s="4">
        <f>VALUE(SUBSTITUTE(SUBSTITUTE(Table1[[#This Row],[Price]],"$",""),",",""))</f>
        <v>935900</v>
      </c>
      <c r="H1773" s="1">
        <f>Table1[[#This Row],[Price2]]/Table1[[#This Row],[Area]]</f>
        <v>332.23287184948526</v>
      </c>
      <c r="I1773">
        <v>2817</v>
      </c>
      <c r="J1773">
        <v>2007</v>
      </c>
      <c r="K1773">
        <v>99</v>
      </c>
      <c r="L1773" t="s">
        <v>52</v>
      </c>
      <c r="M1773" t="s">
        <v>1449</v>
      </c>
      <c r="N1773" s="2" t="s">
        <v>3031</v>
      </c>
      <c r="O1773" t="s">
        <v>3032</v>
      </c>
      <c r="P1773" t="s">
        <v>16</v>
      </c>
      <c r="Q1773">
        <v>332.23287184948526</v>
      </c>
      <c r="R1773">
        <f ca="1">YEAR(TODAY())-Table1[[#This Row],[Year Built]]</f>
        <v>19</v>
      </c>
      <c r="S1773" t="str">
        <f>IF(Table1[[#This Row],[Days on Market]] &lt; 30,"Fast",IF(Table1[[#This Row],[Days on Market]]&lt;= 90,"Average", "Slow"))</f>
        <v>Slow</v>
      </c>
      <c r="T1773" t="str">
        <f>IF(Table1[[#This Row],[Price2]]&lt;500000,"Affordable",IF(Table1[[#This Row],[Price2]]&lt;1000000,"Mid range","Luxury"))</f>
        <v>Mid range</v>
      </c>
    </row>
    <row r="1774" spans="1:20" x14ac:dyDescent="0.35">
      <c r="A1774" s="3">
        <v>936069</v>
      </c>
      <c r="B1774" s="2" t="s">
        <v>12</v>
      </c>
      <c r="C1774">
        <v>77374</v>
      </c>
      <c r="D1774" s="2" t="s">
        <v>29</v>
      </c>
      <c r="E1774">
        <v>2</v>
      </c>
      <c r="F1774">
        <v>2</v>
      </c>
      <c r="G1774" s="4">
        <f>VALUE(SUBSTITUTE(SUBSTITUTE(Table1[[#This Row],[Price]],"$",""),",",""))</f>
        <v>936069</v>
      </c>
      <c r="H1774" s="1">
        <f>Table1[[#This Row],[Price2]]/Table1[[#This Row],[Area]]</f>
        <v>425.67939972714868</v>
      </c>
      <c r="I1774">
        <v>2199</v>
      </c>
      <c r="J1774">
        <v>1952</v>
      </c>
      <c r="K1774">
        <v>90</v>
      </c>
      <c r="L1774" t="s">
        <v>30</v>
      </c>
      <c r="M1774" t="s">
        <v>750</v>
      </c>
      <c r="N1774" s="2" t="s">
        <v>3035</v>
      </c>
      <c r="O1774" t="s">
        <v>3036</v>
      </c>
      <c r="P1774" t="s">
        <v>21</v>
      </c>
      <c r="Q1774">
        <v>425.67939972714868</v>
      </c>
      <c r="R1774">
        <f ca="1">YEAR(TODAY())-Table1[[#This Row],[Year Built]]</f>
        <v>74</v>
      </c>
      <c r="S1774" t="str">
        <f>IF(Table1[[#This Row],[Days on Market]] &lt; 30,"Fast",IF(Table1[[#This Row],[Days on Market]]&lt;= 90,"Average", "Slow"))</f>
        <v>Average</v>
      </c>
      <c r="T1774" t="str">
        <f>IF(Table1[[#This Row],[Price2]]&lt;500000,"Affordable",IF(Table1[[#This Row],[Price2]]&lt;1000000,"Mid range","Luxury"))</f>
        <v>Mid range</v>
      </c>
    </row>
    <row r="1775" spans="1:20" x14ac:dyDescent="0.35">
      <c r="A1775" s="3">
        <v>936123</v>
      </c>
      <c r="B1775" s="2" t="s">
        <v>12</v>
      </c>
      <c r="C1775">
        <v>58737</v>
      </c>
      <c r="D1775" s="2" t="s">
        <v>29</v>
      </c>
      <c r="E1775">
        <v>5</v>
      </c>
      <c r="F1775">
        <v>1</v>
      </c>
      <c r="G1775" s="4">
        <f>VALUE(SUBSTITUTE(SUBSTITUTE(Table1[[#This Row],[Price]],"$",""),",",""))</f>
        <v>936123</v>
      </c>
      <c r="H1775" s="1">
        <f>Table1[[#This Row],[Price2]]/Table1[[#This Row],[Area]]</f>
        <v>617.49538258575194</v>
      </c>
      <c r="I1775">
        <v>1516</v>
      </c>
      <c r="J1775">
        <v>1987</v>
      </c>
      <c r="K1775">
        <v>113</v>
      </c>
      <c r="L1775" t="s">
        <v>14</v>
      </c>
      <c r="M1775" t="s">
        <v>774</v>
      </c>
      <c r="N1775" s="2" t="s">
        <v>3033</v>
      </c>
      <c r="O1775" t="s">
        <v>3034</v>
      </c>
      <c r="P1775" t="s">
        <v>16</v>
      </c>
      <c r="Q1775">
        <v>617.49538258575194</v>
      </c>
      <c r="R1775">
        <f ca="1">YEAR(TODAY())-Table1[[#This Row],[Year Built]]</f>
        <v>39</v>
      </c>
      <c r="S1775" t="str">
        <f>IF(Table1[[#This Row],[Days on Market]] &lt; 30,"Fast",IF(Table1[[#This Row],[Days on Market]]&lt;= 90,"Average", "Slow"))</f>
        <v>Slow</v>
      </c>
      <c r="T1775" t="str">
        <f>IF(Table1[[#This Row],[Price2]]&lt;500000,"Affordable",IF(Table1[[#This Row],[Price2]]&lt;1000000,"Mid range","Luxury"))</f>
        <v>Mid range</v>
      </c>
    </row>
    <row r="1776" spans="1:20" x14ac:dyDescent="0.35">
      <c r="A1776" s="3">
        <v>936502</v>
      </c>
      <c r="B1776" s="2" t="s">
        <v>34</v>
      </c>
      <c r="C1776">
        <v>39671</v>
      </c>
      <c r="D1776" s="2" t="s">
        <v>29</v>
      </c>
      <c r="E1776">
        <v>6</v>
      </c>
      <c r="F1776">
        <v>2</v>
      </c>
      <c r="G1776" s="4">
        <f>VALUE(SUBSTITUTE(SUBSTITUTE(Table1[[#This Row],[Price]],"$",""),",",""))</f>
        <v>936502</v>
      </c>
      <c r="H1776" s="1">
        <f>Table1[[#This Row],[Price2]]/Table1[[#This Row],[Area]]</f>
        <v>560.44404548174748</v>
      </c>
      <c r="I1776">
        <v>1671</v>
      </c>
      <c r="J1776">
        <v>1971</v>
      </c>
      <c r="K1776">
        <v>26</v>
      </c>
      <c r="L1776" t="s">
        <v>40</v>
      </c>
      <c r="M1776" t="s">
        <v>1627</v>
      </c>
      <c r="N1776" s="2" t="s">
        <v>3035</v>
      </c>
      <c r="O1776" t="s">
        <v>3036</v>
      </c>
      <c r="P1776" t="s">
        <v>21</v>
      </c>
      <c r="Q1776">
        <v>560.44404548174748</v>
      </c>
      <c r="R1776">
        <f ca="1">YEAR(TODAY())-Table1[[#This Row],[Year Built]]</f>
        <v>55</v>
      </c>
      <c r="S1776" t="str">
        <f>IF(Table1[[#This Row],[Days on Market]] &lt; 30,"Fast",IF(Table1[[#This Row],[Days on Market]]&lt;= 90,"Average", "Slow"))</f>
        <v>Fast</v>
      </c>
      <c r="T1776" t="str">
        <f>IF(Table1[[#This Row],[Price2]]&lt;500000,"Affordable",IF(Table1[[#This Row],[Price2]]&lt;1000000,"Mid range","Luxury"))</f>
        <v>Mid range</v>
      </c>
    </row>
    <row r="1777" spans="1:20" x14ac:dyDescent="0.35">
      <c r="A1777" s="3">
        <v>936790</v>
      </c>
      <c r="B1777" s="2" t="s">
        <v>27</v>
      </c>
      <c r="C1777">
        <v>90761</v>
      </c>
      <c r="D1777" s="2" t="s">
        <v>29</v>
      </c>
      <c r="E1777">
        <v>2</v>
      </c>
      <c r="F1777">
        <v>3</v>
      </c>
      <c r="G1777" s="4">
        <f>VALUE(SUBSTITUTE(SUBSTITUTE(Table1[[#This Row],[Price]],"$",""),",",""))</f>
        <v>936790</v>
      </c>
      <c r="H1777" s="1">
        <f>Table1[[#This Row],[Price2]]/Table1[[#This Row],[Area]]</f>
        <v>304.44913877153073</v>
      </c>
      <c r="I1777">
        <v>3077</v>
      </c>
      <c r="J1777">
        <v>2007</v>
      </c>
      <c r="K1777">
        <v>26</v>
      </c>
      <c r="L1777" t="s">
        <v>40</v>
      </c>
      <c r="M1777" t="s">
        <v>2340</v>
      </c>
      <c r="N1777" s="2" t="s">
        <v>3031</v>
      </c>
      <c r="O1777" t="s">
        <v>3032</v>
      </c>
      <c r="P1777" t="s">
        <v>26</v>
      </c>
      <c r="Q1777">
        <v>304.44913877153073</v>
      </c>
      <c r="R1777">
        <f ca="1">YEAR(TODAY())-Table1[[#This Row],[Year Built]]</f>
        <v>19</v>
      </c>
      <c r="S1777" t="str">
        <f>IF(Table1[[#This Row],[Days on Market]] &lt; 30,"Fast",IF(Table1[[#This Row],[Days on Market]]&lt;= 90,"Average", "Slow"))</f>
        <v>Fast</v>
      </c>
      <c r="T1777" t="str">
        <f>IF(Table1[[#This Row],[Price2]]&lt;500000,"Affordable",IF(Table1[[#This Row],[Price2]]&lt;1000000,"Mid range","Luxury"))</f>
        <v>Mid range</v>
      </c>
    </row>
    <row r="1778" spans="1:20" x14ac:dyDescent="0.35">
      <c r="A1778" s="3">
        <v>936991</v>
      </c>
      <c r="B1778" s="2" t="s">
        <v>22</v>
      </c>
      <c r="C1778">
        <v>37843</v>
      </c>
      <c r="D1778" s="2" t="s">
        <v>23</v>
      </c>
      <c r="E1778">
        <v>1</v>
      </c>
      <c r="F1778">
        <v>2</v>
      </c>
      <c r="G1778" s="4">
        <f>VALUE(SUBSTITUTE(SUBSTITUTE(Table1[[#This Row],[Price]],"$",""),",",""))</f>
        <v>936991</v>
      </c>
      <c r="H1778" s="1">
        <f>Table1[[#This Row],[Price2]]/Table1[[#This Row],[Area]]</f>
        <v>235.72100628930818</v>
      </c>
      <c r="I1778">
        <v>3975</v>
      </c>
      <c r="J1778">
        <v>1967</v>
      </c>
      <c r="K1778">
        <v>108</v>
      </c>
      <c r="L1778" t="s">
        <v>30</v>
      </c>
      <c r="M1778" t="s">
        <v>706</v>
      </c>
      <c r="N1778" s="2" t="s">
        <v>3035</v>
      </c>
      <c r="O1778" t="s">
        <v>3036</v>
      </c>
      <c r="P1778" t="s">
        <v>21</v>
      </c>
      <c r="Q1778">
        <v>235.72100628930818</v>
      </c>
      <c r="R1778">
        <f ca="1">YEAR(TODAY())-Table1[[#This Row],[Year Built]]</f>
        <v>59</v>
      </c>
      <c r="S1778" t="str">
        <f>IF(Table1[[#This Row],[Days on Market]] &lt; 30,"Fast",IF(Table1[[#This Row],[Days on Market]]&lt;= 90,"Average", "Slow"))</f>
        <v>Slow</v>
      </c>
      <c r="T1778" t="str">
        <f>IF(Table1[[#This Row],[Price2]]&lt;500000,"Affordable",IF(Table1[[#This Row],[Price2]]&lt;1000000,"Mid range","Luxury"))</f>
        <v>Mid range</v>
      </c>
    </row>
    <row r="1779" spans="1:20" x14ac:dyDescent="0.35">
      <c r="A1779" s="3">
        <v>937063</v>
      </c>
      <c r="B1779" s="2" t="s">
        <v>34</v>
      </c>
      <c r="C1779">
        <v>22221</v>
      </c>
      <c r="D1779" s="2" t="s">
        <v>13</v>
      </c>
      <c r="E1779">
        <v>2</v>
      </c>
      <c r="F1779">
        <v>2</v>
      </c>
      <c r="G1779" s="4">
        <f>VALUE(SUBSTITUTE(SUBSTITUTE(Table1[[#This Row],[Price]],"$",""),",",""))</f>
        <v>937063</v>
      </c>
      <c r="H1779" s="1">
        <f>Table1[[#This Row],[Price2]]/Table1[[#This Row],[Area]]</f>
        <v>242.6367167270844</v>
      </c>
      <c r="I1779">
        <v>3862</v>
      </c>
      <c r="J1779">
        <v>2022</v>
      </c>
      <c r="K1779">
        <v>118</v>
      </c>
      <c r="L1779" t="s">
        <v>19</v>
      </c>
      <c r="M1779" t="s">
        <v>1175</v>
      </c>
      <c r="N1779" s="2" t="s">
        <v>3031</v>
      </c>
      <c r="O1779" t="s">
        <v>3032</v>
      </c>
      <c r="P1779" t="s">
        <v>26</v>
      </c>
      <c r="Q1779">
        <v>242.6367167270844</v>
      </c>
      <c r="R1779">
        <f ca="1">YEAR(TODAY())-Table1[[#This Row],[Year Built]]</f>
        <v>4</v>
      </c>
      <c r="S1779" t="str">
        <f>IF(Table1[[#This Row],[Days on Market]] &lt; 30,"Fast",IF(Table1[[#This Row],[Days on Market]]&lt;= 90,"Average", "Slow"))</f>
        <v>Slow</v>
      </c>
      <c r="T1779" t="str">
        <f>IF(Table1[[#This Row],[Price2]]&lt;500000,"Affordable",IF(Table1[[#This Row],[Price2]]&lt;1000000,"Mid range","Luxury"))</f>
        <v>Mid range</v>
      </c>
    </row>
    <row r="1780" spans="1:20" x14ac:dyDescent="0.35">
      <c r="A1780" s="3">
        <v>937185</v>
      </c>
      <c r="B1780" s="2" t="s">
        <v>27</v>
      </c>
      <c r="C1780">
        <v>23918</v>
      </c>
      <c r="D1780" s="2" t="s">
        <v>18</v>
      </c>
      <c r="E1780">
        <v>6</v>
      </c>
      <c r="F1780">
        <v>1</v>
      </c>
      <c r="G1780" s="4">
        <f>VALUE(SUBSTITUTE(SUBSTITUTE(Table1[[#This Row],[Price]],"$",""),",",""))</f>
        <v>937185</v>
      </c>
      <c r="H1780" s="1">
        <f>Table1[[#This Row],[Price2]]/Table1[[#This Row],[Area]]</f>
        <v>251.5257648953301</v>
      </c>
      <c r="I1780">
        <v>3726</v>
      </c>
      <c r="J1780">
        <v>1979</v>
      </c>
      <c r="K1780">
        <v>18</v>
      </c>
      <c r="L1780" t="s">
        <v>30</v>
      </c>
      <c r="M1780" t="s">
        <v>1333</v>
      </c>
      <c r="N1780" s="2" t="s">
        <v>3027</v>
      </c>
      <c r="O1780" t="s">
        <v>3028</v>
      </c>
      <c r="P1780" t="s">
        <v>16</v>
      </c>
      <c r="Q1780">
        <v>251.5257648953301</v>
      </c>
      <c r="R1780">
        <f ca="1">YEAR(TODAY())-Table1[[#This Row],[Year Built]]</f>
        <v>47</v>
      </c>
      <c r="S1780" t="str">
        <f>IF(Table1[[#This Row],[Days on Market]] &lt; 30,"Fast",IF(Table1[[#This Row],[Days on Market]]&lt;= 90,"Average", "Slow"))</f>
        <v>Fast</v>
      </c>
      <c r="T1780" t="str">
        <f>IF(Table1[[#This Row],[Price2]]&lt;500000,"Affordable",IF(Table1[[#This Row],[Price2]]&lt;1000000,"Mid range","Luxury"))</f>
        <v>Mid range</v>
      </c>
    </row>
    <row r="1781" spans="1:20" x14ac:dyDescent="0.35">
      <c r="A1781" s="3">
        <v>937423</v>
      </c>
      <c r="B1781" s="2" t="s">
        <v>27</v>
      </c>
      <c r="C1781">
        <v>64486</v>
      </c>
      <c r="D1781" s="2" t="s">
        <v>35</v>
      </c>
      <c r="E1781">
        <v>3</v>
      </c>
      <c r="F1781">
        <v>1</v>
      </c>
      <c r="G1781" s="4">
        <f>VALUE(SUBSTITUTE(SUBSTITUTE(Table1[[#This Row],[Price]],"$",""),",",""))</f>
        <v>937423</v>
      </c>
      <c r="H1781" s="1">
        <f>Table1[[#This Row],[Price2]]/Table1[[#This Row],[Area]]</f>
        <v>331.83115044247785</v>
      </c>
      <c r="I1781">
        <v>2825</v>
      </c>
      <c r="J1781">
        <v>2018</v>
      </c>
      <c r="K1781">
        <v>10</v>
      </c>
      <c r="L1781" t="s">
        <v>40</v>
      </c>
      <c r="M1781" t="s">
        <v>2347</v>
      </c>
      <c r="N1781" s="2" t="s">
        <v>3033</v>
      </c>
      <c r="O1781" t="s">
        <v>3034</v>
      </c>
      <c r="P1781" t="s">
        <v>26</v>
      </c>
      <c r="Q1781">
        <v>331.83115044247785</v>
      </c>
      <c r="R1781">
        <f ca="1">YEAR(TODAY())-Table1[[#This Row],[Year Built]]</f>
        <v>8</v>
      </c>
      <c r="S1781" t="str">
        <f>IF(Table1[[#This Row],[Days on Market]] &lt; 30,"Fast",IF(Table1[[#This Row],[Days on Market]]&lt;= 90,"Average", "Slow"))</f>
        <v>Fast</v>
      </c>
      <c r="T1781" t="str">
        <f>IF(Table1[[#This Row],[Price2]]&lt;500000,"Affordable",IF(Table1[[#This Row],[Price2]]&lt;1000000,"Mid range","Luxury"))</f>
        <v>Mid range</v>
      </c>
    </row>
    <row r="1782" spans="1:20" x14ac:dyDescent="0.35">
      <c r="A1782" s="3">
        <v>938238</v>
      </c>
      <c r="B1782" s="2" t="s">
        <v>27</v>
      </c>
      <c r="C1782">
        <v>76192</v>
      </c>
      <c r="D1782" s="2" t="s">
        <v>23</v>
      </c>
      <c r="E1782">
        <v>6</v>
      </c>
      <c r="F1782">
        <v>4</v>
      </c>
      <c r="G1782" s="4">
        <f>VALUE(SUBSTITUTE(SUBSTITUTE(Table1[[#This Row],[Price]],"$",""),",",""))</f>
        <v>938238</v>
      </c>
      <c r="H1782" s="1">
        <f>Table1[[#This Row],[Price2]]/Table1[[#This Row],[Area]]</f>
        <v>253.85227272727272</v>
      </c>
      <c r="I1782">
        <v>3696</v>
      </c>
      <c r="J1782">
        <v>2002</v>
      </c>
      <c r="K1782">
        <v>45</v>
      </c>
      <c r="L1782" t="s">
        <v>40</v>
      </c>
      <c r="M1782" t="s">
        <v>2735</v>
      </c>
      <c r="N1782" s="2" t="s">
        <v>3035</v>
      </c>
      <c r="O1782" t="s">
        <v>3036</v>
      </c>
      <c r="P1782" t="s">
        <v>26</v>
      </c>
      <c r="Q1782">
        <v>253.85227272727272</v>
      </c>
      <c r="R1782">
        <f ca="1">YEAR(TODAY())-Table1[[#This Row],[Year Built]]</f>
        <v>24</v>
      </c>
      <c r="S1782" t="str">
        <f>IF(Table1[[#This Row],[Days on Market]] &lt; 30,"Fast",IF(Table1[[#This Row],[Days on Market]]&lt;= 90,"Average", "Slow"))</f>
        <v>Average</v>
      </c>
      <c r="T1782" t="str">
        <f>IF(Table1[[#This Row],[Price2]]&lt;500000,"Affordable",IF(Table1[[#This Row],[Price2]]&lt;1000000,"Mid range","Luxury"))</f>
        <v>Mid range</v>
      </c>
    </row>
    <row r="1783" spans="1:20" x14ac:dyDescent="0.35">
      <c r="A1783" s="3">
        <v>938654</v>
      </c>
      <c r="B1783" s="2" t="s">
        <v>12</v>
      </c>
      <c r="C1783">
        <v>95615</v>
      </c>
      <c r="D1783" s="2" t="s">
        <v>29</v>
      </c>
      <c r="E1783">
        <v>1</v>
      </c>
      <c r="F1783">
        <v>3</v>
      </c>
      <c r="G1783" s="4">
        <f>VALUE(SUBSTITUTE(SUBSTITUTE(Table1[[#This Row],[Price]],"$",""),",",""))</f>
        <v>938654</v>
      </c>
      <c r="H1783" s="1">
        <f>Table1[[#This Row],[Price2]]/Table1[[#This Row],[Area]]</f>
        <v>866.71652816251151</v>
      </c>
      <c r="I1783">
        <v>1083</v>
      </c>
      <c r="J1783">
        <v>2000</v>
      </c>
      <c r="K1783">
        <v>74</v>
      </c>
      <c r="L1783" t="s">
        <v>19</v>
      </c>
      <c r="M1783" t="s">
        <v>1916</v>
      </c>
      <c r="N1783" s="2" t="s">
        <v>3027</v>
      </c>
      <c r="O1783" t="s">
        <v>3028</v>
      </c>
      <c r="P1783" t="s">
        <v>26</v>
      </c>
      <c r="Q1783">
        <v>866.71652816251151</v>
      </c>
      <c r="R1783">
        <f ca="1">YEAR(TODAY())-Table1[[#This Row],[Year Built]]</f>
        <v>26</v>
      </c>
      <c r="S1783" t="str">
        <f>IF(Table1[[#This Row],[Days on Market]] &lt; 30,"Fast",IF(Table1[[#This Row],[Days on Market]]&lt;= 90,"Average", "Slow"))</f>
        <v>Average</v>
      </c>
      <c r="T1783" t="str">
        <f>IF(Table1[[#This Row],[Price2]]&lt;500000,"Affordable",IF(Table1[[#This Row],[Price2]]&lt;1000000,"Mid range","Luxury"))</f>
        <v>Mid range</v>
      </c>
    </row>
    <row r="1784" spans="1:20" x14ac:dyDescent="0.35">
      <c r="A1784" s="3">
        <v>938789</v>
      </c>
      <c r="B1784" s="2" t="s">
        <v>17</v>
      </c>
      <c r="C1784">
        <v>23436</v>
      </c>
      <c r="D1784" s="2" t="s">
        <v>23</v>
      </c>
      <c r="E1784">
        <v>6</v>
      </c>
      <c r="F1784">
        <v>2</v>
      </c>
      <c r="G1784" s="4">
        <f>VALUE(SUBSTITUTE(SUBSTITUTE(Table1[[#This Row],[Price]],"$",""),",",""))</f>
        <v>938789</v>
      </c>
      <c r="H1784" s="1">
        <f>Table1[[#This Row],[Price2]]/Table1[[#This Row],[Area]]</f>
        <v>382.55460472697638</v>
      </c>
      <c r="I1784">
        <v>2454</v>
      </c>
      <c r="J1784">
        <v>1989</v>
      </c>
      <c r="K1784">
        <v>50</v>
      </c>
      <c r="L1784" t="s">
        <v>30</v>
      </c>
      <c r="M1784" t="s">
        <v>501</v>
      </c>
      <c r="N1784" s="2" t="s">
        <v>3033</v>
      </c>
      <c r="O1784" t="s">
        <v>3034</v>
      </c>
      <c r="P1784" t="s">
        <v>26</v>
      </c>
      <c r="Q1784">
        <v>382.55460472697638</v>
      </c>
      <c r="R1784">
        <f ca="1">YEAR(TODAY())-Table1[[#This Row],[Year Built]]</f>
        <v>37</v>
      </c>
      <c r="S1784" t="str">
        <f>IF(Table1[[#This Row],[Days on Market]] &lt; 30,"Fast",IF(Table1[[#This Row],[Days on Market]]&lt;= 90,"Average", "Slow"))</f>
        <v>Average</v>
      </c>
      <c r="T1784" t="str">
        <f>IF(Table1[[#This Row],[Price2]]&lt;500000,"Affordable",IF(Table1[[#This Row],[Price2]]&lt;1000000,"Mid range","Luxury"))</f>
        <v>Mid range</v>
      </c>
    </row>
    <row r="1785" spans="1:20" x14ac:dyDescent="0.35">
      <c r="A1785" s="3">
        <v>939995</v>
      </c>
      <c r="B1785" s="2" t="s">
        <v>17</v>
      </c>
      <c r="C1785">
        <v>15004</v>
      </c>
      <c r="D1785" s="2" t="s">
        <v>13</v>
      </c>
      <c r="E1785">
        <v>6</v>
      </c>
      <c r="F1785">
        <v>1</v>
      </c>
      <c r="G1785" s="4">
        <f>VALUE(SUBSTITUTE(SUBSTITUTE(Table1[[#This Row],[Price]],"$",""),",",""))</f>
        <v>939995</v>
      </c>
      <c r="H1785" s="1">
        <f>Table1[[#This Row],[Price2]]/Table1[[#This Row],[Area]]</f>
        <v>256.68896777717094</v>
      </c>
      <c r="I1785">
        <v>3662</v>
      </c>
      <c r="J1785">
        <v>2012</v>
      </c>
      <c r="K1785">
        <v>68</v>
      </c>
      <c r="L1785" t="s">
        <v>14</v>
      </c>
      <c r="M1785" t="s">
        <v>2615</v>
      </c>
      <c r="N1785" s="2" t="s">
        <v>3035</v>
      </c>
      <c r="O1785" t="s">
        <v>3036</v>
      </c>
      <c r="P1785" t="s">
        <v>16</v>
      </c>
      <c r="Q1785">
        <v>256.68896777717094</v>
      </c>
      <c r="R1785">
        <f ca="1">YEAR(TODAY())-Table1[[#This Row],[Year Built]]</f>
        <v>14</v>
      </c>
      <c r="S1785" t="str">
        <f>IF(Table1[[#This Row],[Days on Market]] &lt; 30,"Fast",IF(Table1[[#This Row],[Days on Market]]&lt;= 90,"Average", "Slow"))</f>
        <v>Average</v>
      </c>
      <c r="T1785" t="str">
        <f>IF(Table1[[#This Row],[Price2]]&lt;500000,"Affordable",IF(Table1[[#This Row],[Price2]]&lt;1000000,"Mid range","Luxury"))</f>
        <v>Mid range</v>
      </c>
    </row>
    <row r="1786" spans="1:20" x14ac:dyDescent="0.35">
      <c r="A1786" s="3">
        <v>940081</v>
      </c>
      <c r="B1786" s="2" t="s">
        <v>12</v>
      </c>
      <c r="C1786">
        <v>90961</v>
      </c>
      <c r="D1786" s="2" t="s">
        <v>18</v>
      </c>
      <c r="E1786">
        <v>6</v>
      </c>
      <c r="F1786">
        <v>1</v>
      </c>
      <c r="G1786" s="4">
        <f>VALUE(SUBSTITUTE(SUBSTITUTE(Table1[[#This Row],[Price]],"$",""),",",""))</f>
        <v>940081</v>
      </c>
      <c r="H1786" s="1">
        <f>Table1[[#This Row],[Price2]]/Table1[[#This Row],[Area]]</f>
        <v>691.23602941176466</v>
      </c>
      <c r="I1786">
        <v>1360</v>
      </c>
      <c r="J1786">
        <v>2019</v>
      </c>
      <c r="K1786">
        <v>42</v>
      </c>
      <c r="L1786" t="s">
        <v>40</v>
      </c>
      <c r="M1786" t="s">
        <v>1410</v>
      </c>
      <c r="N1786" s="2" t="s">
        <v>3033</v>
      </c>
      <c r="O1786" t="s">
        <v>3034</v>
      </c>
      <c r="P1786" t="s">
        <v>21</v>
      </c>
      <c r="Q1786">
        <v>691.23602941176466</v>
      </c>
      <c r="R1786">
        <f ca="1">YEAR(TODAY())-Table1[[#This Row],[Year Built]]</f>
        <v>7</v>
      </c>
      <c r="S1786" t="str">
        <f>IF(Table1[[#This Row],[Days on Market]] &lt; 30,"Fast",IF(Table1[[#This Row],[Days on Market]]&lt;= 90,"Average", "Slow"))</f>
        <v>Average</v>
      </c>
      <c r="T1786" t="str">
        <f>IF(Table1[[#This Row],[Price2]]&lt;500000,"Affordable",IF(Table1[[#This Row],[Price2]]&lt;1000000,"Mid range","Luxury"))</f>
        <v>Mid range</v>
      </c>
    </row>
    <row r="1787" spans="1:20" x14ac:dyDescent="0.35">
      <c r="A1787" s="3">
        <v>940609</v>
      </c>
      <c r="B1787" s="2" t="s">
        <v>17</v>
      </c>
      <c r="C1787">
        <v>32550</v>
      </c>
      <c r="D1787" s="2" t="s">
        <v>23</v>
      </c>
      <c r="E1787">
        <v>5</v>
      </c>
      <c r="F1787">
        <v>2</v>
      </c>
      <c r="G1787" s="4">
        <f>VALUE(SUBSTITUTE(SUBSTITUTE(Table1[[#This Row],[Price]],"$",""),",",""))</f>
        <v>940609</v>
      </c>
      <c r="H1787" s="1">
        <f>Table1[[#This Row],[Price2]]/Table1[[#This Row],[Area]]</f>
        <v>684.57714701601162</v>
      </c>
      <c r="I1787">
        <v>1374</v>
      </c>
      <c r="J1787">
        <v>1984</v>
      </c>
      <c r="K1787">
        <v>91</v>
      </c>
      <c r="L1787" t="s">
        <v>30</v>
      </c>
      <c r="M1787" t="s">
        <v>1050</v>
      </c>
      <c r="N1787" s="2" t="s">
        <v>3035</v>
      </c>
      <c r="O1787" t="s">
        <v>3036</v>
      </c>
      <c r="P1787" t="s">
        <v>21</v>
      </c>
      <c r="Q1787">
        <v>684.57714701601162</v>
      </c>
      <c r="R1787">
        <f ca="1">YEAR(TODAY())-Table1[[#This Row],[Year Built]]</f>
        <v>42</v>
      </c>
      <c r="S1787" t="str">
        <f>IF(Table1[[#This Row],[Days on Market]] &lt; 30,"Fast",IF(Table1[[#This Row],[Days on Market]]&lt;= 90,"Average", "Slow"))</f>
        <v>Slow</v>
      </c>
      <c r="T1787" t="str">
        <f>IF(Table1[[#This Row],[Price2]]&lt;500000,"Affordable",IF(Table1[[#This Row],[Price2]]&lt;1000000,"Mid range","Luxury"))</f>
        <v>Mid range</v>
      </c>
    </row>
    <row r="1788" spans="1:20" x14ac:dyDescent="0.35">
      <c r="A1788" s="3">
        <v>940838</v>
      </c>
      <c r="B1788" s="2" t="s">
        <v>34</v>
      </c>
      <c r="C1788">
        <v>53920</v>
      </c>
      <c r="D1788" s="2" t="s">
        <v>29</v>
      </c>
      <c r="E1788">
        <v>4</v>
      </c>
      <c r="F1788">
        <v>4</v>
      </c>
      <c r="G1788" s="4">
        <f>VALUE(SUBSTITUTE(SUBSTITUTE(Table1[[#This Row],[Price]],"$",""),",",""))</f>
        <v>940838</v>
      </c>
      <c r="H1788" s="1">
        <f>Table1[[#This Row],[Price2]]/Table1[[#This Row],[Area]]</f>
        <v>310.61010234400794</v>
      </c>
      <c r="I1788">
        <v>3029</v>
      </c>
      <c r="J1788">
        <v>2022</v>
      </c>
      <c r="K1788">
        <v>112</v>
      </c>
      <c r="L1788" t="s">
        <v>52</v>
      </c>
      <c r="M1788" t="s">
        <v>1147</v>
      </c>
      <c r="N1788" s="2" t="s">
        <v>3035</v>
      </c>
      <c r="O1788" t="s">
        <v>3036</v>
      </c>
      <c r="P1788" t="s">
        <v>26</v>
      </c>
      <c r="Q1788">
        <v>310.61010234400794</v>
      </c>
      <c r="R1788">
        <f ca="1">YEAR(TODAY())-Table1[[#This Row],[Year Built]]</f>
        <v>4</v>
      </c>
      <c r="S1788" t="str">
        <f>IF(Table1[[#This Row],[Days on Market]] &lt; 30,"Fast",IF(Table1[[#This Row],[Days on Market]]&lt;= 90,"Average", "Slow"))</f>
        <v>Slow</v>
      </c>
      <c r="T1788" t="str">
        <f>IF(Table1[[#This Row],[Price2]]&lt;500000,"Affordable",IF(Table1[[#This Row],[Price2]]&lt;1000000,"Mid range","Luxury"))</f>
        <v>Mid range</v>
      </c>
    </row>
    <row r="1789" spans="1:20" x14ac:dyDescent="0.35">
      <c r="A1789" s="3">
        <v>941522</v>
      </c>
      <c r="B1789" s="2" t="s">
        <v>17</v>
      </c>
      <c r="C1789">
        <v>58683</v>
      </c>
      <c r="D1789" s="2" t="s">
        <v>23</v>
      </c>
      <c r="E1789">
        <v>4</v>
      </c>
      <c r="F1789">
        <v>2</v>
      </c>
      <c r="G1789" s="4">
        <f>VALUE(SUBSTITUTE(SUBSTITUTE(Table1[[#This Row],[Price]],"$",""),",",""))</f>
        <v>941522</v>
      </c>
      <c r="H1789" s="1">
        <f>Table1[[#This Row],[Price2]]/Table1[[#This Row],[Area]]</f>
        <v>1026.7415485278082</v>
      </c>
      <c r="I1789">
        <v>917</v>
      </c>
      <c r="J1789">
        <v>1963</v>
      </c>
      <c r="K1789">
        <v>61</v>
      </c>
      <c r="L1789" t="s">
        <v>30</v>
      </c>
      <c r="M1789" t="s">
        <v>2268</v>
      </c>
      <c r="N1789" s="2" t="s">
        <v>3035</v>
      </c>
      <c r="O1789" t="s">
        <v>3036</v>
      </c>
      <c r="P1789" t="s">
        <v>26</v>
      </c>
      <c r="Q1789">
        <v>1026.7415485278082</v>
      </c>
      <c r="R1789">
        <f ca="1">YEAR(TODAY())-Table1[[#This Row],[Year Built]]</f>
        <v>63</v>
      </c>
      <c r="S1789" t="str">
        <f>IF(Table1[[#This Row],[Days on Market]] &lt; 30,"Fast",IF(Table1[[#This Row],[Days on Market]]&lt;= 90,"Average", "Slow"))</f>
        <v>Average</v>
      </c>
      <c r="T1789" t="str">
        <f>IF(Table1[[#This Row],[Price2]]&lt;500000,"Affordable",IF(Table1[[#This Row],[Price2]]&lt;1000000,"Mid range","Luxury"))</f>
        <v>Mid range</v>
      </c>
    </row>
    <row r="1790" spans="1:20" x14ac:dyDescent="0.35">
      <c r="A1790" s="3">
        <v>941690</v>
      </c>
      <c r="B1790" s="2" t="s">
        <v>12</v>
      </c>
      <c r="C1790">
        <v>86353</v>
      </c>
      <c r="D1790" s="2" t="s">
        <v>18</v>
      </c>
      <c r="E1790">
        <v>6</v>
      </c>
      <c r="F1790">
        <v>4</v>
      </c>
      <c r="G1790" s="4">
        <f>VALUE(SUBSTITUTE(SUBSTITUTE(Table1[[#This Row],[Price]],"$",""),",",""))</f>
        <v>941690</v>
      </c>
      <c r="H1790" s="1">
        <f>Table1[[#This Row],[Price2]]/Table1[[#This Row],[Area]]</f>
        <v>1424.6444780635402</v>
      </c>
      <c r="I1790">
        <v>661</v>
      </c>
      <c r="J1790">
        <v>2003</v>
      </c>
      <c r="K1790">
        <v>10</v>
      </c>
      <c r="L1790" t="s">
        <v>40</v>
      </c>
      <c r="M1790" t="s">
        <v>816</v>
      </c>
      <c r="N1790" s="2" t="s">
        <v>3027</v>
      </c>
      <c r="O1790" t="s">
        <v>3028</v>
      </c>
      <c r="P1790" t="s">
        <v>26</v>
      </c>
      <c r="Q1790">
        <v>1424.6444780635402</v>
      </c>
      <c r="R1790">
        <f ca="1">YEAR(TODAY())-Table1[[#This Row],[Year Built]]</f>
        <v>23</v>
      </c>
      <c r="S1790" t="str">
        <f>IF(Table1[[#This Row],[Days on Market]] &lt; 30,"Fast",IF(Table1[[#This Row],[Days on Market]]&lt;= 90,"Average", "Slow"))</f>
        <v>Fast</v>
      </c>
      <c r="T1790" t="str">
        <f>IF(Table1[[#This Row],[Price2]]&lt;500000,"Affordable",IF(Table1[[#This Row],[Price2]]&lt;1000000,"Mid range","Luxury"))</f>
        <v>Mid range</v>
      </c>
    </row>
    <row r="1791" spans="1:20" x14ac:dyDescent="0.35">
      <c r="A1791" s="3">
        <v>941729</v>
      </c>
      <c r="B1791" s="2" t="s">
        <v>27</v>
      </c>
      <c r="C1791">
        <v>29846</v>
      </c>
      <c r="D1791" s="2" t="s">
        <v>13</v>
      </c>
      <c r="E1791">
        <v>3</v>
      </c>
      <c r="F1791">
        <v>3</v>
      </c>
      <c r="G1791" s="4">
        <f>VALUE(SUBSTITUTE(SUBSTITUTE(Table1[[#This Row],[Price]],"$",""),",",""))</f>
        <v>941729</v>
      </c>
      <c r="H1791" s="1">
        <f>Table1[[#This Row],[Price2]]/Table1[[#This Row],[Area]]</f>
        <v>436.18758684576193</v>
      </c>
      <c r="I1791">
        <v>2159</v>
      </c>
      <c r="J1791">
        <v>2023</v>
      </c>
      <c r="K1791">
        <v>42</v>
      </c>
      <c r="L1791" t="s">
        <v>40</v>
      </c>
      <c r="M1791" t="s">
        <v>1138</v>
      </c>
      <c r="N1791" s="2" t="s">
        <v>3029</v>
      </c>
      <c r="O1791" t="s">
        <v>3030</v>
      </c>
      <c r="P1791" t="s">
        <v>26</v>
      </c>
      <c r="Q1791">
        <v>436.18758684576193</v>
      </c>
      <c r="R1791">
        <f ca="1">YEAR(TODAY())-Table1[[#This Row],[Year Built]]</f>
        <v>3</v>
      </c>
      <c r="S1791" t="str">
        <f>IF(Table1[[#This Row],[Days on Market]] &lt; 30,"Fast",IF(Table1[[#This Row],[Days on Market]]&lt;= 90,"Average", "Slow"))</f>
        <v>Average</v>
      </c>
      <c r="T1791" t="str">
        <f>IF(Table1[[#This Row],[Price2]]&lt;500000,"Affordable",IF(Table1[[#This Row],[Price2]]&lt;1000000,"Mid range","Luxury"))</f>
        <v>Mid range</v>
      </c>
    </row>
    <row r="1792" spans="1:20" x14ac:dyDescent="0.35">
      <c r="A1792" s="3">
        <v>941784</v>
      </c>
      <c r="B1792" s="2" t="s">
        <v>17</v>
      </c>
      <c r="C1792">
        <v>36258</v>
      </c>
      <c r="D1792" s="2" t="s">
        <v>13</v>
      </c>
      <c r="E1792">
        <v>5</v>
      </c>
      <c r="F1792">
        <v>1</v>
      </c>
      <c r="G1792" s="4">
        <f>VALUE(SUBSTITUTE(SUBSTITUTE(Table1[[#This Row],[Price]],"$",""),",",""))</f>
        <v>941784</v>
      </c>
      <c r="H1792" s="1">
        <f>Table1[[#This Row],[Price2]]/Table1[[#This Row],[Area]]</f>
        <v>441.94462693571091</v>
      </c>
      <c r="I1792">
        <v>2131</v>
      </c>
      <c r="J1792">
        <v>1959</v>
      </c>
      <c r="K1792">
        <v>6</v>
      </c>
      <c r="L1792" t="s">
        <v>14</v>
      </c>
      <c r="M1792" t="s">
        <v>1243</v>
      </c>
      <c r="N1792" s="2" t="s">
        <v>3033</v>
      </c>
      <c r="O1792" t="s">
        <v>3034</v>
      </c>
      <c r="P1792" t="s">
        <v>16</v>
      </c>
      <c r="Q1792">
        <v>441.94462693571091</v>
      </c>
      <c r="R1792">
        <f ca="1">YEAR(TODAY())-Table1[[#This Row],[Year Built]]</f>
        <v>67</v>
      </c>
      <c r="S1792" t="str">
        <f>IF(Table1[[#This Row],[Days on Market]] &lt; 30,"Fast",IF(Table1[[#This Row],[Days on Market]]&lt;= 90,"Average", "Slow"))</f>
        <v>Fast</v>
      </c>
      <c r="T1792" t="str">
        <f>IF(Table1[[#This Row],[Price2]]&lt;500000,"Affordable",IF(Table1[[#This Row],[Price2]]&lt;1000000,"Mid range","Luxury"))</f>
        <v>Mid range</v>
      </c>
    </row>
    <row r="1793" spans="1:20" x14ac:dyDescent="0.35">
      <c r="A1793" s="3">
        <v>942211</v>
      </c>
      <c r="B1793" s="2" t="s">
        <v>34</v>
      </c>
      <c r="C1793">
        <v>10863</v>
      </c>
      <c r="D1793" s="2" t="s">
        <v>13</v>
      </c>
      <c r="E1793">
        <v>2</v>
      </c>
      <c r="F1793">
        <v>2</v>
      </c>
      <c r="G1793" s="4">
        <f>VALUE(SUBSTITUTE(SUBSTITUTE(Table1[[#This Row],[Price]],"$",""),",",""))</f>
        <v>942211</v>
      </c>
      <c r="H1793" s="1">
        <f>Table1[[#This Row],[Price2]]/Table1[[#This Row],[Area]]</f>
        <v>830.14185022026436</v>
      </c>
      <c r="I1793">
        <v>1135</v>
      </c>
      <c r="J1793">
        <v>2014</v>
      </c>
      <c r="K1793">
        <v>6</v>
      </c>
      <c r="L1793" t="s">
        <v>52</v>
      </c>
      <c r="M1793" t="s">
        <v>2919</v>
      </c>
      <c r="N1793" s="2" t="s">
        <v>3029</v>
      </c>
      <c r="O1793" t="s">
        <v>3030</v>
      </c>
      <c r="P1793" t="s">
        <v>21</v>
      </c>
      <c r="Q1793">
        <v>830.14185022026436</v>
      </c>
      <c r="R1793">
        <f ca="1">YEAR(TODAY())-Table1[[#This Row],[Year Built]]</f>
        <v>12</v>
      </c>
      <c r="S1793" t="str">
        <f>IF(Table1[[#This Row],[Days on Market]] &lt; 30,"Fast",IF(Table1[[#This Row],[Days on Market]]&lt;= 90,"Average", "Slow"))</f>
        <v>Fast</v>
      </c>
      <c r="T1793" t="str">
        <f>IF(Table1[[#This Row],[Price2]]&lt;500000,"Affordable",IF(Table1[[#This Row],[Price2]]&lt;1000000,"Mid range","Luxury"))</f>
        <v>Mid range</v>
      </c>
    </row>
    <row r="1794" spans="1:20" x14ac:dyDescent="0.35">
      <c r="A1794" s="3">
        <v>942400</v>
      </c>
      <c r="B1794" s="2" t="s">
        <v>22</v>
      </c>
      <c r="C1794">
        <v>53719</v>
      </c>
      <c r="D1794" s="2" t="s">
        <v>18</v>
      </c>
      <c r="E1794">
        <v>3</v>
      </c>
      <c r="F1794">
        <v>1</v>
      </c>
      <c r="G1794" s="4">
        <f>VALUE(SUBSTITUTE(SUBSTITUTE(Table1[[#This Row],[Price]],"$",""),",",""))</f>
        <v>942400</v>
      </c>
      <c r="H1794" s="1">
        <f>Table1[[#This Row],[Price2]]/Table1[[#This Row],[Area]]</f>
        <v>539.13043478260875</v>
      </c>
      <c r="I1794">
        <v>1748</v>
      </c>
      <c r="J1794">
        <v>1995</v>
      </c>
      <c r="K1794">
        <v>88</v>
      </c>
      <c r="L1794" t="s">
        <v>52</v>
      </c>
      <c r="M1794" t="s">
        <v>1799</v>
      </c>
      <c r="N1794" s="2" t="s">
        <v>3031</v>
      </c>
      <c r="O1794" t="s">
        <v>3032</v>
      </c>
      <c r="P1794" t="s">
        <v>26</v>
      </c>
      <c r="Q1794">
        <v>539.13043478260875</v>
      </c>
      <c r="R1794">
        <f ca="1">YEAR(TODAY())-Table1[[#This Row],[Year Built]]</f>
        <v>31</v>
      </c>
      <c r="S1794" t="str">
        <f>IF(Table1[[#This Row],[Days on Market]] &lt; 30,"Fast",IF(Table1[[#This Row],[Days on Market]]&lt;= 90,"Average", "Slow"))</f>
        <v>Average</v>
      </c>
      <c r="T1794" t="str">
        <f>IF(Table1[[#This Row],[Price2]]&lt;500000,"Affordable",IF(Table1[[#This Row],[Price2]]&lt;1000000,"Mid range","Luxury"))</f>
        <v>Mid range</v>
      </c>
    </row>
    <row r="1795" spans="1:20" x14ac:dyDescent="0.35">
      <c r="A1795" s="3">
        <v>942562</v>
      </c>
      <c r="B1795" s="2" t="s">
        <v>17</v>
      </c>
      <c r="C1795">
        <v>39321</v>
      </c>
      <c r="D1795" s="2" t="s">
        <v>35</v>
      </c>
      <c r="E1795">
        <v>2</v>
      </c>
      <c r="F1795">
        <v>4</v>
      </c>
      <c r="G1795" s="4">
        <f>VALUE(SUBSTITUTE(SUBSTITUTE(Table1[[#This Row],[Price]],"$",""),",",""))</f>
        <v>942562</v>
      </c>
      <c r="H1795" s="1">
        <f>Table1[[#This Row],[Price2]]/Table1[[#This Row],[Area]]</f>
        <v>282.28870919436957</v>
      </c>
      <c r="I1795">
        <v>3339</v>
      </c>
      <c r="J1795">
        <v>1976</v>
      </c>
      <c r="K1795">
        <v>118</v>
      </c>
      <c r="L1795" t="s">
        <v>40</v>
      </c>
      <c r="M1795" t="s">
        <v>1791</v>
      </c>
      <c r="N1795" s="2" t="s">
        <v>3035</v>
      </c>
      <c r="O1795" t="s">
        <v>3036</v>
      </c>
      <c r="P1795" t="s">
        <v>26</v>
      </c>
      <c r="Q1795">
        <v>282.28870919436957</v>
      </c>
      <c r="R1795">
        <f ca="1">YEAR(TODAY())-Table1[[#This Row],[Year Built]]</f>
        <v>50</v>
      </c>
      <c r="S1795" t="str">
        <f>IF(Table1[[#This Row],[Days on Market]] &lt; 30,"Fast",IF(Table1[[#This Row],[Days on Market]]&lt;= 90,"Average", "Slow"))</f>
        <v>Slow</v>
      </c>
      <c r="T1795" t="str">
        <f>IF(Table1[[#This Row],[Price2]]&lt;500000,"Affordable",IF(Table1[[#This Row],[Price2]]&lt;1000000,"Mid range","Luxury"))</f>
        <v>Mid range</v>
      </c>
    </row>
    <row r="1796" spans="1:20" x14ac:dyDescent="0.35">
      <c r="A1796" s="3">
        <v>942683</v>
      </c>
      <c r="B1796" s="2" t="s">
        <v>17</v>
      </c>
      <c r="C1796">
        <v>18290</v>
      </c>
      <c r="D1796" s="2" t="s">
        <v>13</v>
      </c>
      <c r="E1796">
        <v>5</v>
      </c>
      <c r="F1796">
        <v>1</v>
      </c>
      <c r="G1796" s="4">
        <f>VALUE(SUBSTITUTE(SUBSTITUTE(Table1[[#This Row],[Price]],"$",""),",",""))</f>
        <v>942683</v>
      </c>
      <c r="H1796" s="1">
        <f>Table1[[#This Row],[Price2]]/Table1[[#This Row],[Area]]</f>
        <v>337.27477638640431</v>
      </c>
      <c r="I1796">
        <v>2795</v>
      </c>
      <c r="J1796">
        <v>1995</v>
      </c>
      <c r="K1796">
        <v>6</v>
      </c>
      <c r="L1796" t="s">
        <v>14</v>
      </c>
      <c r="M1796" t="s">
        <v>1121</v>
      </c>
      <c r="N1796" s="2" t="s">
        <v>3033</v>
      </c>
      <c r="O1796" t="s">
        <v>3034</v>
      </c>
      <c r="P1796" t="s">
        <v>21</v>
      </c>
      <c r="Q1796">
        <v>337.27477638640431</v>
      </c>
      <c r="R1796">
        <f ca="1">YEAR(TODAY())-Table1[[#This Row],[Year Built]]</f>
        <v>31</v>
      </c>
      <c r="S1796" t="str">
        <f>IF(Table1[[#This Row],[Days on Market]] &lt; 30,"Fast",IF(Table1[[#This Row],[Days on Market]]&lt;= 90,"Average", "Slow"))</f>
        <v>Fast</v>
      </c>
      <c r="T1796" t="str">
        <f>IF(Table1[[#This Row],[Price2]]&lt;500000,"Affordable",IF(Table1[[#This Row],[Price2]]&lt;1000000,"Mid range","Luxury"))</f>
        <v>Mid range</v>
      </c>
    </row>
    <row r="1797" spans="1:20" x14ac:dyDescent="0.35">
      <c r="A1797" s="3">
        <v>942804</v>
      </c>
      <c r="B1797" s="2" t="s">
        <v>17</v>
      </c>
      <c r="C1797">
        <v>52199</v>
      </c>
      <c r="D1797" s="2" t="s">
        <v>35</v>
      </c>
      <c r="E1797">
        <v>2</v>
      </c>
      <c r="F1797">
        <v>1</v>
      </c>
      <c r="G1797" s="4">
        <f>VALUE(SUBSTITUTE(SUBSTITUTE(Table1[[#This Row],[Price]],"$",""),",",""))</f>
        <v>942804</v>
      </c>
      <c r="H1797" s="1">
        <f>Table1[[#This Row],[Price2]]/Table1[[#This Row],[Area]]</f>
        <v>306.20461188697629</v>
      </c>
      <c r="I1797">
        <v>3079</v>
      </c>
      <c r="J1797">
        <v>2004</v>
      </c>
      <c r="K1797">
        <v>25</v>
      </c>
      <c r="L1797" t="s">
        <v>52</v>
      </c>
      <c r="M1797" t="s">
        <v>1014</v>
      </c>
      <c r="N1797" s="2" t="s">
        <v>3027</v>
      </c>
      <c r="O1797" t="s">
        <v>3028</v>
      </c>
      <c r="P1797" t="s">
        <v>16</v>
      </c>
      <c r="Q1797">
        <v>306.20461188697629</v>
      </c>
      <c r="R1797">
        <f ca="1">YEAR(TODAY())-Table1[[#This Row],[Year Built]]</f>
        <v>22</v>
      </c>
      <c r="S1797" t="str">
        <f>IF(Table1[[#This Row],[Days on Market]] &lt; 30,"Fast",IF(Table1[[#This Row],[Days on Market]]&lt;= 90,"Average", "Slow"))</f>
        <v>Fast</v>
      </c>
      <c r="T1797" t="str">
        <f>IF(Table1[[#This Row],[Price2]]&lt;500000,"Affordable",IF(Table1[[#This Row],[Price2]]&lt;1000000,"Mid range","Luxury"))</f>
        <v>Mid range</v>
      </c>
    </row>
    <row r="1798" spans="1:20" x14ac:dyDescent="0.35">
      <c r="A1798" s="3">
        <v>943403</v>
      </c>
      <c r="B1798" s="2" t="s">
        <v>17</v>
      </c>
      <c r="C1798">
        <v>31004</v>
      </c>
      <c r="D1798" s="2" t="s">
        <v>29</v>
      </c>
      <c r="E1798">
        <v>2</v>
      </c>
      <c r="F1798">
        <v>3</v>
      </c>
      <c r="G1798" s="4">
        <f>VALUE(SUBSTITUTE(SUBSTITUTE(Table1[[#This Row],[Price]],"$",""),",",""))</f>
        <v>943403</v>
      </c>
      <c r="H1798" s="1">
        <f>Table1[[#This Row],[Price2]]/Table1[[#This Row],[Area]]</f>
        <v>375.25974542561653</v>
      </c>
      <c r="I1798">
        <v>2514</v>
      </c>
      <c r="J1798">
        <v>2000</v>
      </c>
      <c r="K1798">
        <v>118</v>
      </c>
      <c r="L1798" t="s">
        <v>19</v>
      </c>
      <c r="M1798" t="s">
        <v>408</v>
      </c>
      <c r="N1798" s="2" t="s">
        <v>3035</v>
      </c>
      <c r="O1798" t="s">
        <v>3036</v>
      </c>
      <c r="P1798" t="s">
        <v>16</v>
      </c>
      <c r="Q1798">
        <v>375.25974542561653</v>
      </c>
      <c r="R1798">
        <f ca="1">YEAR(TODAY())-Table1[[#This Row],[Year Built]]</f>
        <v>26</v>
      </c>
      <c r="S1798" t="str">
        <f>IF(Table1[[#This Row],[Days on Market]] &lt; 30,"Fast",IF(Table1[[#This Row],[Days on Market]]&lt;= 90,"Average", "Slow"))</f>
        <v>Slow</v>
      </c>
      <c r="T1798" t="str">
        <f>IF(Table1[[#This Row],[Price2]]&lt;500000,"Affordable",IF(Table1[[#This Row],[Price2]]&lt;1000000,"Mid range","Luxury"))</f>
        <v>Mid range</v>
      </c>
    </row>
    <row r="1799" spans="1:20" x14ac:dyDescent="0.35">
      <c r="A1799" s="3">
        <v>943663</v>
      </c>
      <c r="B1799" s="2" t="s">
        <v>27</v>
      </c>
      <c r="C1799">
        <v>83882</v>
      </c>
      <c r="D1799" s="2" t="s">
        <v>18</v>
      </c>
      <c r="E1799">
        <v>1</v>
      </c>
      <c r="F1799">
        <v>1</v>
      </c>
      <c r="G1799" s="4">
        <f>VALUE(SUBSTITUTE(SUBSTITUTE(Table1[[#This Row],[Price]],"$",""),",",""))</f>
        <v>943663</v>
      </c>
      <c r="H1799" s="1">
        <f>Table1[[#This Row],[Price2]]/Table1[[#This Row],[Area]]</f>
        <v>291.25401234567903</v>
      </c>
      <c r="I1799">
        <v>3240</v>
      </c>
      <c r="J1799">
        <v>1971</v>
      </c>
      <c r="K1799">
        <v>55</v>
      </c>
      <c r="L1799" t="s">
        <v>52</v>
      </c>
      <c r="M1799" t="s">
        <v>2674</v>
      </c>
      <c r="N1799" s="2" t="s">
        <v>3031</v>
      </c>
      <c r="O1799" t="s">
        <v>3032</v>
      </c>
      <c r="P1799" t="s">
        <v>26</v>
      </c>
      <c r="Q1799">
        <v>291.25401234567903</v>
      </c>
      <c r="R1799">
        <f ca="1">YEAR(TODAY())-Table1[[#This Row],[Year Built]]</f>
        <v>55</v>
      </c>
      <c r="S1799" t="str">
        <f>IF(Table1[[#This Row],[Days on Market]] &lt; 30,"Fast",IF(Table1[[#This Row],[Days on Market]]&lt;= 90,"Average", "Slow"))</f>
        <v>Average</v>
      </c>
      <c r="T1799" t="str">
        <f>IF(Table1[[#This Row],[Price2]]&lt;500000,"Affordable",IF(Table1[[#This Row],[Price2]]&lt;1000000,"Mid range","Luxury"))</f>
        <v>Mid range</v>
      </c>
    </row>
    <row r="1800" spans="1:20" x14ac:dyDescent="0.35">
      <c r="A1800" s="3">
        <v>943840</v>
      </c>
      <c r="B1800" s="2" t="s">
        <v>27</v>
      </c>
      <c r="C1800">
        <v>75220</v>
      </c>
      <c r="D1800" s="2" t="s">
        <v>29</v>
      </c>
      <c r="E1800">
        <v>3</v>
      </c>
      <c r="F1800">
        <v>1</v>
      </c>
      <c r="G1800" s="4">
        <f>VALUE(SUBSTITUTE(SUBSTITUTE(Table1[[#This Row],[Price]],"$",""),",",""))</f>
        <v>943840</v>
      </c>
      <c r="H1800" s="1">
        <f>Table1[[#This Row],[Price2]]/Table1[[#This Row],[Area]]</f>
        <v>318.32715008431705</v>
      </c>
      <c r="I1800">
        <v>2965</v>
      </c>
      <c r="J1800">
        <v>1955</v>
      </c>
      <c r="K1800">
        <v>9</v>
      </c>
      <c r="L1800" t="s">
        <v>40</v>
      </c>
      <c r="M1800" t="s">
        <v>2327</v>
      </c>
      <c r="N1800" s="2" t="s">
        <v>3031</v>
      </c>
      <c r="O1800" t="s">
        <v>3032</v>
      </c>
      <c r="P1800" t="s">
        <v>26</v>
      </c>
      <c r="Q1800">
        <v>318.32715008431705</v>
      </c>
      <c r="R1800">
        <f ca="1">YEAR(TODAY())-Table1[[#This Row],[Year Built]]</f>
        <v>71</v>
      </c>
      <c r="S1800" t="str">
        <f>IF(Table1[[#This Row],[Days on Market]] &lt; 30,"Fast",IF(Table1[[#This Row],[Days on Market]]&lt;= 90,"Average", "Slow"))</f>
        <v>Fast</v>
      </c>
      <c r="T1800" t="str">
        <f>IF(Table1[[#This Row],[Price2]]&lt;500000,"Affordable",IF(Table1[[#This Row],[Price2]]&lt;1000000,"Mid range","Luxury"))</f>
        <v>Mid range</v>
      </c>
    </row>
    <row r="1801" spans="1:20" x14ac:dyDescent="0.35">
      <c r="A1801" s="3">
        <v>944010</v>
      </c>
      <c r="B1801" s="2" t="s">
        <v>17</v>
      </c>
      <c r="C1801">
        <v>98894</v>
      </c>
      <c r="D1801" s="2" t="s">
        <v>23</v>
      </c>
      <c r="E1801">
        <v>6</v>
      </c>
      <c r="F1801">
        <v>3</v>
      </c>
      <c r="G1801" s="4">
        <f>VALUE(SUBSTITUTE(SUBSTITUTE(Table1[[#This Row],[Price]],"$",""),",",""))</f>
        <v>944010</v>
      </c>
      <c r="H1801" s="1">
        <f>Table1[[#This Row],[Price2]]/Table1[[#This Row],[Area]]</f>
        <v>569.71031985515992</v>
      </c>
      <c r="I1801">
        <v>1657</v>
      </c>
      <c r="J1801">
        <v>1979</v>
      </c>
      <c r="K1801">
        <v>5</v>
      </c>
      <c r="L1801" t="s">
        <v>40</v>
      </c>
      <c r="M1801" t="s">
        <v>429</v>
      </c>
      <c r="N1801" s="2" t="s">
        <v>3035</v>
      </c>
      <c r="O1801" t="s">
        <v>3036</v>
      </c>
      <c r="P1801" t="s">
        <v>16</v>
      </c>
      <c r="Q1801">
        <v>569.71031985515992</v>
      </c>
      <c r="R1801">
        <f ca="1">YEAR(TODAY())-Table1[[#This Row],[Year Built]]</f>
        <v>47</v>
      </c>
      <c r="S1801" t="str">
        <f>IF(Table1[[#This Row],[Days on Market]] &lt; 30,"Fast",IF(Table1[[#This Row],[Days on Market]]&lt;= 90,"Average", "Slow"))</f>
        <v>Fast</v>
      </c>
      <c r="T1801" t="str">
        <f>IF(Table1[[#This Row],[Price2]]&lt;500000,"Affordable",IF(Table1[[#This Row],[Price2]]&lt;1000000,"Mid range","Luxury"))</f>
        <v>Mid range</v>
      </c>
    </row>
    <row r="1802" spans="1:20" x14ac:dyDescent="0.35">
      <c r="A1802" s="3">
        <v>944158</v>
      </c>
      <c r="B1802" s="2" t="s">
        <v>22</v>
      </c>
      <c r="C1802">
        <v>21071</v>
      </c>
      <c r="D1802" s="2" t="s">
        <v>35</v>
      </c>
      <c r="E1802">
        <v>2</v>
      </c>
      <c r="F1802">
        <v>3</v>
      </c>
      <c r="G1802" s="4">
        <f>VALUE(SUBSTITUTE(SUBSTITUTE(Table1[[#This Row],[Price]],"$",""),",",""))</f>
        <v>944158</v>
      </c>
      <c r="H1802" s="1">
        <f>Table1[[#This Row],[Price2]]/Table1[[#This Row],[Area]]</f>
        <v>898.34253092293056</v>
      </c>
      <c r="I1802">
        <v>1051</v>
      </c>
      <c r="J1802">
        <v>2009</v>
      </c>
      <c r="K1802">
        <v>24</v>
      </c>
      <c r="L1802" t="s">
        <v>40</v>
      </c>
      <c r="M1802" t="s">
        <v>2541</v>
      </c>
      <c r="N1802" s="2" t="s">
        <v>3033</v>
      </c>
      <c r="O1802" t="s">
        <v>3034</v>
      </c>
      <c r="P1802" t="s">
        <v>21</v>
      </c>
      <c r="Q1802">
        <v>898.34253092293056</v>
      </c>
      <c r="R1802">
        <f ca="1">YEAR(TODAY())-Table1[[#This Row],[Year Built]]</f>
        <v>17</v>
      </c>
      <c r="S1802" t="str">
        <f>IF(Table1[[#This Row],[Days on Market]] &lt; 30,"Fast",IF(Table1[[#This Row],[Days on Market]]&lt;= 90,"Average", "Slow"))</f>
        <v>Fast</v>
      </c>
      <c r="T1802" t="str">
        <f>IF(Table1[[#This Row],[Price2]]&lt;500000,"Affordable",IF(Table1[[#This Row],[Price2]]&lt;1000000,"Mid range","Luxury"))</f>
        <v>Mid range</v>
      </c>
    </row>
    <row r="1803" spans="1:20" x14ac:dyDescent="0.35">
      <c r="A1803" s="3">
        <v>944393</v>
      </c>
      <c r="B1803" s="2" t="s">
        <v>34</v>
      </c>
      <c r="C1803">
        <v>50906</v>
      </c>
      <c r="D1803" s="2" t="s">
        <v>18</v>
      </c>
      <c r="E1803">
        <v>6</v>
      </c>
      <c r="F1803">
        <v>2</v>
      </c>
      <c r="G1803" s="4">
        <f>VALUE(SUBSTITUTE(SUBSTITUTE(Table1[[#This Row],[Price]],"$",""),",",""))</f>
        <v>944393</v>
      </c>
      <c r="H1803" s="1">
        <f>Table1[[#This Row],[Price2]]/Table1[[#This Row],[Area]]</f>
        <v>420.47773820124667</v>
      </c>
      <c r="I1803">
        <v>2246</v>
      </c>
      <c r="J1803">
        <v>1991</v>
      </c>
      <c r="K1803">
        <v>95</v>
      </c>
      <c r="L1803" t="s">
        <v>52</v>
      </c>
      <c r="M1803" t="s">
        <v>1738</v>
      </c>
      <c r="N1803" s="2" t="s">
        <v>3035</v>
      </c>
      <c r="O1803" t="s">
        <v>3036</v>
      </c>
      <c r="P1803" t="s">
        <v>21</v>
      </c>
      <c r="Q1803">
        <v>420.47773820124667</v>
      </c>
      <c r="R1803">
        <f ca="1">YEAR(TODAY())-Table1[[#This Row],[Year Built]]</f>
        <v>35</v>
      </c>
      <c r="S1803" t="str">
        <f>IF(Table1[[#This Row],[Days on Market]] &lt; 30,"Fast",IF(Table1[[#This Row],[Days on Market]]&lt;= 90,"Average", "Slow"))</f>
        <v>Slow</v>
      </c>
      <c r="T1803" t="str">
        <f>IF(Table1[[#This Row],[Price2]]&lt;500000,"Affordable",IF(Table1[[#This Row],[Price2]]&lt;1000000,"Mid range","Luxury"))</f>
        <v>Mid range</v>
      </c>
    </row>
    <row r="1804" spans="1:20" x14ac:dyDescent="0.35">
      <c r="A1804" s="3">
        <v>945467</v>
      </c>
      <c r="B1804" s="2" t="s">
        <v>34</v>
      </c>
      <c r="C1804">
        <v>21798</v>
      </c>
      <c r="D1804" s="2" t="s">
        <v>18</v>
      </c>
      <c r="E1804">
        <v>1</v>
      </c>
      <c r="F1804">
        <v>4</v>
      </c>
      <c r="G1804" s="4">
        <f>VALUE(SUBSTITUTE(SUBSTITUTE(Table1[[#This Row],[Price]],"$",""),",",""))</f>
        <v>945467</v>
      </c>
      <c r="H1804" s="1">
        <f>Table1[[#This Row],[Price2]]/Table1[[#This Row],[Area]]</f>
        <v>521.78090507726267</v>
      </c>
      <c r="I1804">
        <v>1812</v>
      </c>
      <c r="J1804">
        <v>1955</v>
      </c>
      <c r="K1804">
        <v>2</v>
      </c>
      <c r="L1804" t="s">
        <v>14</v>
      </c>
      <c r="M1804" t="s">
        <v>1351</v>
      </c>
      <c r="N1804" s="2" t="s">
        <v>3031</v>
      </c>
      <c r="O1804" t="s">
        <v>3032</v>
      </c>
      <c r="P1804" t="s">
        <v>21</v>
      </c>
      <c r="Q1804">
        <v>521.78090507726267</v>
      </c>
      <c r="R1804">
        <f ca="1">YEAR(TODAY())-Table1[[#This Row],[Year Built]]</f>
        <v>71</v>
      </c>
      <c r="S1804" t="str">
        <f>IF(Table1[[#This Row],[Days on Market]] &lt; 30,"Fast",IF(Table1[[#This Row],[Days on Market]]&lt;= 90,"Average", "Slow"))</f>
        <v>Fast</v>
      </c>
      <c r="T1804" t="str">
        <f>IF(Table1[[#This Row],[Price2]]&lt;500000,"Affordable",IF(Table1[[#This Row],[Price2]]&lt;1000000,"Mid range","Luxury"))</f>
        <v>Mid range</v>
      </c>
    </row>
    <row r="1805" spans="1:20" x14ac:dyDescent="0.35">
      <c r="A1805" s="3">
        <v>945774</v>
      </c>
      <c r="B1805" s="2" t="s">
        <v>22</v>
      </c>
      <c r="C1805">
        <v>96257</v>
      </c>
      <c r="D1805" s="2" t="s">
        <v>35</v>
      </c>
      <c r="E1805">
        <v>1</v>
      </c>
      <c r="F1805">
        <v>3</v>
      </c>
      <c r="G1805" s="4">
        <f>VALUE(SUBSTITUTE(SUBSTITUTE(Table1[[#This Row],[Price]],"$",""),",",""))</f>
        <v>945774</v>
      </c>
      <c r="H1805" s="1">
        <f>Table1[[#This Row],[Price2]]/Table1[[#This Row],[Area]]</f>
        <v>350.80637982195844</v>
      </c>
      <c r="I1805">
        <v>2696</v>
      </c>
      <c r="J1805">
        <v>2000</v>
      </c>
      <c r="K1805">
        <v>53</v>
      </c>
      <c r="L1805" t="s">
        <v>52</v>
      </c>
      <c r="M1805" t="s">
        <v>2971</v>
      </c>
      <c r="N1805" s="2" t="s">
        <v>3027</v>
      </c>
      <c r="O1805" t="s">
        <v>3028</v>
      </c>
      <c r="P1805" t="s">
        <v>26</v>
      </c>
      <c r="Q1805">
        <v>350.80637982195844</v>
      </c>
      <c r="R1805">
        <f ca="1">YEAR(TODAY())-Table1[[#This Row],[Year Built]]</f>
        <v>26</v>
      </c>
      <c r="S1805" t="str">
        <f>IF(Table1[[#This Row],[Days on Market]] &lt; 30,"Fast",IF(Table1[[#This Row],[Days on Market]]&lt;= 90,"Average", "Slow"))</f>
        <v>Average</v>
      </c>
      <c r="T1805" t="str">
        <f>IF(Table1[[#This Row],[Price2]]&lt;500000,"Affordable",IF(Table1[[#This Row],[Price2]]&lt;1000000,"Mid range","Luxury"))</f>
        <v>Mid range</v>
      </c>
    </row>
    <row r="1806" spans="1:20" x14ac:dyDescent="0.35">
      <c r="A1806" s="3">
        <v>945815</v>
      </c>
      <c r="B1806" s="2" t="s">
        <v>17</v>
      </c>
      <c r="C1806">
        <v>76958</v>
      </c>
      <c r="D1806" s="2" t="s">
        <v>23</v>
      </c>
      <c r="E1806">
        <v>2</v>
      </c>
      <c r="F1806">
        <v>1</v>
      </c>
      <c r="G1806" s="4">
        <f>VALUE(SUBSTITUTE(SUBSTITUTE(Table1[[#This Row],[Price]],"$",""),",",""))</f>
        <v>945815</v>
      </c>
      <c r="H1806" s="1">
        <f>Table1[[#This Row],[Price2]]/Table1[[#This Row],[Area]]</f>
        <v>301.50302837105517</v>
      </c>
      <c r="I1806">
        <v>3137</v>
      </c>
      <c r="J1806">
        <v>2008</v>
      </c>
      <c r="K1806">
        <v>1</v>
      </c>
      <c r="L1806" t="s">
        <v>19</v>
      </c>
      <c r="M1806" t="s">
        <v>1270</v>
      </c>
      <c r="N1806" s="2" t="s">
        <v>3027</v>
      </c>
      <c r="O1806" t="s">
        <v>3028</v>
      </c>
      <c r="P1806" t="s">
        <v>26</v>
      </c>
      <c r="Q1806">
        <v>301.50302837105517</v>
      </c>
      <c r="R1806">
        <f ca="1">YEAR(TODAY())-Table1[[#This Row],[Year Built]]</f>
        <v>18</v>
      </c>
      <c r="S1806" t="str">
        <f>IF(Table1[[#This Row],[Days on Market]] &lt; 30,"Fast",IF(Table1[[#This Row],[Days on Market]]&lt;= 90,"Average", "Slow"))</f>
        <v>Fast</v>
      </c>
      <c r="T1806" t="str">
        <f>IF(Table1[[#This Row],[Price2]]&lt;500000,"Affordable",IF(Table1[[#This Row],[Price2]]&lt;1000000,"Mid range","Luxury"))</f>
        <v>Mid range</v>
      </c>
    </row>
    <row r="1807" spans="1:20" x14ac:dyDescent="0.35">
      <c r="A1807" s="3">
        <v>945919</v>
      </c>
      <c r="B1807" s="2" t="s">
        <v>12</v>
      </c>
      <c r="C1807">
        <v>99077</v>
      </c>
      <c r="D1807" s="2" t="s">
        <v>18</v>
      </c>
      <c r="E1807">
        <v>4</v>
      </c>
      <c r="F1807">
        <v>3</v>
      </c>
      <c r="G1807" s="4">
        <f>VALUE(SUBSTITUTE(SUBSTITUTE(Table1[[#This Row],[Price]],"$",""),",",""))</f>
        <v>945919</v>
      </c>
      <c r="H1807" s="1">
        <f>Table1[[#This Row],[Price2]]/Table1[[#This Row],[Area]]</f>
        <v>273.30800346720599</v>
      </c>
      <c r="I1807">
        <v>3461</v>
      </c>
      <c r="J1807">
        <v>1988</v>
      </c>
      <c r="K1807">
        <v>95</v>
      </c>
      <c r="L1807" t="s">
        <v>30</v>
      </c>
      <c r="M1807" t="s">
        <v>1966</v>
      </c>
      <c r="N1807" s="2" t="s">
        <v>3033</v>
      </c>
      <c r="O1807" t="s">
        <v>3034</v>
      </c>
      <c r="P1807" t="s">
        <v>16</v>
      </c>
      <c r="Q1807">
        <v>273.30800346720599</v>
      </c>
      <c r="R1807">
        <f ca="1">YEAR(TODAY())-Table1[[#This Row],[Year Built]]</f>
        <v>38</v>
      </c>
      <c r="S1807" t="str">
        <f>IF(Table1[[#This Row],[Days on Market]] &lt; 30,"Fast",IF(Table1[[#This Row],[Days on Market]]&lt;= 90,"Average", "Slow"))</f>
        <v>Slow</v>
      </c>
      <c r="T1807" t="str">
        <f>IF(Table1[[#This Row],[Price2]]&lt;500000,"Affordable",IF(Table1[[#This Row],[Price2]]&lt;1000000,"Mid range","Luxury"))</f>
        <v>Mid range</v>
      </c>
    </row>
    <row r="1808" spans="1:20" x14ac:dyDescent="0.35">
      <c r="A1808" s="3">
        <v>946285</v>
      </c>
      <c r="B1808" s="2" t="s">
        <v>17</v>
      </c>
      <c r="C1808">
        <v>11490</v>
      </c>
      <c r="D1808" s="2" t="s">
        <v>18</v>
      </c>
      <c r="E1808">
        <v>5</v>
      </c>
      <c r="F1808">
        <v>4</v>
      </c>
      <c r="G1808" s="4">
        <f>VALUE(SUBSTITUTE(SUBSTITUTE(Table1[[#This Row],[Price]],"$",""),",",""))</f>
        <v>946285</v>
      </c>
      <c r="H1808" s="1">
        <f>Table1[[#This Row],[Price2]]/Table1[[#This Row],[Area]]</f>
        <v>278.97553066037733</v>
      </c>
      <c r="I1808">
        <v>3392</v>
      </c>
      <c r="J1808">
        <v>2017</v>
      </c>
      <c r="K1808">
        <v>77</v>
      </c>
      <c r="L1808" t="s">
        <v>19</v>
      </c>
      <c r="M1808" t="s">
        <v>2023</v>
      </c>
      <c r="N1808" s="2" t="s">
        <v>3027</v>
      </c>
      <c r="O1808" t="s">
        <v>3028</v>
      </c>
      <c r="P1808" t="s">
        <v>21</v>
      </c>
      <c r="Q1808">
        <v>278.97553066037733</v>
      </c>
      <c r="R1808">
        <f ca="1">YEAR(TODAY())-Table1[[#This Row],[Year Built]]</f>
        <v>9</v>
      </c>
      <c r="S1808" t="str">
        <f>IF(Table1[[#This Row],[Days on Market]] &lt; 30,"Fast",IF(Table1[[#This Row],[Days on Market]]&lt;= 90,"Average", "Slow"))</f>
        <v>Average</v>
      </c>
      <c r="T1808" t="str">
        <f>IF(Table1[[#This Row],[Price2]]&lt;500000,"Affordable",IF(Table1[[#This Row],[Price2]]&lt;1000000,"Mid range","Luxury"))</f>
        <v>Mid range</v>
      </c>
    </row>
    <row r="1809" spans="1:20" x14ac:dyDescent="0.35">
      <c r="A1809" s="3">
        <v>946472</v>
      </c>
      <c r="B1809" s="2" t="s">
        <v>17</v>
      </c>
      <c r="C1809">
        <v>28333</v>
      </c>
      <c r="D1809" s="2" t="s">
        <v>13</v>
      </c>
      <c r="E1809">
        <v>2</v>
      </c>
      <c r="F1809">
        <v>3</v>
      </c>
      <c r="G1809" s="4">
        <f>VALUE(SUBSTITUTE(SUBSTITUTE(Table1[[#This Row],[Price]],"$",""),",",""))</f>
        <v>946472</v>
      </c>
      <c r="H1809" s="1">
        <f>Table1[[#This Row],[Price2]]/Table1[[#This Row],[Area]]</f>
        <v>938.02973240832512</v>
      </c>
      <c r="I1809">
        <v>1009</v>
      </c>
      <c r="J1809">
        <v>2022</v>
      </c>
      <c r="K1809">
        <v>58</v>
      </c>
      <c r="L1809" t="s">
        <v>40</v>
      </c>
      <c r="M1809" t="s">
        <v>170</v>
      </c>
      <c r="N1809" s="2" t="s">
        <v>3027</v>
      </c>
      <c r="O1809" t="s">
        <v>3028</v>
      </c>
      <c r="P1809" t="s">
        <v>21</v>
      </c>
      <c r="Q1809">
        <v>938.02973240832512</v>
      </c>
      <c r="R1809">
        <f ca="1">YEAR(TODAY())-Table1[[#This Row],[Year Built]]</f>
        <v>4</v>
      </c>
      <c r="S1809" t="str">
        <f>IF(Table1[[#This Row],[Days on Market]] &lt; 30,"Fast",IF(Table1[[#This Row],[Days on Market]]&lt;= 90,"Average", "Slow"))</f>
        <v>Average</v>
      </c>
      <c r="T1809" t="str">
        <f>IF(Table1[[#This Row],[Price2]]&lt;500000,"Affordable",IF(Table1[[#This Row],[Price2]]&lt;1000000,"Mid range","Luxury"))</f>
        <v>Mid range</v>
      </c>
    </row>
    <row r="1810" spans="1:20" x14ac:dyDescent="0.35">
      <c r="A1810" s="3">
        <v>947261</v>
      </c>
      <c r="B1810" s="2" t="s">
        <v>12</v>
      </c>
      <c r="C1810">
        <v>40064</v>
      </c>
      <c r="D1810" s="2" t="s">
        <v>13</v>
      </c>
      <c r="E1810">
        <v>3</v>
      </c>
      <c r="F1810">
        <v>1</v>
      </c>
      <c r="G1810" s="4">
        <f>VALUE(SUBSTITUTE(SUBSTITUTE(Table1[[#This Row],[Price]],"$",""),",",""))</f>
        <v>947261</v>
      </c>
      <c r="H1810" s="1">
        <f>Table1[[#This Row],[Price2]]/Table1[[#This Row],[Area]]</f>
        <v>625.25478547854789</v>
      </c>
      <c r="I1810">
        <v>1515</v>
      </c>
      <c r="J1810">
        <v>2013</v>
      </c>
      <c r="K1810">
        <v>3</v>
      </c>
      <c r="L1810" t="s">
        <v>40</v>
      </c>
      <c r="M1810" t="s">
        <v>77</v>
      </c>
      <c r="N1810" s="2" t="s">
        <v>3031</v>
      </c>
      <c r="O1810" t="s">
        <v>3032</v>
      </c>
      <c r="P1810" t="s">
        <v>21</v>
      </c>
      <c r="Q1810">
        <v>625.25478547854789</v>
      </c>
      <c r="R1810">
        <f ca="1">YEAR(TODAY())-Table1[[#This Row],[Year Built]]</f>
        <v>13</v>
      </c>
      <c r="S1810" t="str">
        <f>IF(Table1[[#This Row],[Days on Market]] &lt; 30,"Fast",IF(Table1[[#This Row],[Days on Market]]&lt;= 90,"Average", "Slow"))</f>
        <v>Fast</v>
      </c>
      <c r="T1810" t="str">
        <f>IF(Table1[[#This Row],[Price2]]&lt;500000,"Affordable",IF(Table1[[#This Row],[Price2]]&lt;1000000,"Mid range","Luxury"))</f>
        <v>Mid range</v>
      </c>
    </row>
    <row r="1811" spans="1:20" x14ac:dyDescent="0.35">
      <c r="A1811" s="3">
        <v>947387</v>
      </c>
      <c r="B1811" s="2" t="s">
        <v>12</v>
      </c>
      <c r="C1811">
        <v>81109</v>
      </c>
      <c r="D1811" s="2" t="s">
        <v>23</v>
      </c>
      <c r="E1811">
        <v>6</v>
      </c>
      <c r="F1811">
        <v>1</v>
      </c>
      <c r="G1811" s="4">
        <f>VALUE(SUBSTITUTE(SUBSTITUTE(Table1[[#This Row],[Price]],"$",""),",",""))</f>
        <v>947387</v>
      </c>
      <c r="H1811" s="1">
        <f>Table1[[#This Row],[Price2]]/Table1[[#This Row],[Area]]</f>
        <v>245.75538261997406</v>
      </c>
      <c r="I1811">
        <v>3855</v>
      </c>
      <c r="J1811">
        <v>2014</v>
      </c>
      <c r="K1811">
        <v>35</v>
      </c>
      <c r="L1811" t="s">
        <v>40</v>
      </c>
      <c r="M1811" t="s">
        <v>2326</v>
      </c>
      <c r="N1811" s="2" t="s">
        <v>3031</v>
      </c>
      <c r="O1811" t="s">
        <v>3032</v>
      </c>
      <c r="P1811" t="s">
        <v>21</v>
      </c>
      <c r="Q1811">
        <v>245.75538261997406</v>
      </c>
      <c r="R1811">
        <f ca="1">YEAR(TODAY())-Table1[[#This Row],[Year Built]]</f>
        <v>12</v>
      </c>
      <c r="S1811" t="str">
        <f>IF(Table1[[#This Row],[Days on Market]] &lt; 30,"Fast",IF(Table1[[#This Row],[Days on Market]]&lt;= 90,"Average", "Slow"))</f>
        <v>Average</v>
      </c>
      <c r="T1811" t="str">
        <f>IF(Table1[[#This Row],[Price2]]&lt;500000,"Affordable",IF(Table1[[#This Row],[Price2]]&lt;1000000,"Mid range","Luxury"))</f>
        <v>Mid range</v>
      </c>
    </row>
    <row r="1812" spans="1:20" x14ac:dyDescent="0.35">
      <c r="A1812" s="3">
        <v>947510</v>
      </c>
      <c r="B1812" s="2" t="s">
        <v>17</v>
      </c>
      <c r="C1812">
        <v>90863</v>
      </c>
      <c r="D1812" s="2" t="s">
        <v>23</v>
      </c>
      <c r="E1812">
        <v>1</v>
      </c>
      <c r="F1812">
        <v>3</v>
      </c>
      <c r="G1812" s="4">
        <f>VALUE(SUBSTITUTE(SUBSTITUTE(Table1[[#This Row],[Price]],"$",""),",",""))</f>
        <v>947510</v>
      </c>
      <c r="H1812" s="1">
        <f>Table1[[#This Row],[Price2]]/Table1[[#This Row],[Area]]</f>
        <v>571.82257091128542</v>
      </c>
      <c r="I1812">
        <v>1657</v>
      </c>
      <c r="J1812">
        <v>1950</v>
      </c>
      <c r="K1812">
        <v>48</v>
      </c>
      <c r="L1812" t="s">
        <v>30</v>
      </c>
      <c r="M1812" t="s">
        <v>1034</v>
      </c>
      <c r="N1812" s="2" t="s">
        <v>3031</v>
      </c>
      <c r="O1812" t="s">
        <v>3032</v>
      </c>
      <c r="P1812" t="s">
        <v>16</v>
      </c>
      <c r="Q1812">
        <v>571.82257091128542</v>
      </c>
      <c r="R1812">
        <f ca="1">YEAR(TODAY())-Table1[[#This Row],[Year Built]]</f>
        <v>76</v>
      </c>
      <c r="S1812" t="str">
        <f>IF(Table1[[#This Row],[Days on Market]] &lt; 30,"Fast",IF(Table1[[#This Row],[Days on Market]]&lt;= 90,"Average", "Slow"))</f>
        <v>Average</v>
      </c>
      <c r="T1812" t="str">
        <f>IF(Table1[[#This Row],[Price2]]&lt;500000,"Affordable",IF(Table1[[#This Row],[Price2]]&lt;1000000,"Mid range","Luxury"))</f>
        <v>Mid range</v>
      </c>
    </row>
    <row r="1813" spans="1:20" x14ac:dyDescent="0.35">
      <c r="A1813" s="3">
        <v>948012</v>
      </c>
      <c r="B1813" s="2" t="s">
        <v>34</v>
      </c>
      <c r="C1813">
        <v>23087</v>
      </c>
      <c r="D1813" s="2" t="s">
        <v>35</v>
      </c>
      <c r="E1813">
        <v>1</v>
      </c>
      <c r="F1813">
        <v>4</v>
      </c>
      <c r="G1813" s="4">
        <f>VALUE(SUBSTITUTE(SUBSTITUTE(Table1[[#This Row],[Price]],"$",""),",",""))</f>
        <v>948012</v>
      </c>
      <c r="H1813" s="1">
        <f>Table1[[#This Row],[Price2]]/Table1[[#This Row],[Area]]</f>
        <v>561.28596802841923</v>
      </c>
      <c r="I1813">
        <v>1689</v>
      </c>
      <c r="J1813">
        <v>1971</v>
      </c>
      <c r="K1813">
        <v>20</v>
      </c>
      <c r="L1813" t="s">
        <v>52</v>
      </c>
      <c r="M1813" t="s">
        <v>1260</v>
      </c>
      <c r="N1813" s="2" t="s">
        <v>3029</v>
      </c>
      <c r="O1813" t="s">
        <v>3030</v>
      </c>
      <c r="P1813" t="s">
        <v>26</v>
      </c>
      <c r="Q1813">
        <v>561.28596802841923</v>
      </c>
      <c r="R1813">
        <f ca="1">YEAR(TODAY())-Table1[[#This Row],[Year Built]]</f>
        <v>55</v>
      </c>
      <c r="S1813" t="str">
        <f>IF(Table1[[#This Row],[Days on Market]] &lt; 30,"Fast",IF(Table1[[#This Row],[Days on Market]]&lt;= 90,"Average", "Slow"))</f>
        <v>Fast</v>
      </c>
      <c r="T1813" t="str">
        <f>IF(Table1[[#This Row],[Price2]]&lt;500000,"Affordable",IF(Table1[[#This Row],[Price2]]&lt;1000000,"Mid range","Luxury"))</f>
        <v>Mid range</v>
      </c>
    </row>
    <row r="1814" spans="1:20" x14ac:dyDescent="0.35">
      <c r="A1814" s="3">
        <v>948322</v>
      </c>
      <c r="B1814" s="2" t="s">
        <v>27</v>
      </c>
      <c r="C1814">
        <v>70276</v>
      </c>
      <c r="D1814" s="2" t="s">
        <v>23</v>
      </c>
      <c r="E1814">
        <v>2</v>
      </c>
      <c r="F1814">
        <v>1</v>
      </c>
      <c r="G1814" s="4">
        <f>VALUE(SUBSTITUTE(SUBSTITUTE(Table1[[#This Row],[Price]],"$",""),",",""))</f>
        <v>948322</v>
      </c>
      <c r="H1814" s="1">
        <f>Table1[[#This Row],[Price2]]/Table1[[#This Row],[Area]]</f>
        <v>1233.1885565669702</v>
      </c>
      <c r="I1814">
        <v>769</v>
      </c>
      <c r="J1814">
        <v>1974</v>
      </c>
      <c r="K1814">
        <v>110</v>
      </c>
      <c r="L1814" t="s">
        <v>52</v>
      </c>
      <c r="M1814" t="s">
        <v>364</v>
      </c>
      <c r="N1814" s="2" t="s">
        <v>3031</v>
      </c>
      <c r="O1814" t="s">
        <v>3032</v>
      </c>
      <c r="P1814" t="s">
        <v>16</v>
      </c>
      <c r="Q1814">
        <v>1233.1885565669702</v>
      </c>
      <c r="R1814">
        <f ca="1">YEAR(TODAY())-Table1[[#This Row],[Year Built]]</f>
        <v>52</v>
      </c>
      <c r="S1814" t="str">
        <f>IF(Table1[[#This Row],[Days on Market]] &lt; 30,"Fast",IF(Table1[[#This Row],[Days on Market]]&lt;= 90,"Average", "Slow"))</f>
        <v>Slow</v>
      </c>
      <c r="T1814" t="str">
        <f>IF(Table1[[#This Row],[Price2]]&lt;500000,"Affordable",IF(Table1[[#This Row],[Price2]]&lt;1000000,"Mid range","Luxury"))</f>
        <v>Mid range</v>
      </c>
    </row>
    <row r="1815" spans="1:20" x14ac:dyDescent="0.35">
      <c r="A1815" s="3">
        <v>948645</v>
      </c>
      <c r="B1815" s="2" t="s">
        <v>17</v>
      </c>
      <c r="C1815">
        <v>86928</v>
      </c>
      <c r="D1815" s="2" t="s">
        <v>18</v>
      </c>
      <c r="E1815">
        <v>2</v>
      </c>
      <c r="F1815">
        <v>1</v>
      </c>
      <c r="G1815" s="4">
        <f>VALUE(SUBSTITUTE(SUBSTITUTE(Table1[[#This Row],[Price]],"$",""),",",""))</f>
        <v>948645</v>
      </c>
      <c r="H1815" s="1">
        <f>Table1[[#This Row],[Price2]]/Table1[[#This Row],[Area]]</f>
        <v>448.95646000946522</v>
      </c>
      <c r="I1815">
        <v>2113</v>
      </c>
      <c r="J1815">
        <v>2006</v>
      </c>
      <c r="K1815">
        <v>54</v>
      </c>
      <c r="L1815" t="s">
        <v>19</v>
      </c>
      <c r="M1815" t="s">
        <v>528</v>
      </c>
      <c r="N1815" s="2" t="s">
        <v>3035</v>
      </c>
      <c r="O1815" t="s">
        <v>3036</v>
      </c>
      <c r="P1815" t="s">
        <v>21</v>
      </c>
      <c r="Q1815">
        <v>448.95646000946522</v>
      </c>
      <c r="R1815">
        <f ca="1">YEAR(TODAY())-Table1[[#This Row],[Year Built]]</f>
        <v>20</v>
      </c>
      <c r="S1815" t="str">
        <f>IF(Table1[[#This Row],[Days on Market]] &lt; 30,"Fast",IF(Table1[[#This Row],[Days on Market]]&lt;= 90,"Average", "Slow"))</f>
        <v>Average</v>
      </c>
      <c r="T1815" t="str">
        <f>IF(Table1[[#This Row],[Price2]]&lt;500000,"Affordable",IF(Table1[[#This Row],[Price2]]&lt;1000000,"Mid range","Luxury"))</f>
        <v>Mid range</v>
      </c>
    </row>
    <row r="1816" spans="1:20" x14ac:dyDescent="0.35">
      <c r="A1816" s="3">
        <v>948743</v>
      </c>
      <c r="B1816" s="2" t="s">
        <v>34</v>
      </c>
      <c r="C1816">
        <v>34766</v>
      </c>
      <c r="D1816" s="2" t="s">
        <v>35</v>
      </c>
      <c r="E1816">
        <v>2</v>
      </c>
      <c r="F1816">
        <v>1</v>
      </c>
      <c r="G1816" s="4">
        <f>VALUE(SUBSTITUTE(SUBSTITUTE(Table1[[#This Row],[Price]],"$",""),",",""))</f>
        <v>948743</v>
      </c>
      <c r="H1816" s="1">
        <f>Table1[[#This Row],[Price2]]/Table1[[#This Row],[Area]]</f>
        <v>518.7222525970476</v>
      </c>
      <c r="I1816">
        <v>1829</v>
      </c>
      <c r="J1816">
        <v>1969</v>
      </c>
      <c r="K1816">
        <v>27</v>
      </c>
      <c r="L1816" t="s">
        <v>19</v>
      </c>
      <c r="M1816" t="s">
        <v>849</v>
      </c>
      <c r="N1816" s="2" t="s">
        <v>3033</v>
      </c>
      <c r="O1816" t="s">
        <v>3034</v>
      </c>
      <c r="P1816" t="s">
        <v>26</v>
      </c>
      <c r="Q1816">
        <v>518.7222525970476</v>
      </c>
      <c r="R1816">
        <f ca="1">YEAR(TODAY())-Table1[[#This Row],[Year Built]]</f>
        <v>57</v>
      </c>
      <c r="S1816" t="str">
        <f>IF(Table1[[#This Row],[Days on Market]] &lt; 30,"Fast",IF(Table1[[#This Row],[Days on Market]]&lt;= 90,"Average", "Slow"))</f>
        <v>Fast</v>
      </c>
      <c r="T1816" t="str">
        <f>IF(Table1[[#This Row],[Price2]]&lt;500000,"Affordable",IF(Table1[[#This Row],[Price2]]&lt;1000000,"Mid range","Luxury"))</f>
        <v>Mid range</v>
      </c>
    </row>
    <row r="1817" spans="1:20" x14ac:dyDescent="0.35">
      <c r="A1817" s="3">
        <v>948826</v>
      </c>
      <c r="B1817" s="2" t="s">
        <v>34</v>
      </c>
      <c r="C1817">
        <v>94653</v>
      </c>
      <c r="D1817" s="2" t="s">
        <v>35</v>
      </c>
      <c r="E1817">
        <v>5</v>
      </c>
      <c r="F1817">
        <v>3</v>
      </c>
      <c r="G1817" s="4">
        <f>VALUE(SUBSTITUTE(SUBSTITUTE(Table1[[#This Row],[Price]],"$",""),",",""))</f>
        <v>948826</v>
      </c>
      <c r="H1817" s="1">
        <f>Table1[[#This Row],[Price2]]/Table1[[#This Row],[Area]]</f>
        <v>686.56005788712014</v>
      </c>
      <c r="I1817">
        <v>1382</v>
      </c>
      <c r="J1817">
        <v>1982</v>
      </c>
      <c r="K1817">
        <v>15</v>
      </c>
      <c r="L1817" t="s">
        <v>52</v>
      </c>
      <c r="M1817" t="s">
        <v>1800</v>
      </c>
      <c r="N1817" s="2" t="s">
        <v>3035</v>
      </c>
      <c r="O1817" t="s">
        <v>3036</v>
      </c>
      <c r="P1817" t="s">
        <v>16</v>
      </c>
      <c r="Q1817">
        <v>686.56005788712014</v>
      </c>
      <c r="R1817">
        <f ca="1">YEAR(TODAY())-Table1[[#This Row],[Year Built]]</f>
        <v>44</v>
      </c>
      <c r="S1817" t="str">
        <f>IF(Table1[[#This Row],[Days on Market]] &lt; 30,"Fast",IF(Table1[[#This Row],[Days on Market]]&lt;= 90,"Average", "Slow"))</f>
        <v>Fast</v>
      </c>
      <c r="T1817" t="str">
        <f>IF(Table1[[#This Row],[Price2]]&lt;500000,"Affordable",IF(Table1[[#This Row],[Price2]]&lt;1000000,"Mid range","Luxury"))</f>
        <v>Mid range</v>
      </c>
    </row>
    <row r="1818" spans="1:20" x14ac:dyDescent="0.35">
      <c r="A1818" s="3">
        <v>949364</v>
      </c>
      <c r="B1818" s="2" t="s">
        <v>22</v>
      </c>
      <c r="C1818">
        <v>65857</v>
      </c>
      <c r="D1818" s="2" t="s">
        <v>18</v>
      </c>
      <c r="E1818">
        <v>1</v>
      </c>
      <c r="F1818">
        <v>4</v>
      </c>
      <c r="G1818" s="4">
        <f>VALUE(SUBSTITUTE(SUBSTITUTE(Table1[[#This Row],[Price]],"$",""),",",""))</f>
        <v>949364</v>
      </c>
      <c r="H1818" s="1">
        <f>Table1[[#This Row],[Price2]]/Table1[[#This Row],[Area]]</f>
        <v>347.62504577077993</v>
      </c>
      <c r="I1818">
        <v>2731</v>
      </c>
      <c r="J1818">
        <v>2017</v>
      </c>
      <c r="K1818">
        <v>104</v>
      </c>
      <c r="L1818" t="s">
        <v>52</v>
      </c>
      <c r="M1818" t="s">
        <v>2392</v>
      </c>
      <c r="N1818" s="2" t="s">
        <v>3029</v>
      </c>
      <c r="O1818" t="s">
        <v>3030</v>
      </c>
      <c r="P1818" t="s">
        <v>16</v>
      </c>
      <c r="Q1818">
        <v>347.62504577077993</v>
      </c>
      <c r="R1818">
        <f ca="1">YEAR(TODAY())-Table1[[#This Row],[Year Built]]</f>
        <v>9</v>
      </c>
      <c r="S1818" t="str">
        <f>IF(Table1[[#This Row],[Days on Market]] &lt; 30,"Fast",IF(Table1[[#This Row],[Days on Market]]&lt;= 90,"Average", "Slow"))</f>
        <v>Slow</v>
      </c>
      <c r="T1818" t="str">
        <f>IF(Table1[[#This Row],[Price2]]&lt;500000,"Affordable",IF(Table1[[#This Row],[Price2]]&lt;1000000,"Mid range","Luxury"))</f>
        <v>Mid range</v>
      </c>
    </row>
    <row r="1819" spans="1:20" x14ac:dyDescent="0.35">
      <c r="A1819" s="3">
        <v>950150</v>
      </c>
      <c r="B1819" s="2" t="s">
        <v>27</v>
      </c>
      <c r="C1819">
        <v>54871</v>
      </c>
      <c r="D1819" s="2" t="s">
        <v>23</v>
      </c>
      <c r="E1819">
        <v>5</v>
      </c>
      <c r="F1819">
        <v>3</v>
      </c>
      <c r="G1819" s="4">
        <f>VALUE(SUBSTITUTE(SUBSTITUTE(Table1[[#This Row],[Price]],"$",""),",",""))</f>
        <v>950150</v>
      </c>
      <c r="H1819" s="1">
        <f>Table1[[#This Row],[Price2]]/Table1[[#This Row],[Area]]</f>
        <v>304.92618741976895</v>
      </c>
      <c r="I1819">
        <v>3116</v>
      </c>
      <c r="J1819">
        <v>1997</v>
      </c>
      <c r="K1819">
        <v>98</v>
      </c>
      <c r="L1819" t="s">
        <v>19</v>
      </c>
      <c r="M1819" t="s">
        <v>348</v>
      </c>
      <c r="N1819" s="2" t="s">
        <v>3029</v>
      </c>
      <c r="O1819" t="s">
        <v>3030</v>
      </c>
      <c r="P1819" t="s">
        <v>21</v>
      </c>
      <c r="Q1819">
        <v>304.92618741976895</v>
      </c>
      <c r="R1819">
        <f ca="1">YEAR(TODAY())-Table1[[#This Row],[Year Built]]</f>
        <v>29</v>
      </c>
      <c r="S1819" t="str">
        <f>IF(Table1[[#This Row],[Days on Market]] &lt; 30,"Fast",IF(Table1[[#This Row],[Days on Market]]&lt;= 90,"Average", "Slow"))</f>
        <v>Slow</v>
      </c>
      <c r="T1819" t="str">
        <f>IF(Table1[[#This Row],[Price2]]&lt;500000,"Affordable",IF(Table1[[#This Row],[Price2]]&lt;1000000,"Mid range","Luxury"))</f>
        <v>Mid range</v>
      </c>
    </row>
    <row r="1820" spans="1:20" x14ac:dyDescent="0.35">
      <c r="A1820" s="3">
        <v>950988</v>
      </c>
      <c r="B1820" s="2" t="s">
        <v>12</v>
      </c>
      <c r="C1820">
        <v>84715</v>
      </c>
      <c r="D1820" s="2" t="s">
        <v>29</v>
      </c>
      <c r="E1820">
        <v>6</v>
      </c>
      <c r="F1820">
        <v>1</v>
      </c>
      <c r="G1820" s="4">
        <f>VALUE(SUBSTITUTE(SUBSTITUTE(Table1[[#This Row],[Price]],"$",""),",",""))</f>
        <v>950988</v>
      </c>
      <c r="H1820" s="1">
        <f>Table1[[#This Row],[Price2]]/Table1[[#This Row],[Area]]</f>
        <v>481.75683890577506</v>
      </c>
      <c r="I1820">
        <v>1974</v>
      </c>
      <c r="J1820">
        <v>1955</v>
      </c>
      <c r="K1820">
        <v>53</v>
      </c>
      <c r="L1820" t="s">
        <v>30</v>
      </c>
      <c r="M1820" t="s">
        <v>2887</v>
      </c>
      <c r="N1820" s="2" t="s">
        <v>3029</v>
      </c>
      <c r="O1820" t="s">
        <v>3030</v>
      </c>
      <c r="P1820" t="s">
        <v>16</v>
      </c>
      <c r="Q1820">
        <v>481.75683890577506</v>
      </c>
      <c r="R1820">
        <f ca="1">YEAR(TODAY())-Table1[[#This Row],[Year Built]]</f>
        <v>71</v>
      </c>
      <c r="S1820" t="str">
        <f>IF(Table1[[#This Row],[Days on Market]] &lt; 30,"Fast",IF(Table1[[#This Row],[Days on Market]]&lt;= 90,"Average", "Slow"))</f>
        <v>Average</v>
      </c>
      <c r="T1820" t="str">
        <f>IF(Table1[[#This Row],[Price2]]&lt;500000,"Affordable",IF(Table1[[#This Row],[Price2]]&lt;1000000,"Mid range","Luxury"))</f>
        <v>Mid range</v>
      </c>
    </row>
    <row r="1821" spans="1:20" x14ac:dyDescent="0.35">
      <c r="A1821" s="3">
        <v>951210</v>
      </c>
      <c r="B1821" s="2" t="s">
        <v>27</v>
      </c>
      <c r="C1821">
        <v>38616</v>
      </c>
      <c r="D1821" s="2" t="s">
        <v>29</v>
      </c>
      <c r="E1821">
        <v>3</v>
      </c>
      <c r="F1821">
        <v>4</v>
      </c>
      <c r="G1821" s="4">
        <f>VALUE(SUBSTITUTE(SUBSTITUTE(Table1[[#This Row],[Price]],"$",""),",",""))</f>
        <v>951210</v>
      </c>
      <c r="H1821" s="1">
        <f>Table1[[#This Row],[Price2]]/Table1[[#This Row],[Area]]</f>
        <v>252.37728840541257</v>
      </c>
      <c r="I1821">
        <v>3769</v>
      </c>
      <c r="J1821">
        <v>2004</v>
      </c>
      <c r="K1821">
        <v>16</v>
      </c>
      <c r="L1821" t="s">
        <v>14</v>
      </c>
      <c r="M1821" t="s">
        <v>1041</v>
      </c>
      <c r="N1821" s="2" t="s">
        <v>3027</v>
      </c>
      <c r="O1821" t="s">
        <v>3028</v>
      </c>
      <c r="P1821" t="s">
        <v>16</v>
      </c>
      <c r="Q1821">
        <v>252.37728840541257</v>
      </c>
      <c r="R1821">
        <f ca="1">YEAR(TODAY())-Table1[[#This Row],[Year Built]]</f>
        <v>22</v>
      </c>
      <c r="S1821" t="str">
        <f>IF(Table1[[#This Row],[Days on Market]] &lt; 30,"Fast",IF(Table1[[#This Row],[Days on Market]]&lt;= 90,"Average", "Slow"))</f>
        <v>Fast</v>
      </c>
      <c r="T1821" t="str">
        <f>IF(Table1[[#This Row],[Price2]]&lt;500000,"Affordable",IF(Table1[[#This Row],[Price2]]&lt;1000000,"Mid range","Luxury"))</f>
        <v>Mid range</v>
      </c>
    </row>
    <row r="1822" spans="1:20" x14ac:dyDescent="0.35">
      <c r="A1822" s="3">
        <v>952028</v>
      </c>
      <c r="B1822" s="2" t="s">
        <v>17</v>
      </c>
      <c r="C1822">
        <v>87814</v>
      </c>
      <c r="D1822" s="2" t="s">
        <v>23</v>
      </c>
      <c r="E1822">
        <v>3</v>
      </c>
      <c r="F1822">
        <v>3</v>
      </c>
      <c r="G1822" s="4">
        <f>VALUE(SUBSTITUTE(SUBSTITUTE(Table1[[#This Row],[Price]],"$",""),",",""))</f>
        <v>952028</v>
      </c>
      <c r="H1822" s="1">
        <f>Table1[[#This Row],[Price2]]/Table1[[#This Row],[Area]]</f>
        <v>253.3336881319851</v>
      </c>
      <c r="I1822">
        <v>3758</v>
      </c>
      <c r="J1822">
        <v>1982</v>
      </c>
      <c r="K1822">
        <v>96</v>
      </c>
      <c r="L1822" t="s">
        <v>30</v>
      </c>
      <c r="M1822" t="s">
        <v>1324</v>
      </c>
      <c r="N1822" s="2" t="s">
        <v>3029</v>
      </c>
      <c r="O1822" t="s">
        <v>3030</v>
      </c>
      <c r="P1822" t="s">
        <v>16</v>
      </c>
      <c r="Q1822">
        <v>253.3336881319851</v>
      </c>
      <c r="R1822">
        <f ca="1">YEAR(TODAY())-Table1[[#This Row],[Year Built]]</f>
        <v>44</v>
      </c>
      <c r="S1822" t="str">
        <f>IF(Table1[[#This Row],[Days on Market]] &lt; 30,"Fast",IF(Table1[[#This Row],[Days on Market]]&lt;= 90,"Average", "Slow"))</f>
        <v>Slow</v>
      </c>
      <c r="T1822" t="str">
        <f>IF(Table1[[#This Row],[Price2]]&lt;500000,"Affordable",IF(Table1[[#This Row],[Price2]]&lt;1000000,"Mid range","Luxury"))</f>
        <v>Mid range</v>
      </c>
    </row>
    <row r="1823" spans="1:20" x14ac:dyDescent="0.35">
      <c r="A1823" s="3">
        <v>952328</v>
      </c>
      <c r="B1823" s="2" t="s">
        <v>12</v>
      </c>
      <c r="C1823">
        <v>25023</v>
      </c>
      <c r="D1823" s="2" t="s">
        <v>13</v>
      </c>
      <c r="E1823">
        <v>2</v>
      </c>
      <c r="F1823">
        <v>2</v>
      </c>
      <c r="G1823" s="4">
        <f>VALUE(SUBSTITUTE(SUBSTITUTE(Table1[[#This Row],[Price]],"$",""),",",""))</f>
        <v>952328</v>
      </c>
      <c r="H1823" s="1">
        <f>Table1[[#This Row],[Price2]]/Table1[[#This Row],[Area]]</f>
        <v>1035.1391304347826</v>
      </c>
      <c r="I1823">
        <v>920</v>
      </c>
      <c r="J1823">
        <v>2002</v>
      </c>
      <c r="K1823">
        <v>39</v>
      </c>
      <c r="L1823" t="s">
        <v>19</v>
      </c>
      <c r="M1823" t="s">
        <v>1184</v>
      </c>
      <c r="N1823" s="2" t="s">
        <v>3033</v>
      </c>
      <c r="O1823" t="s">
        <v>3034</v>
      </c>
      <c r="P1823" t="s">
        <v>16</v>
      </c>
      <c r="Q1823">
        <v>1035.1391304347826</v>
      </c>
      <c r="R1823">
        <f ca="1">YEAR(TODAY())-Table1[[#This Row],[Year Built]]</f>
        <v>24</v>
      </c>
      <c r="S1823" t="str">
        <f>IF(Table1[[#This Row],[Days on Market]] &lt; 30,"Fast",IF(Table1[[#This Row],[Days on Market]]&lt;= 90,"Average", "Slow"))</f>
        <v>Average</v>
      </c>
      <c r="T1823" t="str">
        <f>IF(Table1[[#This Row],[Price2]]&lt;500000,"Affordable",IF(Table1[[#This Row],[Price2]]&lt;1000000,"Mid range","Luxury"))</f>
        <v>Mid range</v>
      </c>
    </row>
    <row r="1824" spans="1:20" x14ac:dyDescent="0.35">
      <c r="A1824" s="3">
        <v>952640</v>
      </c>
      <c r="B1824" s="2" t="s">
        <v>17</v>
      </c>
      <c r="C1824">
        <v>91578</v>
      </c>
      <c r="D1824" s="2" t="s">
        <v>35</v>
      </c>
      <c r="E1824">
        <v>5</v>
      </c>
      <c r="F1824">
        <v>1</v>
      </c>
      <c r="G1824" s="4">
        <f>VALUE(SUBSTITUTE(SUBSTITUTE(Table1[[#This Row],[Price]],"$",""),",",""))</f>
        <v>952640</v>
      </c>
      <c r="H1824" s="1">
        <f>Table1[[#This Row],[Price2]]/Table1[[#This Row],[Area]]</f>
        <v>1066.7861142217246</v>
      </c>
      <c r="I1824">
        <v>893</v>
      </c>
      <c r="J1824">
        <v>1951</v>
      </c>
      <c r="K1824">
        <v>94</v>
      </c>
      <c r="L1824" t="s">
        <v>19</v>
      </c>
      <c r="M1824" t="s">
        <v>2241</v>
      </c>
      <c r="N1824" s="2" t="s">
        <v>3029</v>
      </c>
      <c r="O1824" t="s">
        <v>3030</v>
      </c>
      <c r="P1824" t="s">
        <v>21</v>
      </c>
      <c r="Q1824">
        <v>1066.7861142217246</v>
      </c>
      <c r="R1824">
        <f ca="1">YEAR(TODAY())-Table1[[#This Row],[Year Built]]</f>
        <v>75</v>
      </c>
      <c r="S1824" t="str">
        <f>IF(Table1[[#This Row],[Days on Market]] &lt; 30,"Fast",IF(Table1[[#This Row],[Days on Market]]&lt;= 90,"Average", "Slow"))</f>
        <v>Slow</v>
      </c>
      <c r="T1824" t="str">
        <f>IF(Table1[[#This Row],[Price2]]&lt;500000,"Affordable",IF(Table1[[#This Row],[Price2]]&lt;1000000,"Mid range","Luxury"))</f>
        <v>Mid range</v>
      </c>
    </row>
    <row r="1825" spans="1:20" x14ac:dyDescent="0.35">
      <c r="A1825" s="3">
        <v>953983</v>
      </c>
      <c r="B1825" s="2" t="s">
        <v>12</v>
      </c>
      <c r="C1825">
        <v>70380</v>
      </c>
      <c r="D1825" s="2" t="s">
        <v>35</v>
      </c>
      <c r="E1825">
        <v>4</v>
      </c>
      <c r="F1825">
        <v>2</v>
      </c>
      <c r="G1825" s="4">
        <f>VALUE(SUBSTITUTE(SUBSTITUTE(Table1[[#This Row],[Price]],"$",""),",",""))</f>
        <v>953983</v>
      </c>
      <c r="H1825" s="1">
        <f>Table1[[#This Row],[Price2]]/Table1[[#This Row],[Area]]</f>
        <v>558.53805620608898</v>
      </c>
      <c r="I1825">
        <v>1708</v>
      </c>
      <c r="J1825">
        <v>1971</v>
      </c>
      <c r="K1825">
        <v>3</v>
      </c>
      <c r="L1825" t="s">
        <v>30</v>
      </c>
      <c r="M1825" t="s">
        <v>907</v>
      </c>
      <c r="N1825" s="2" t="s">
        <v>3033</v>
      </c>
      <c r="O1825" t="s">
        <v>3034</v>
      </c>
      <c r="P1825" t="s">
        <v>21</v>
      </c>
      <c r="Q1825">
        <v>558.53805620608898</v>
      </c>
      <c r="R1825">
        <f ca="1">YEAR(TODAY())-Table1[[#This Row],[Year Built]]</f>
        <v>55</v>
      </c>
      <c r="S1825" t="str">
        <f>IF(Table1[[#This Row],[Days on Market]] &lt; 30,"Fast",IF(Table1[[#This Row],[Days on Market]]&lt;= 90,"Average", "Slow"))</f>
        <v>Fast</v>
      </c>
      <c r="T1825" t="str">
        <f>IF(Table1[[#This Row],[Price2]]&lt;500000,"Affordable",IF(Table1[[#This Row],[Price2]]&lt;1000000,"Mid range","Luxury"))</f>
        <v>Mid range</v>
      </c>
    </row>
    <row r="1826" spans="1:20" x14ac:dyDescent="0.35">
      <c r="A1826" s="3">
        <v>956034</v>
      </c>
      <c r="B1826" s="2" t="s">
        <v>12</v>
      </c>
      <c r="C1826">
        <v>77866</v>
      </c>
      <c r="D1826" s="2" t="s">
        <v>13</v>
      </c>
      <c r="E1826">
        <v>1</v>
      </c>
      <c r="F1826">
        <v>4</v>
      </c>
      <c r="G1826" s="4">
        <f>VALUE(SUBSTITUTE(SUBSTITUTE(Table1[[#This Row],[Price]],"$",""),",",""))</f>
        <v>956034</v>
      </c>
      <c r="H1826" s="1">
        <f>Table1[[#This Row],[Price2]]/Table1[[#This Row],[Area]]</f>
        <v>1418.4480712166171</v>
      </c>
      <c r="I1826">
        <v>674</v>
      </c>
      <c r="J1826">
        <v>1993</v>
      </c>
      <c r="K1826">
        <v>87</v>
      </c>
      <c r="L1826" t="s">
        <v>30</v>
      </c>
      <c r="M1826" t="s">
        <v>1475</v>
      </c>
      <c r="N1826" s="2" t="s">
        <v>3027</v>
      </c>
      <c r="O1826" t="s">
        <v>3028</v>
      </c>
      <c r="P1826" t="s">
        <v>16</v>
      </c>
      <c r="Q1826">
        <v>1418.4480712166171</v>
      </c>
      <c r="R1826">
        <f ca="1">YEAR(TODAY())-Table1[[#This Row],[Year Built]]</f>
        <v>33</v>
      </c>
      <c r="S1826" t="str">
        <f>IF(Table1[[#This Row],[Days on Market]] &lt; 30,"Fast",IF(Table1[[#This Row],[Days on Market]]&lt;= 90,"Average", "Slow"))</f>
        <v>Average</v>
      </c>
      <c r="T1826" t="str">
        <f>IF(Table1[[#This Row],[Price2]]&lt;500000,"Affordable",IF(Table1[[#This Row],[Price2]]&lt;1000000,"Mid range","Luxury"))</f>
        <v>Mid range</v>
      </c>
    </row>
    <row r="1827" spans="1:20" x14ac:dyDescent="0.35">
      <c r="A1827" s="3">
        <v>957203</v>
      </c>
      <c r="B1827" s="2" t="s">
        <v>27</v>
      </c>
      <c r="C1827">
        <v>30810</v>
      </c>
      <c r="D1827" s="2" t="s">
        <v>29</v>
      </c>
      <c r="E1827">
        <v>5</v>
      </c>
      <c r="F1827">
        <v>1</v>
      </c>
      <c r="G1827" s="4">
        <f>VALUE(SUBSTITUTE(SUBSTITUTE(Table1[[#This Row],[Price]],"$",""),",",""))</f>
        <v>957203</v>
      </c>
      <c r="H1827" s="1">
        <f>Table1[[#This Row],[Price2]]/Table1[[#This Row],[Area]]</f>
        <v>353.99519230769232</v>
      </c>
      <c r="I1827">
        <v>2704</v>
      </c>
      <c r="J1827">
        <v>2019</v>
      </c>
      <c r="K1827">
        <v>63</v>
      </c>
      <c r="L1827" t="s">
        <v>52</v>
      </c>
      <c r="M1827" t="s">
        <v>2714</v>
      </c>
      <c r="N1827" s="2" t="s">
        <v>3031</v>
      </c>
      <c r="O1827" t="s">
        <v>3032</v>
      </c>
      <c r="P1827" t="s">
        <v>16</v>
      </c>
      <c r="Q1827">
        <v>353.99519230769232</v>
      </c>
      <c r="R1827">
        <f ca="1">YEAR(TODAY())-Table1[[#This Row],[Year Built]]</f>
        <v>7</v>
      </c>
      <c r="S1827" t="str">
        <f>IF(Table1[[#This Row],[Days on Market]] &lt; 30,"Fast",IF(Table1[[#This Row],[Days on Market]]&lt;= 90,"Average", "Slow"))</f>
        <v>Average</v>
      </c>
      <c r="T1827" t="str">
        <f>IF(Table1[[#This Row],[Price2]]&lt;500000,"Affordable",IF(Table1[[#This Row],[Price2]]&lt;1000000,"Mid range","Luxury"))</f>
        <v>Mid range</v>
      </c>
    </row>
    <row r="1828" spans="1:20" x14ac:dyDescent="0.35">
      <c r="A1828" s="3">
        <v>957223</v>
      </c>
      <c r="B1828" s="2" t="s">
        <v>17</v>
      </c>
      <c r="C1828">
        <v>75019</v>
      </c>
      <c r="D1828" s="2" t="s">
        <v>18</v>
      </c>
      <c r="E1828">
        <v>3</v>
      </c>
      <c r="F1828">
        <v>2</v>
      </c>
      <c r="G1828" s="4">
        <f>VALUE(SUBSTITUTE(SUBSTITUTE(Table1[[#This Row],[Price]],"$",""),",",""))</f>
        <v>957223</v>
      </c>
      <c r="H1828" s="1">
        <f>Table1[[#This Row],[Price2]]/Table1[[#This Row],[Area]]</f>
        <v>1018.3223404255319</v>
      </c>
      <c r="I1828">
        <v>940</v>
      </c>
      <c r="J1828">
        <v>1987</v>
      </c>
      <c r="K1828">
        <v>35</v>
      </c>
      <c r="L1828" t="s">
        <v>52</v>
      </c>
      <c r="M1828" t="s">
        <v>1055</v>
      </c>
      <c r="N1828" s="2" t="s">
        <v>3031</v>
      </c>
      <c r="O1828" t="s">
        <v>3032</v>
      </c>
      <c r="P1828" t="s">
        <v>26</v>
      </c>
      <c r="Q1828">
        <v>1018.3223404255319</v>
      </c>
      <c r="R1828">
        <f ca="1">YEAR(TODAY())-Table1[[#This Row],[Year Built]]</f>
        <v>39</v>
      </c>
      <c r="S1828" t="str">
        <f>IF(Table1[[#This Row],[Days on Market]] &lt; 30,"Fast",IF(Table1[[#This Row],[Days on Market]]&lt;= 90,"Average", "Slow"))</f>
        <v>Average</v>
      </c>
      <c r="T1828" t="str">
        <f>IF(Table1[[#This Row],[Price2]]&lt;500000,"Affordable",IF(Table1[[#This Row],[Price2]]&lt;1000000,"Mid range","Luxury"))</f>
        <v>Mid range</v>
      </c>
    </row>
    <row r="1829" spans="1:20" x14ac:dyDescent="0.35">
      <c r="A1829" s="3">
        <v>957576</v>
      </c>
      <c r="B1829" s="2" t="s">
        <v>34</v>
      </c>
      <c r="C1829">
        <v>12301</v>
      </c>
      <c r="D1829" s="2" t="s">
        <v>13</v>
      </c>
      <c r="E1829">
        <v>1</v>
      </c>
      <c r="F1829">
        <v>3</v>
      </c>
      <c r="G1829" s="4">
        <f>VALUE(SUBSTITUTE(SUBSTITUTE(Table1[[#This Row],[Price]],"$",""),",",""))</f>
        <v>957576</v>
      </c>
      <c r="H1829" s="1">
        <f>Table1[[#This Row],[Price2]]/Table1[[#This Row],[Area]]</f>
        <v>277.63873586546828</v>
      </c>
      <c r="I1829">
        <v>3449</v>
      </c>
      <c r="J1829">
        <v>1968</v>
      </c>
      <c r="K1829">
        <v>78</v>
      </c>
      <c r="L1829" t="s">
        <v>14</v>
      </c>
      <c r="M1829" t="s">
        <v>2580</v>
      </c>
      <c r="N1829" s="2" t="s">
        <v>3027</v>
      </c>
      <c r="O1829" t="s">
        <v>3028</v>
      </c>
      <c r="P1829" t="s">
        <v>16</v>
      </c>
      <c r="Q1829">
        <v>277.63873586546828</v>
      </c>
      <c r="R1829">
        <f ca="1">YEAR(TODAY())-Table1[[#This Row],[Year Built]]</f>
        <v>58</v>
      </c>
      <c r="S1829" t="str">
        <f>IF(Table1[[#This Row],[Days on Market]] &lt; 30,"Fast",IF(Table1[[#This Row],[Days on Market]]&lt;= 90,"Average", "Slow"))</f>
        <v>Average</v>
      </c>
      <c r="T1829" t="str">
        <f>IF(Table1[[#This Row],[Price2]]&lt;500000,"Affordable",IF(Table1[[#This Row],[Price2]]&lt;1000000,"Mid range","Luxury"))</f>
        <v>Mid range</v>
      </c>
    </row>
    <row r="1830" spans="1:20" x14ac:dyDescent="0.35">
      <c r="A1830" s="3">
        <v>957604</v>
      </c>
      <c r="B1830" s="2" t="s">
        <v>17</v>
      </c>
      <c r="C1830">
        <v>99255</v>
      </c>
      <c r="D1830" s="2" t="s">
        <v>29</v>
      </c>
      <c r="E1830">
        <v>3</v>
      </c>
      <c r="F1830">
        <v>2</v>
      </c>
      <c r="G1830" s="4">
        <f>VALUE(SUBSTITUTE(SUBSTITUTE(Table1[[#This Row],[Price]],"$",""),",",""))</f>
        <v>957604</v>
      </c>
      <c r="H1830" s="1">
        <f>Table1[[#This Row],[Price2]]/Table1[[#This Row],[Area]]</f>
        <v>774.76051779935278</v>
      </c>
      <c r="I1830">
        <v>1236</v>
      </c>
      <c r="J1830">
        <v>1969</v>
      </c>
      <c r="K1830">
        <v>67</v>
      </c>
      <c r="L1830" t="s">
        <v>30</v>
      </c>
      <c r="M1830" t="s">
        <v>1177</v>
      </c>
      <c r="N1830" s="2" t="s">
        <v>3031</v>
      </c>
      <c r="O1830" t="s">
        <v>3032</v>
      </c>
      <c r="P1830" t="s">
        <v>16</v>
      </c>
      <c r="Q1830">
        <v>774.76051779935278</v>
      </c>
      <c r="R1830">
        <f ca="1">YEAR(TODAY())-Table1[[#This Row],[Year Built]]</f>
        <v>57</v>
      </c>
      <c r="S1830" t="str">
        <f>IF(Table1[[#This Row],[Days on Market]] &lt; 30,"Fast",IF(Table1[[#This Row],[Days on Market]]&lt;= 90,"Average", "Slow"))</f>
        <v>Average</v>
      </c>
      <c r="T1830" t="str">
        <f>IF(Table1[[#This Row],[Price2]]&lt;500000,"Affordable",IF(Table1[[#This Row],[Price2]]&lt;1000000,"Mid range","Luxury"))</f>
        <v>Mid range</v>
      </c>
    </row>
    <row r="1831" spans="1:20" x14ac:dyDescent="0.35">
      <c r="A1831" s="3">
        <v>957764</v>
      </c>
      <c r="B1831" s="2" t="s">
        <v>27</v>
      </c>
      <c r="C1831">
        <v>16392</v>
      </c>
      <c r="D1831" s="2" t="s">
        <v>13</v>
      </c>
      <c r="E1831">
        <v>1</v>
      </c>
      <c r="F1831">
        <v>4</v>
      </c>
      <c r="G1831" s="4">
        <f>VALUE(SUBSTITUTE(SUBSTITUTE(Table1[[#This Row],[Price]],"$",""),",",""))</f>
        <v>957764</v>
      </c>
      <c r="H1831" s="1">
        <f>Table1[[#This Row],[Price2]]/Table1[[#This Row],[Area]]</f>
        <v>627.63040629095678</v>
      </c>
      <c r="I1831">
        <v>1526</v>
      </c>
      <c r="J1831">
        <v>1979</v>
      </c>
      <c r="K1831">
        <v>45</v>
      </c>
      <c r="L1831" t="s">
        <v>30</v>
      </c>
      <c r="M1831" t="s">
        <v>2129</v>
      </c>
      <c r="N1831" s="2" t="s">
        <v>3035</v>
      </c>
      <c r="O1831" t="s">
        <v>3036</v>
      </c>
      <c r="P1831" t="s">
        <v>16</v>
      </c>
      <c r="Q1831">
        <v>627.63040629095678</v>
      </c>
      <c r="R1831">
        <f ca="1">YEAR(TODAY())-Table1[[#This Row],[Year Built]]</f>
        <v>47</v>
      </c>
      <c r="S1831" t="str">
        <f>IF(Table1[[#This Row],[Days on Market]] &lt; 30,"Fast",IF(Table1[[#This Row],[Days on Market]]&lt;= 90,"Average", "Slow"))</f>
        <v>Average</v>
      </c>
      <c r="T1831" t="str">
        <f>IF(Table1[[#This Row],[Price2]]&lt;500000,"Affordable",IF(Table1[[#This Row],[Price2]]&lt;1000000,"Mid range","Luxury"))</f>
        <v>Mid range</v>
      </c>
    </row>
    <row r="1832" spans="1:20" x14ac:dyDescent="0.35">
      <c r="A1832" s="3">
        <v>958904</v>
      </c>
      <c r="B1832" s="2" t="s">
        <v>12</v>
      </c>
      <c r="C1832">
        <v>38521</v>
      </c>
      <c r="D1832" s="2" t="s">
        <v>13</v>
      </c>
      <c r="E1832">
        <v>4</v>
      </c>
      <c r="F1832">
        <v>3</v>
      </c>
      <c r="G1832" s="4">
        <f>VALUE(SUBSTITUTE(SUBSTITUTE(Table1[[#This Row],[Price]],"$",""),",",""))</f>
        <v>958904</v>
      </c>
      <c r="H1832" s="1">
        <f>Table1[[#This Row],[Price2]]/Table1[[#This Row],[Area]]</f>
        <v>885.41458910433983</v>
      </c>
      <c r="I1832">
        <v>1083</v>
      </c>
      <c r="J1832">
        <v>1970</v>
      </c>
      <c r="K1832">
        <v>97</v>
      </c>
      <c r="L1832" t="s">
        <v>14</v>
      </c>
      <c r="M1832" t="s">
        <v>1888</v>
      </c>
      <c r="N1832" s="2" t="s">
        <v>3033</v>
      </c>
      <c r="O1832" t="s">
        <v>3034</v>
      </c>
      <c r="P1832" t="s">
        <v>26</v>
      </c>
      <c r="Q1832">
        <v>885.41458910433983</v>
      </c>
      <c r="R1832">
        <f ca="1">YEAR(TODAY())-Table1[[#This Row],[Year Built]]</f>
        <v>56</v>
      </c>
      <c r="S1832" t="str">
        <f>IF(Table1[[#This Row],[Days on Market]] &lt; 30,"Fast",IF(Table1[[#This Row],[Days on Market]]&lt;= 90,"Average", "Slow"))</f>
        <v>Slow</v>
      </c>
      <c r="T1832" t="str">
        <f>IF(Table1[[#This Row],[Price2]]&lt;500000,"Affordable",IF(Table1[[#This Row],[Price2]]&lt;1000000,"Mid range","Luxury"))</f>
        <v>Mid range</v>
      </c>
    </row>
    <row r="1833" spans="1:20" x14ac:dyDescent="0.35">
      <c r="A1833" s="3">
        <v>959249</v>
      </c>
      <c r="B1833" s="2" t="s">
        <v>27</v>
      </c>
      <c r="C1833">
        <v>56664</v>
      </c>
      <c r="D1833" s="2" t="s">
        <v>13</v>
      </c>
      <c r="E1833">
        <v>3</v>
      </c>
      <c r="F1833">
        <v>2</v>
      </c>
      <c r="G1833" s="4">
        <f>VALUE(SUBSTITUTE(SUBSTITUTE(Table1[[#This Row],[Price]],"$",""),",",""))</f>
        <v>959249</v>
      </c>
      <c r="H1833" s="1">
        <f>Table1[[#This Row],[Price2]]/Table1[[#This Row],[Area]]</f>
        <v>452.04948162111214</v>
      </c>
      <c r="I1833">
        <v>2122</v>
      </c>
      <c r="J1833">
        <v>2008</v>
      </c>
      <c r="K1833">
        <v>8</v>
      </c>
      <c r="L1833" t="s">
        <v>40</v>
      </c>
      <c r="M1833" t="s">
        <v>2184</v>
      </c>
      <c r="N1833" s="2" t="s">
        <v>3027</v>
      </c>
      <c r="O1833" t="s">
        <v>3028</v>
      </c>
      <c r="P1833" t="s">
        <v>26</v>
      </c>
      <c r="Q1833">
        <v>452.04948162111214</v>
      </c>
      <c r="R1833">
        <f ca="1">YEAR(TODAY())-Table1[[#This Row],[Year Built]]</f>
        <v>18</v>
      </c>
      <c r="S1833" t="str">
        <f>IF(Table1[[#This Row],[Days on Market]] &lt; 30,"Fast",IF(Table1[[#This Row],[Days on Market]]&lt;= 90,"Average", "Slow"))</f>
        <v>Fast</v>
      </c>
      <c r="T1833" t="str">
        <f>IF(Table1[[#This Row],[Price2]]&lt;500000,"Affordable",IF(Table1[[#This Row],[Price2]]&lt;1000000,"Mid range","Luxury"))</f>
        <v>Mid range</v>
      </c>
    </row>
    <row r="1834" spans="1:20" x14ac:dyDescent="0.35">
      <c r="A1834" s="3">
        <v>959885</v>
      </c>
      <c r="B1834" s="2" t="s">
        <v>27</v>
      </c>
      <c r="C1834">
        <v>19495</v>
      </c>
      <c r="D1834" s="2" t="s">
        <v>13</v>
      </c>
      <c r="E1834">
        <v>5</v>
      </c>
      <c r="F1834">
        <v>1</v>
      </c>
      <c r="G1834" s="4">
        <f>VALUE(SUBSTITUTE(SUBSTITUTE(Table1[[#This Row],[Price]],"$",""),",",""))</f>
        <v>959885</v>
      </c>
      <c r="H1834" s="1">
        <f>Table1[[#This Row],[Price2]]/Table1[[#This Row],[Area]]</f>
        <v>530.61636263128798</v>
      </c>
      <c r="I1834">
        <v>1809</v>
      </c>
      <c r="J1834">
        <v>1988</v>
      </c>
      <c r="K1834">
        <v>116</v>
      </c>
      <c r="L1834" t="s">
        <v>40</v>
      </c>
      <c r="M1834" t="s">
        <v>1970</v>
      </c>
      <c r="N1834" s="2" t="s">
        <v>3029</v>
      </c>
      <c r="O1834" t="s">
        <v>3030</v>
      </c>
      <c r="P1834" t="s">
        <v>26</v>
      </c>
      <c r="Q1834">
        <v>530.61636263128798</v>
      </c>
      <c r="R1834">
        <f ca="1">YEAR(TODAY())-Table1[[#This Row],[Year Built]]</f>
        <v>38</v>
      </c>
      <c r="S1834" t="str">
        <f>IF(Table1[[#This Row],[Days on Market]] &lt; 30,"Fast",IF(Table1[[#This Row],[Days on Market]]&lt;= 90,"Average", "Slow"))</f>
        <v>Slow</v>
      </c>
      <c r="T1834" t="str">
        <f>IF(Table1[[#This Row],[Price2]]&lt;500000,"Affordable",IF(Table1[[#This Row],[Price2]]&lt;1000000,"Mid range","Luxury"))</f>
        <v>Mid range</v>
      </c>
    </row>
    <row r="1835" spans="1:20" x14ac:dyDescent="0.35">
      <c r="A1835" s="3">
        <v>960338</v>
      </c>
      <c r="B1835" s="2" t="s">
        <v>22</v>
      </c>
      <c r="C1835">
        <v>39890</v>
      </c>
      <c r="D1835" s="2" t="s">
        <v>13</v>
      </c>
      <c r="E1835">
        <v>6</v>
      </c>
      <c r="F1835">
        <v>4</v>
      </c>
      <c r="G1835" s="4">
        <f>VALUE(SUBSTITUTE(SUBSTITUTE(Table1[[#This Row],[Price]],"$",""),",",""))</f>
        <v>960338</v>
      </c>
      <c r="H1835" s="1">
        <f>Table1[[#This Row],[Price2]]/Table1[[#This Row],[Area]]</f>
        <v>267.57815547506272</v>
      </c>
      <c r="I1835">
        <v>3589</v>
      </c>
      <c r="J1835">
        <v>1997</v>
      </c>
      <c r="K1835">
        <v>36</v>
      </c>
      <c r="L1835" t="s">
        <v>19</v>
      </c>
      <c r="M1835" t="s">
        <v>2821</v>
      </c>
      <c r="N1835" s="2" t="s">
        <v>3029</v>
      </c>
      <c r="O1835" t="s">
        <v>3030</v>
      </c>
      <c r="P1835" t="s">
        <v>16</v>
      </c>
      <c r="Q1835">
        <v>267.57815547506272</v>
      </c>
      <c r="R1835">
        <f ca="1">YEAR(TODAY())-Table1[[#This Row],[Year Built]]</f>
        <v>29</v>
      </c>
      <c r="S1835" t="str">
        <f>IF(Table1[[#This Row],[Days on Market]] &lt; 30,"Fast",IF(Table1[[#This Row],[Days on Market]]&lt;= 90,"Average", "Slow"))</f>
        <v>Average</v>
      </c>
      <c r="T1835" t="str">
        <f>IF(Table1[[#This Row],[Price2]]&lt;500000,"Affordable",IF(Table1[[#This Row],[Price2]]&lt;1000000,"Mid range","Luxury"))</f>
        <v>Mid range</v>
      </c>
    </row>
    <row r="1836" spans="1:20" x14ac:dyDescent="0.35">
      <c r="A1836" s="3">
        <v>960407</v>
      </c>
      <c r="B1836" s="2" t="s">
        <v>17</v>
      </c>
      <c r="C1836">
        <v>35524</v>
      </c>
      <c r="D1836" s="2" t="s">
        <v>35</v>
      </c>
      <c r="E1836">
        <v>4</v>
      </c>
      <c r="F1836">
        <v>2</v>
      </c>
      <c r="G1836" s="4">
        <f>VALUE(SUBSTITUTE(SUBSTITUTE(Table1[[#This Row],[Price]],"$",""),",",""))</f>
        <v>960407</v>
      </c>
      <c r="H1836" s="1">
        <f>Table1[[#This Row],[Price2]]/Table1[[#This Row],[Area]]</f>
        <v>389.30158086745035</v>
      </c>
      <c r="I1836">
        <v>2467</v>
      </c>
      <c r="J1836">
        <v>1995</v>
      </c>
      <c r="K1836">
        <v>120</v>
      </c>
      <c r="L1836" t="s">
        <v>14</v>
      </c>
      <c r="M1836" t="s">
        <v>464</v>
      </c>
      <c r="N1836" s="2" t="s">
        <v>3033</v>
      </c>
      <c r="O1836" t="s">
        <v>3034</v>
      </c>
      <c r="P1836" t="s">
        <v>26</v>
      </c>
      <c r="Q1836">
        <v>389.30158086745035</v>
      </c>
      <c r="R1836">
        <f ca="1">YEAR(TODAY())-Table1[[#This Row],[Year Built]]</f>
        <v>31</v>
      </c>
      <c r="S1836" t="str">
        <f>IF(Table1[[#This Row],[Days on Market]] &lt; 30,"Fast",IF(Table1[[#This Row],[Days on Market]]&lt;= 90,"Average", "Slow"))</f>
        <v>Slow</v>
      </c>
      <c r="T1836" t="str">
        <f>IF(Table1[[#This Row],[Price2]]&lt;500000,"Affordable",IF(Table1[[#This Row],[Price2]]&lt;1000000,"Mid range","Luxury"))</f>
        <v>Mid range</v>
      </c>
    </row>
    <row r="1837" spans="1:20" x14ac:dyDescent="0.35">
      <c r="A1837" s="3">
        <v>961607</v>
      </c>
      <c r="B1837" s="2" t="s">
        <v>22</v>
      </c>
      <c r="C1837">
        <v>36242</v>
      </c>
      <c r="D1837" s="2" t="s">
        <v>18</v>
      </c>
      <c r="E1837">
        <v>2</v>
      </c>
      <c r="F1837">
        <v>2</v>
      </c>
      <c r="G1837" s="4">
        <f>VALUE(SUBSTITUTE(SUBSTITUTE(Table1[[#This Row],[Price]],"$",""),",",""))</f>
        <v>961607</v>
      </c>
      <c r="H1837" s="1">
        <f>Table1[[#This Row],[Price2]]/Table1[[#This Row],[Area]]</f>
        <v>272.56434240362813</v>
      </c>
      <c r="I1837">
        <v>3528</v>
      </c>
      <c r="J1837">
        <v>1993</v>
      </c>
      <c r="K1837">
        <v>109</v>
      </c>
      <c r="L1837" t="s">
        <v>30</v>
      </c>
      <c r="M1837" t="s">
        <v>734</v>
      </c>
      <c r="N1837" s="2" t="s">
        <v>3027</v>
      </c>
      <c r="O1837" t="s">
        <v>3028</v>
      </c>
      <c r="P1837" t="s">
        <v>21</v>
      </c>
      <c r="Q1837">
        <v>272.56434240362813</v>
      </c>
      <c r="R1837">
        <f ca="1">YEAR(TODAY())-Table1[[#This Row],[Year Built]]</f>
        <v>33</v>
      </c>
      <c r="S1837" t="str">
        <f>IF(Table1[[#This Row],[Days on Market]] &lt; 30,"Fast",IF(Table1[[#This Row],[Days on Market]]&lt;= 90,"Average", "Slow"))</f>
        <v>Slow</v>
      </c>
      <c r="T1837" t="str">
        <f>IF(Table1[[#This Row],[Price2]]&lt;500000,"Affordable",IF(Table1[[#This Row],[Price2]]&lt;1000000,"Mid range","Luxury"))</f>
        <v>Mid range</v>
      </c>
    </row>
    <row r="1838" spans="1:20" x14ac:dyDescent="0.35">
      <c r="A1838" s="3">
        <v>961677</v>
      </c>
      <c r="B1838" s="2" t="s">
        <v>22</v>
      </c>
      <c r="C1838">
        <v>38529</v>
      </c>
      <c r="D1838" s="2" t="s">
        <v>29</v>
      </c>
      <c r="E1838">
        <v>5</v>
      </c>
      <c r="F1838">
        <v>3</v>
      </c>
      <c r="G1838" s="4">
        <f>VALUE(SUBSTITUTE(SUBSTITUTE(Table1[[#This Row],[Price]],"$",""),",",""))</f>
        <v>961677</v>
      </c>
      <c r="H1838" s="1">
        <f>Table1[[#This Row],[Price2]]/Table1[[#This Row],[Area]]</f>
        <v>483.74094567404427</v>
      </c>
      <c r="I1838">
        <v>1988</v>
      </c>
      <c r="J1838">
        <v>1987</v>
      </c>
      <c r="K1838">
        <v>79</v>
      </c>
      <c r="L1838" t="s">
        <v>14</v>
      </c>
      <c r="M1838" t="s">
        <v>2432</v>
      </c>
      <c r="N1838" s="2" t="s">
        <v>3035</v>
      </c>
      <c r="O1838" t="s">
        <v>3036</v>
      </c>
      <c r="P1838" t="s">
        <v>16</v>
      </c>
      <c r="Q1838">
        <v>483.74094567404427</v>
      </c>
      <c r="R1838">
        <f ca="1">YEAR(TODAY())-Table1[[#This Row],[Year Built]]</f>
        <v>39</v>
      </c>
      <c r="S1838" t="str">
        <f>IF(Table1[[#This Row],[Days on Market]] &lt; 30,"Fast",IF(Table1[[#This Row],[Days on Market]]&lt;= 90,"Average", "Slow"))</f>
        <v>Average</v>
      </c>
      <c r="T1838" t="str">
        <f>IF(Table1[[#This Row],[Price2]]&lt;500000,"Affordable",IF(Table1[[#This Row],[Price2]]&lt;1000000,"Mid range","Luxury"))</f>
        <v>Mid range</v>
      </c>
    </row>
    <row r="1839" spans="1:20" x14ac:dyDescent="0.35">
      <c r="A1839" s="3">
        <v>962971</v>
      </c>
      <c r="B1839" s="2" t="s">
        <v>22</v>
      </c>
      <c r="C1839">
        <v>88614</v>
      </c>
      <c r="D1839" s="2" t="s">
        <v>29</v>
      </c>
      <c r="E1839">
        <v>2</v>
      </c>
      <c r="F1839">
        <v>4</v>
      </c>
      <c r="G1839" s="4">
        <f>VALUE(SUBSTITUTE(SUBSTITUTE(Table1[[#This Row],[Price]],"$",""),",",""))</f>
        <v>962971</v>
      </c>
      <c r="H1839" s="1">
        <f>Table1[[#This Row],[Price2]]/Table1[[#This Row],[Area]]</f>
        <v>287.28251789976133</v>
      </c>
      <c r="I1839">
        <v>3352</v>
      </c>
      <c r="J1839">
        <v>2022</v>
      </c>
      <c r="K1839">
        <v>118</v>
      </c>
      <c r="L1839" t="s">
        <v>19</v>
      </c>
      <c r="M1839" t="s">
        <v>835</v>
      </c>
      <c r="N1839" s="2" t="s">
        <v>3029</v>
      </c>
      <c r="O1839" t="s">
        <v>3030</v>
      </c>
      <c r="P1839" t="s">
        <v>21</v>
      </c>
      <c r="Q1839">
        <v>287.28251789976133</v>
      </c>
      <c r="R1839">
        <f ca="1">YEAR(TODAY())-Table1[[#This Row],[Year Built]]</f>
        <v>4</v>
      </c>
      <c r="S1839" t="str">
        <f>IF(Table1[[#This Row],[Days on Market]] &lt; 30,"Fast",IF(Table1[[#This Row],[Days on Market]]&lt;= 90,"Average", "Slow"))</f>
        <v>Slow</v>
      </c>
      <c r="T1839" t="str">
        <f>IF(Table1[[#This Row],[Price2]]&lt;500000,"Affordable",IF(Table1[[#This Row],[Price2]]&lt;1000000,"Mid range","Luxury"))</f>
        <v>Mid range</v>
      </c>
    </row>
    <row r="1840" spans="1:20" x14ac:dyDescent="0.35">
      <c r="A1840" s="3">
        <v>963007</v>
      </c>
      <c r="B1840" s="2" t="s">
        <v>17</v>
      </c>
      <c r="C1840">
        <v>83139</v>
      </c>
      <c r="D1840" s="2" t="s">
        <v>18</v>
      </c>
      <c r="E1840">
        <v>4</v>
      </c>
      <c r="F1840">
        <v>1</v>
      </c>
      <c r="G1840" s="4">
        <f>VALUE(SUBSTITUTE(SUBSTITUTE(Table1[[#This Row],[Price]],"$",""),",",""))</f>
        <v>963007</v>
      </c>
      <c r="H1840" s="1">
        <f>Table1[[#This Row],[Price2]]/Table1[[#This Row],[Area]]</f>
        <v>820.27853492333907</v>
      </c>
      <c r="I1840">
        <v>1174</v>
      </c>
      <c r="J1840">
        <v>1976</v>
      </c>
      <c r="K1840">
        <v>114</v>
      </c>
      <c r="L1840" t="s">
        <v>30</v>
      </c>
      <c r="M1840" t="s">
        <v>1983</v>
      </c>
      <c r="N1840" s="2" t="s">
        <v>3027</v>
      </c>
      <c r="O1840" t="s">
        <v>3028</v>
      </c>
      <c r="P1840" t="s">
        <v>21</v>
      </c>
      <c r="Q1840">
        <v>820.27853492333907</v>
      </c>
      <c r="R1840">
        <f ca="1">YEAR(TODAY())-Table1[[#This Row],[Year Built]]</f>
        <v>50</v>
      </c>
      <c r="S1840" t="str">
        <f>IF(Table1[[#This Row],[Days on Market]] &lt; 30,"Fast",IF(Table1[[#This Row],[Days on Market]]&lt;= 90,"Average", "Slow"))</f>
        <v>Slow</v>
      </c>
      <c r="T1840" t="str">
        <f>IF(Table1[[#This Row],[Price2]]&lt;500000,"Affordable",IF(Table1[[#This Row],[Price2]]&lt;1000000,"Mid range","Luxury"))</f>
        <v>Mid range</v>
      </c>
    </row>
    <row r="1841" spans="1:20" x14ac:dyDescent="0.35">
      <c r="A1841" s="3">
        <v>963039</v>
      </c>
      <c r="B1841" s="2" t="s">
        <v>34</v>
      </c>
      <c r="C1841">
        <v>98928</v>
      </c>
      <c r="D1841" s="2" t="s">
        <v>29</v>
      </c>
      <c r="E1841">
        <v>1</v>
      </c>
      <c r="F1841">
        <v>3</v>
      </c>
      <c r="G1841" s="4">
        <f>VALUE(SUBSTITUTE(SUBSTITUTE(Table1[[#This Row],[Price]],"$",""),",",""))</f>
        <v>963039</v>
      </c>
      <c r="H1841" s="1">
        <f>Table1[[#This Row],[Price2]]/Table1[[#This Row],[Area]]</f>
        <v>361.90868094701239</v>
      </c>
      <c r="I1841">
        <v>2661</v>
      </c>
      <c r="J1841">
        <v>1981</v>
      </c>
      <c r="K1841">
        <v>87</v>
      </c>
      <c r="L1841" t="s">
        <v>14</v>
      </c>
      <c r="M1841" t="s">
        <v>1309</v>
      </c>
      <c r="N1841" s="2" t="s">
        <v>3029</v>
      </c>
      <c r="O1841" t="s">
        <v>3030</v>
      </c>
      <c r="P1841" t="s">
        <v>16</v>
      </c>
      <c r="Q1841">
        <v>361.90868094701239</v>
      </c>
      <c r="R1841">
        <f ca="1">YEAR(TODAY())-Table1[[#This Row],[Year Built]]</f>
        <v>45</v>
      </c>
      <c r="S1841" t="str">
        <f>IF(Table1[[#This Row],[Days on Market]] &lt; 30,"Fast",IF(Table1[[#This Row],[Days on Market]]&lt;= 90,"Average", "Slow"))</f>
        <v>Average</v>
      </c>
      <c r="T1841" t="str">
        <f>IF(Table1[[#This Row],[Price2]]&lt;500000,"Affordable",IF(Table1[[#This Row],[Price2]]&lt;1000000,"Mid range","Luxury"))</f>
        <v>Mid range</v>
      </c>
    </row>
    <row r="1842" spans="1:20" x14ac:dyDescent="0.35">
      <c r="A1842" s="3">
        <v>963301</v>
      </c>
      <c r="B1842" s="2" t="s">
        <v>22</v>
      </c>
      <c r="C1842">
        <v>60157</v>
      </c>
      <c r="D1842" s="2" t="s">
        <v>18</v>
      </c>
      <c r="E1842">
        <v>3</v>
      </c>
      <c r="F1842">
        <v>2</v>
      </c>
      <c r="G1842" s="4">
        <f>VALUE(SUBSTITUTE(SUBSTITUTE(Table1[[#This Row],[Price]],"$",""),",",""))</f>
        <v>963301</v>
      </c>
      <c r="H1842" s="1">
        <f>Table1[[#This Row],[Price2]]/Table1[[#This Row],[Area]]</f>
        <v>283.65753828032979</v>
      </c>
      <c r="I1842">
        <v>3396</v>
      </c>
      <c r="J1842">
        <v>1963</v>
      </c>
      <c r="K1842">
        <v>60</v>
      </c>
      <c r="L1842" t="s">
        <v>52</v>
      </c>
      <c r="M1842" t="s">
        <v>2149</v>
      </c>
      <c r="N1842" s="2" t="s">
        <v>3031</v>
      </c>
      <c r="O1842" t="s">
        <v>3032</v>
      </c>
      <c r="P1842" t="s">
        <v>16</v>
      </c>
      <c r="Q1842">
        <v>283.65753828032979</v>
      </c>
      <c r="R1842">
        <f ca="1">YEAR(TODAY())-Table1[[#This Row],[Year Built]]</f>
        <v>63</v>
      </c>
      <c r="S1842" t="str">
        <f>IF(Table1[[#This Row],[Days on Market]] &lt; 30,"Fast",IF(Table1[[#This Row],[Days on Market]]&lt;= 90,"Average", "Slow"))</f>
        <v>Average</v>
      </c>
      <c r="T1842" t="str">
        <f>IF(Table1[[#This Row],[Price2]]&lt;500000,"Affordable",IF(Table1[[#This Row],[Price2]]&lt;1000000,"Mid range","Luxury"))</f>
        <v>Mid range</v>
      </c>
    </row>
    <row r="1843" spans="1:20" x14ac:dyDescent="0.35">
      <c r="A1843" s="3">
        <v>964260</v>
      </c>
      <c r="B1843" s="2" t="s">
        <v>27</v>
      </c>
      <c r="C1843">
        <v>99833</v>
      </c>
      <c r="D1843" s="2" t="s">
        <v>13</v>
      </c>
      <c r="E1843">
        <v>4</v>
      </c>
      <c r="F1843">
        <v>3</v>
      </c>
      <c r="G1843" s="4">
        <f>VALUE(SUBSTITUTE(SUBSTITUTE(Table1[[#This Row],[Price]],"$",""),",",""))</f>
        <v>964260</v>
      </c>
      <c r="H1843" s="1">
        <f>Table1[[#This Row],[Price2]]/Table1[[#This Row],[Area]]</f>
        <v>247.37301180092356</v>
      </c>
      <c r="I1843">
        <v>3898</v>
      </c>
      <c r="J1843">
        <v>2004</v>
      </c>
      <c r="K1843">
        <v>8</v>
      </c>
      <c r="L1843" t="s">
        <v>40</v>
      </c>
      <c r="M1843" t="s">
        <v>1805</v>
      </c>
      <c r="N1843" s="2" t="s">
        <v>3031</v>
      </c>
      <c r="O1843" t="s">
        <v>3032</v>
      </c>
      <c r="P1843" t="s">
        <v>21</v>
      </c>
      <c r="Q1843">
        <v>247.37301180092356</v>
      </c>
      <c r="R1843">
        <f ca="1">YEAR(TODAY())-Table1[[#This Row],[Year Built]]</f>
        <v>22</v>
      </c>
      <c r="S1843" t="str">
        <f>IF(Table1[[#This Row],[Days on Market]] &lt; 30,"Fast",IF(Table1[[#This Row],[Days on Market]]&lt;= 90,"Average", "Slow"))</f>
        <v>Fast</v>
      </c>
      <c r="T1843" t="str">
        <f>IF(Table1[[#This Row],[Price2]]&lt;500000,"Affordable",IF(Table1[[#This Row],[Price2]]&lt;1000000,"Mid range","Luxury"))</f>
        <v>Mid range</v>
      </c>
    </row>
    <row r="1844" spans="1:20" x14ac:dyDescent="0.35">
      <c r="A1844" s="3">
        <v>964648</v>
      </c>
      <c r="B1844" s="2" t="s">
        <v>27</v>
      </c>
      <c r="C1844">
        <v>48014</v>
      </c>
      <c r="D1844" s="2" t="s">
        <v>18</v>
      </c>
      <c r="E1844">
        <v>1</v>
      </c>
      <c r="F1844">
        <v>2</v>
      </c>
      <c r="G1844" s="4">
        <f>VALUE(SUBSTITUTE(SUBSTITUTE(Table1[[#This Row],[Price]],"$",""),",",""))</f>
        <v>964648</v>
      </c>
      <c r="H1844" s="1">
        <f>Table1[[#This Row],[Price2]]/Table1[[#This Row],[Area]]</f>
        <v>394.86205485059355</v>
      </c>
      <c r="I1844">
        <v>2443</v>
      </c>
      <c r="J1844">
        <v>1999</v>
      </c>
      <c r="K1844">
        <v>98</v>
      </c>
      <c r="L1844" t="s">
        <v>14</v>
      </c>
      <c r="M1844" t="s">
        <v>1609</v>
      </c>
      <c r="N1844" s="2" t="s">
        <v>3031</v>
      </c>
      <c r="O1844" t="s">
        <v>3032</v>
      </c>
      <c r="P1844" t="s">
        <v>16</v>
      </c>
      <c r="Q1844">
        <v>394.86205485059355</v>
      </c>
      <c r="R1844">
        <f ca="1">YEAR(TODAY())-Table1[[#This Row],[Year Built]]</f>
        <v>27</v>
      </c>
      <c r="S1844" t="str">
        <f>IF(Table1[[#This Row],[Days on Market]] &lt; 30,"Fast",IF(Table1[[#This Row],[Days on Market]]&lt;= 90,"Average", "Slow"))</f>
        <v>Slow</v>
      </c>
      <c r="T1844" t="str">
        <f>IF(Table1[[#This Row],[Price2]]&lt;500000,"Affordable",IF(Table1[[#This Row],[Price2]]&lt;1000000,"Mid range","Luxury"))</f>
        <v>Mid range</v>
      </c>
    </row>
    <row r="1845" spans="1:20" x14ac:dyDescent="0.35">
      <c r="A1845" s="3">
        <v>964953</v>
      </c>
      <c r="B1845" s="2" t="s">
        <v>27</v>
      </c>
      <c r="C1845">
        <v>45712</v>
      </c>
      <c r="D1845" s="2" t="s">
        <v>18</v>
      </c>
      <c r="E1845">
        <v>1</v>
      </c>
      <c r="F1845">
        <v>2</v>
      </c>
      <c r="G1845" s="4">
        <f>VALUE(SUBSTITUTE(SUBSTITUTE(Table1[[#This Row],[Price]],"$",""),",",""))</f>
        <v>964953</v>
      </c>
      <c r="H1845" s="1">
        <f>Table1[[#This Row],[Price2]]/Table1[[#This Row],[Area]]</f>
        <v>689.25214285714287</v>
      </c>
      <c r="I1845">
        <v>1400</v>
      </c>
      <c r="J1845">
        <v>1974</v>
      </c>
      <c r="K1845">
        <v>61</v>
      </c>
      <c r="L1845" t="s">
        <v>40</v>
      </c>
      <c r="M1845" t="s">
        <v>2057</v>
      </c>
      <c r="N1845" s="2" t="s">
        <v>3035</v>
      </c>
      <c r="O1845" t="s">
        <v>3036</v>
      </c>
      <c r="P1845" t="s">
        <v>16</v>
      </c>
      <c r="Q1845">
        <v>689.25214285714287</v>
      </c>
      <c r="R1845">
        <f ca="1">YEAR(TODAY())-Table1[[#This Row],[Year Built]]</f>
        <v>52</v>
      </c>
      <c r="S1845" t="str">
        <f>IF(Table1[[#This Row],[Days on Market]] &lt; 30,"Fast",IF(Table1[[#This Row],[Days on Market]]&lt;= 90,"Average", "Slow"))</f>
        <v>Average</v>
      </c>
      <c r="T1845" t="str">
        <f>IF(Table1[[#This Row],[Price2]]&lt;500000,"Affordable",IF(Table1[[#This Row],[Price2]]&lt;1000000,"Mid range","Luxury"))</f>
        <v>Mid range</v>
      </c>
    </row>
    <row r="1846" spans="1:20" x14ac:dyDescent="0.35">
      <c r="A1846" s="3">
        <v>966864</v>
      </c>
      <c r="B1846" s="2" t="s">
        <v>34</v>
      </c>
      <c r="C1846">
        <v>29567</v>
      </c>
      <c r="D1846" s="2" t="s">
        <v>18</v>
      </c>
      <c r="E1846">
        <v>2</v>
      </c>
      <c r="F1846">
        <v>3</v>
      </c>
      <c r="G1846" s="4">
        <f>VALUE(SUBSTITUTE(SUBSTITUTE(Table1[[#This Row],[Price]],"$",""),",",""))</f>
        <v>966864</v>
      </c>
      <c r="H1846" s="1">
        <f>Table1[[#This Row],[Price2]]/Table1[[#This Row],[Area]]</f>
        <v>625.39715394566622</v>
      </c>
      <c r="I1846">
        <v>1546</v>
      </c>
      <c r="J1846">
        <v>2006</v>
      </c>
      <c r="K1846">
        <v>5</v>
      </c>
      <c r="L1846" t="s">
        <v>14</v>
      </c>
      <c r="M1846" t="s">
        <v>1777</v>
      </c>
      <c r="N1846" s="2" t="s">
        <v>3027</v>
      </c>
      <c r="O1846" t="s">
        <v>3028</v>
      </c>
      <c r="P1846" t="s">
        <v>26</v>
      </c>
      <c r="Q1846">
        <v>625.39715394566622</v>
      </c>
      <c r="R1846">
        <f ca="1">YEAR(TODAY())-Table1[[#This Row],[Year Built]]</f>
        <v>20</v>
      </c>
      <c r="S1846" t="str">
        <f>IF(Table1[[#This Row],[Days on Market]] &lt; 30,"Fast",IF(Table1[[#This Row],[Days on Market]]&lt;= 90,"Average", "Slow"))</f>
        <v>Fast</v>
      </c>
      <c r="T1846" t="str">
        <f>IF(Table1[[#This Row],[Price2]]&lt;500000,"Affordable",IF(Table1[[#This Row],[Price2]]&lt;1000000,"Mid range","Luxury"))</f>
        <v>Mid range</v>
      </c>
    </row>
    <row r="1847" spans="1:20" x14ac:dyDescent="0.35">
      <c r="A1847" s="3">
        <v>967316</v>
      </c>
      <c r="B1847" s="2" t="s">
        <v>17</v>
      </c>
      <c r="C1847">
        <v>80142</v>
      </c>
      <c r="D1847" s="2" t="s">
        <v>35</v>
      </c>
      <c r="E1847">
        <v>2</v>
      </c>
      <c r="F1847">
        <v>2</v>
      </c>
      <c r="G1847" s="4">
        <f>VALUE(SUBSTITUTE(SUBSTITUTE(Table1[[#This Row],[Price]],"$",""),",",""))</f>
        <v>967316</v>
      </c>
      <c r="H1847" s="1">
        <f>Table1[[#This Row],[Price2]]/Table1[[#This Row],[Area]]</f>
        <v>345.22341184867952</v>
      </c>
      <c r="I1847">
        <v>2802</v>
      </c>
      <c r="J1847">
        <v>2005</v>
      </c>
      <c r="K1847">
        <v>63</v>
      </c>
      <c r="L1847" t="s">
        <v>40</v>
      </c>
      <c r="M1847" t="s">
        <v>1445</v>
      </c>
      <c r="N1847" s="2" t="s">
        <v>3027</v>
      </c>
      <c r="O1847" t="s">
        <v>3028</v>
      </c>
      <c r="P1847" t="s">
        <v>16</v>
      </c>
      <c r="Q1847">
        <v>345.22341184867952</v>
      </c>
      <c r="R1847">
        <f ca="1">YEAR(TODAY())-Table1[[#This Row],[Year Built]]</f>
        <v>21</v>
      </c>
      <c r="S1847" t="str">
        <f>IF(Table1[[#This Row],[Days on Market]] &lt; 30,"Fast",IF(Table1[[#This Row],[Days on Market]]&lt;= 90,"Average", "Slow"))</f>
        <v>Average</v>
      </c>
      <c r="T1847" t="str">
        <f>IF(Table1[[#This Row],[Price2]]&lt;500000,"Affordable",IF(Table1[[#This Row],[Price2]]&lt;1000000,"Mid range","Luxury"))</f>
        <v>Mid range</v>
      </c>
    </row>
    <row r="1848" spans="1:20" x14ac:dyDescent="0.35">
      <c r="A1848" s="3">
        <v>968119</v>
      </c>
      <c r="B1848" s="2" t="s">
        <v>12</v>
      </c>
      <c r="C1848">
        <v>75241</v>
      </c>
      <c r="D1848" s="2" t="s">
        <v>18</v>
      </c>
      <c r="E1848">
        <v>3</v>
      </c>
      <c r="F1848">
        <v>2</v>
      </c>
      <c r="G1848" s="4">
        <f>VALUE(SUBSTITUTE(SUBSTITUTE(Table1[[#This Row],[Price]],"$",""),",",""))</f>
        <v>968119</v>
      </c>
      <c r="H1848" s="1">
        <f>Table1[[#This Row],[Price2]]/Table1[[#This Row],[Area]]</f>
        <v>507.39989517819708</v>
      </c>
      <c r="I1848">
        <v>1908</v>
      </c>
      <c r="J1848">
        <v>1970</v>
      </c>
      <c r="K1848">
        <v>64</v>
      </c>
      <c r="L1848" t="s">
        <v>19</v>
      </c>
      <c r="M1848" t="s">
        <v>1977</v>
      </c>
      <c r="N1848" s="2" t="s">
        <v>3035</v>
      </c>
      <c r="O1848" t="s">
        <v>3036</v>
      </c>
      <c r="P1848" t="s">
        <v>16</v>
      </c>
      <c r="Q1848">
        <v>507.39989517819708</v>
      </c>
      <c r="R1848">
        <f ca="1">YEAR(TODAY())-Table1[[#This Row],[Year Built]]</f>
        <v>56</v>
      </c>
      <c r="S1848" t="str">
        <f>IF(Table1[[#This Row],[Days on Market]] &lt; 30,"Fast",IF(Table1[[#This Row],[Days on Market]]&lt;= 90,"Average", "Slow"))</f>
        <v>Average</v>
      </c>
      <c r="T1848" t="str">
        <f>IF(Table1[[#This Row],[Price2]]&lt;500000,"Affordable",IF(Table1[[#This Row],[Price2]]&lt;1000000,"Mid range","Luxury"))</f>
        <v>Mid range</v>
      </c>
    </row>
    <row r="1849" spans="1:20" x14ac:dyDescent="0.35">
      <c r="A1849" s="3">
        <v>968615</v>
      </c>
      <c r="B1849" s="2" t="s">
        <v>17</v>
      </c>
      <c r="C1849">
        <v>60175</v>
      </c>
      <c r="D1849" s="2" t="s">
        <v>23</v>
      </c>
      <c r="E1849">
        <v>6</v>
      </c>
      <c r="F1849">
        <v>4</v>
      </c>
      <c r="G1849" s="4">
        <f>VALUE(SUBSTITUTE(SUBSTITUTE(Table1[[#This Row],[Price]],"$",""),",",""))</f>
        <v>968615</v>
      </c>
      <c r="H1849" s="1">
        <f>Table1[[#This Row],[Price2]]/Table1[[#This Row],[Area]]</f>
        <v>638.92810026385223</v>
      </c>
      <c r="I1849">
        <v>1516</v>
      </c>
      <c r="J1849">
        <v>2006</v>
      </c>
      <c r="K1849">
        <v>81</v>
      </c>
      <c r="L1849" t="s">
        <v>19</v>
      </c>
      <c r="M1849" t="s">
        <v>2013</v>
      </c>
      <c r="N1849" s="2" t="s">
        <v>3033</v>
      </c>
      <c r="O1849" t="s">
        <v>3034</v>
      </c>
      <c r="P1849" t="s">
        <v>26</v>
      </c>
      <c r="Q1849">
        <v>638.92810026385223</v>
      </c>
      <c r="R1849">
        <f ca="1">YEAR(TODAY())-Table1[[#This Row],[Year Built]]</f>
        <v>20</v>
      </c>
      <c r="S1849" t="str">
        <f>IF(Table1[[#This Row],[Days on Market]] &lt; 30,"Fast",IF(Table1[[#This Row],[Days on Market]]&lt;= 90,"Average", "Slow"))</f>
        <v>Average</v>
      </c>
      <c r="T1849" t="str">
        <f>IF(Table1[[#This Row],[Price2]]&lt;500000,"Affordable",IF(Table1[[#This Row],[Price2]]&lt;1000000,"Mid range","Luxury"))</f>
        <v>Mid range</v>
      </c>
    </row>
    <row r="1850" spans="1:20" x14ac:dyDescent="0.35">
      <c r="A1850" s="3">
        <v>969176</v>
      </c>
      <c r="B1850" s="2" t="s">
        <v>12</v>
      </c>
      <c r="C1850">
        <v>38624</v>
      </c>
      <c r="D1850" s="2" t="s">
        <v>13</v>
      </c>
      <c r="E1850">
        <v>1</v>
      </c>
      <c r="F1850">
        <v>1</v>
      </c>
      <c r="G1850" s="4">
        <f>VALUE(SUBSTITUTE(SUBSTITUTE(Table1[[#This Row],[Price]],"$",""),",",""))</f>
        <v>969176</v>
      </c>
      <c r="H1850" s="1">
        <f>Table1[[#This Row],[Price2]]/Table1[[#This Row],[Area]]</f>
        <v>807.64666666666665</v>
      </c>
      <c r="I1850">
        <v>1200</v>
      </c>
      <c r="J1850">
        <v>1991</v>
      </c>
      <c r="K1850">
        <v>56</v>
      </c>
      <c r="L1850" t="s">
        <v>30</v>
      </c>
      <c r="M1850" t="s">
        <v>2653</v>
      </c>
      <c r="N1850" s="2" t="s">
        <v>3029</v>
      </c>
      <c r="O1850" t="s">
        <v>3030</v>
      </c>
      <c r="P1850" t="s">
        <v>21</v>
      </c>
      <c r="Q1850">
        <v>807.64666666666665</v>
      </c>
      <c r="R1850">
        <f ca="1">YEAR(TODAY())-Table1[[#This Row],[Year Built]]</f>
        <v>35</v>
      </c>
      <c r="S1850" t="str">
        <f>IF(Table1[[#This Row],[Days on Market]] &lt; 30,"Fast",IF(Table1[[#This Row],[Days on Market]]&lt;= 90,"Average", "Slow"))</f>
        <v>Average</v>
      </c>
      <c r="T1850" t="str">
        <f>IF(Table1[[#This Row],[Price2]]&lt;500000,"Affordable",IF(Table1[[#This Row],[Price2]]&lt;1000000,"Mid range","Luxury"))</f>
        <v>Mid range</v>
      </c>
    </row>
    <row r="1851" spans="1:20" x14ac:dyDescent="0.35">
      <c r="A1851" s="3">
        <v>969242</v>
      </c>
      <c r="B1851" s="2" t="s">
        <v>34</v>
      </c>
      <c r="C1851">
        <v>69345</v>
      </c>
      <c r="D1851" s="2" t="s">
        <v>18</v>
      </c>
      <c r="E1851">
        <v>6</v>
      </c>
      <c r="F1851">
        <v>4</v>
      </c>
      <c r="G1851" s="4">
        <f>VALUE(SUBSTITUTE(SUBSTITUTE(Table1[[#This Row],[Price]],"$",""),",",""))</f>
        <v>969242</v>
      </c>
      <c r="H1851" s="1">
        <f>Table1[[#This Row],[Price2]]/Table1[[#This Row],[Area]]</f>
        <v>445.42371323529414</v>
      </c>
      <c r="I1851">
        <v>2176</v>
      </c>
      <c r="J1851">
        <v>1970</v>
      </c>
      <c r="K1851">
        <v>32</v>
      </c>
      <c r="L1851" t="s">
        <v>14</v>
      </c>
      <c r="M1851" t="s">
        <v>2007</v>
      </c>
      <c r="N1851" s="2" t="s">
        <v>3035</v>
      </c>
      <c r="O1851" t="s">
        <v>3036</v>
      </c>
      <c r="P1851" t="s">
        <v>26</v>
      </c>
      <c r="Q1851">
        <v>445.42371323529414</v>
      </c>
      <c r="R1851">
        <f ca="1">YEAR(TODAY())-Table1[[#This Row],[Year Built]]</f>
        <v>56</v>
      </c>
      <c r="S1851" t="str">
        <f>IF(Table1[[#This Row],[Days on Market]] &lt; 30,"Fast",IF(Table1[[#This Row],[Days on Market]]&lt;= 90,"Average", "Slow"))</f>
        <v>Average</v>
      </c>
      <c r="T1851" t="str">
        <f>IF(Table1[[#This Row],[Price2]]&lt;500000,"Affordable",IF(Table1[[#This Row],[Price2]]&lt;1000000,"Mid range","Luxury"))</f>
        <v>Mid range</v>
      </c>
    </row>
    <row r="1852" spans="1:20" x14ac:dyDescent="0.35">
      <c r="A1852" s="3">
        <v>969325</v>
      </c>
      <c r="B1852" s="2" t="s">
        <v>17</v>
      </c>
      <c r="C1852">
        <v>21246</v>
      </c>
      <c r="D1852" s="2" t="s">
        <v>35</v>
      </c>
      <c r="E1852">
        <v>3</v>
      </c>
      <c r="F1852">
        <v>1</v>
      </c>
      <c r="G1852" s="4">
        <f>VALUE(SUBSTITUTE(SUBSTITUTE(Table1[[#This Row],[Price]],"$",""),",",""))</f>
        <v>969325</v>
      </c>
      <c r="H1852" s="1">
        <f>Table1[[#This Row],[Price2]]/Table1[[#This Row],[Area]]</f>
        <v>300.37960954446856</v>
      </c>
      <c r="I1852">
        <v>3227</v>
      </c>
      <c r="J1852">
        <v>1955</v>
      </c>
      <c r="K1852">
        <v>12</v>
      </c>
      <c r="L1852" t="s">
        <v>40</v>
      </c>
      <c r="M1852" t="s">
        <v>1806</v>
      </c>
      <c r="N1852" s="2" t="s">
        <v>3029</v>
      </c>
      <c r="O1852" t="s">
        <v>3030</v>
      </c>
      <c r="P1852" t="s">
        <v>26</v>
      </c>
      <c r="Q1852">
        <v>300.37960954446856</v>
      </c>
      <c r="R1852">
        <f ca="1">YEAR(TODAY())-Table1[[#This Row],[Year Built]]</f>
        <v>71</v>
      </c>
      <c r="S1852" t="str">
        <f>IF(Table1[[#This Row],[Days on Market]] &lt; 30,"Fast",IF(Table1[[#This Row],[Days on Market]]&lt;= 90,"Average", "Slow"))</f>
        <v>Fast</v>
      </c>
      <c r="T1852" t="str">
        <f>IF(Table1[[#This Row],[Price2]]&lt;500000,"Affordable",IF(Table1[[#This Row],[Price2]]&lt;1000000,"Mid range","Luxury"))</f>
        <v>Mid range</v>
      </c>
    </row>
    <row r="1853" spans="1:20" x14ac:dyDescent="0.35">
      <c r="A1853" s="3">
        <v>970091</v>
      </c>
      <c r="B1853" s="2" t="s">
        <v>12</v>
      </c>
      <c r="C1853">
        <v>78547</v>
      </c>
      <c r="D1853" s="2" t="s">
        <v>35</v>
      </c>
      <c r="E1853">
        <v>3</v>
      </c>
      <c r="F1853">
        <v>4</v>
      </c>
      <c r="G1853" s="4">
        <f>VALUE(SUBSTITUTE(SUBSTITUTE(Table1[[#This Row],[Price]],"$",""),",",""))</f>
        <v>970091</v>
      </c>
      <c r="H1853" s="1">
        <f>Table1[[#This Row],[Price2]]/Table1[[#This Row],[Area]]</f>
        <v>870.03677130044844</v>
      </c>
      <c r="I1853">
        <v>1115</v>
      </c>
      <c r="J1853">
        <v>1972</v>
      </c>
      <c r="K1853">
        <v>67</v>
      </c>
      <c r="L1853" t="s">
        <v>40</v>
      </c>
      <c r="M1853" t="s">
        <v>2846</v>
      </c>
      <c r="N1853" s="2" t="s">
        <v>3031</v>
      </c>
      <c r="O1853" t="s">
        <v>3032</v>
      </c>
      <c r="P1853" t="s">
        <v>16</v>
      </c>
      <c r="Q1853">
        <v>870.03677130044844</v>
      </c>
      <c r="R1853">
        <f ca="1">YEAR(TODAY())-Table1[[#This Row],[Year Built]]</f>
        <v>54</v>
      </c>
      <c r="S1853" t="str">
        <f>IF(Table1[[#This Row],[Days on Market]] &lt; 30,"Fast",IF(Table1[[#This Row],[Days on Market]]&lt;= 90,"Average", "Slow"))</f>
        <v>Average</v>
      </c>
      <c r="T1853" t="str">
        <f>IF(Table1[[#This Row],[Price2]]&lt;500000,"Affordable",IF(Table1[[#This Row],[Price2]]&lt;1000000,"Mid range","Luxury"))</f>
        <v>Mid range</v>
      </c>
    </row>
    <row r="1854" spans="1:20" x14ac:dyDescent="0.35">
      <c r="A1854" s="3">
        <v>970820</v>
      </c>
      <c r="B1854" s="2" t="s">
        <v>22</v>
      </c>
      <c r="C1854">
        <v>97567</v>
      </c>
      <c r="D1854" s="2" t="s">
        <v>13</v>
      </c>
      <c r="E1854">
        <v>5</v>
      </c>
      <c r="F1854">
        <v>3</v>
      </c>
      <c r="G1854" s="4">
        <f>VALUE(SUBSTITUTE(SUBSTITUTE(Table1[[#This Row],[Price]],"$",""),",",""))</f>
        <v>970820</v>
      </c>
      <c r="H1854" s="1">
        <f>Table1[[#This Row],[Price2]]/Table1[[#This Row],[Area]]</f>
        <v>644.63479415670656</v>
      </c>
      <c r="I1854">
        <v>1506</v>
      </c>
      <c r="J1854">
        <v>2004</v>
      </c>
      <c r="K1854">
        <v>117</v>
      </c>
      <c r="L1854" t="s">
        <v>14</v>
      </c>
      <c r="M1854" t="s">
        <v>147</v>
      </c>
      <c r="N1854" s="2" t="s">
        <v>3027</v>
      </c>
      <c r="O1854" t="s">
        <v>3028</v>
      </c>
      <c r="P1854" t="s">
        <v>21</v>
      </c>
      <c r="Q1854">
        <v>644.63479415670656</v>
      </c>
      <c r="R1854">
        <f ca="1">YEAR(TODAY())-Table1[[#This Row],[Year Built]]</f>
        <v>22</v>
      </c>
      <c r="S1854" t="str">
        <f>IF(Table1[[#This Row],[Days on Market]] &lt; 30,"Fast",IF(Table1[[#This Row],[Days on Market]]&lt;= 90,"Average", "Slow"))</f>
        <v>Slow</v>
      </c>
      <c r="T1854" t="str">
        <f>IF(Table1[[#This Row],[Price2]]&lt;500000,"Affordable",IF(Table1[[#This Row],[Price2]]&lt;1000000,"Mid range","Luxury"))</f>
        <v>Mid range</v>
      </c>
    </row>
    <row r="1855" spans="1:20" x14ac:dyDescent="0.35">
      <c r="A1855" s="3">
        <v>970897</v>
      </c>
      <c r="B1855" s="2" t="s">
        <v>22</v>
      </c>
      <c r="C1855">
        <v>64105</v>
      </c>
      <c r="D1855" s="2" t="s">
        <v>29</v>
      </c>
      <c r="E1855">
        <v>3</v>
      </c>
      <c r="F1855">
        <v>2</v>
      </c>
      <c r="G1855" s="4">
        <f>VALUE(SUBSTITUTE(SUBSTITUTE(Table1[[#This Row],[Price]],"$",""),",",""))</f>
        <v>970897</v>
      </c>
      <c r="H1855" s="1">
        <f>Table1[[#This Row],[Price2]]/Table1[[#This Row],[Area]]</f>
        <v>563.49216482878705</v>
      </c>
      <c r="I1855">
        <v>1723</v>
      </c>
      <c r="J1855">
        <v>1956</v>
      </c>
      <c r="K1855">
        <v>98</v>
      </c>
      <c r="L1855" t="s">
        <v>52</v>
      </c>
      <c r="M1855" t="s">
        <v>1620</v>
      </c>
      <c r="N1855" s="2" t="s">
        <v>3029</v>
      </c>
      <c r="O1855" t="s">
        <v>3030</v>
      </c>
      <c r="P1855" t="s">
        <v>16</v>
      </c>
      <c r="Q1855">
        <v>563.49216482878705</v>
      </c>
      <c r="R1855">
        <f ca="1">YEAR(TODAY())-Table1[[#This Row],[Year Built]]</f>
        <v>70</v>
      </c>
      <c r="S1855" t="str">
        <f>IF(Table1[[#This Row],[Days on Market]] &lt; 30,"Fast",IF(Table1[[#This Row],[Days on Market]]&lt;= 90,"Average", "Slow"))</f>
        <v>Slow</v>
      </c>
      <c r="T1855" t="str">
        <f>IF(Table1[[#This Row],[Price2]]&lt;500000,"Affordable",IF(Table1[[#This Row],[Price2]]&lt;1000000,"Mid range","Luxury"))</f>
        <v>Mid range</v>
      </c>
    </row>
    <row r="1856" spans="1:20" x14ac:dyDescent="0.35">
      <c r="A1856" s="3">
        <v>971258</v>
      </c>
      <c r="B1856" s="2" t="s">
        <v>17</v>
      </c>
      <c r="C1856">
        <v>34761</v>
      </c>
      <c r="D1856" s="2" t="s">
        <v>23</v>
      </c>
      <c r="E1856">
        <v>4</v>
      </c>
      <c r="F1856">
        <v>3</v>
      </c>
      <c r="G1856" s="4">
        <f>VALUE(SUBSTITUTE(SUBSTITUTE(Table1[[#This Row],[Price]],"$",""),",",""))</f>
        <v>971258</v>
      </c>
      <c r="H1856" s="1">
        <f>Table1[[#This Row],[Price2]]/Table1[[#This Row],[Area]]</f>
        <v>933.00480307396731</v>
      </c>
      <c r="I1856">
        <v>1041</v>
      </c>
      <c r="J1856">
        <v>2009</v>
      </c>
      <c r="K1856">
        <v>29</v>
      </c>
      <c r="L1856" t="s">
        <v>40</v>
      </c>
      <c r="M1856" t="s">
        <v>1002</v>
      </c>
      <c r="N1856" s="2" t="s">
        <v>3033</v>
      </c>
      <c r="O1856" t="s">
        <v>3034</v>
      </c>
      <c r="P1856" t="s">
        <v>16</v>
      </c>
      <c r="Q1856">
        <v>933.00480307396731</v>
      </c>
      <c r="R1856">
        <f ca="1">YEAR(TODAY())-Table1[[#This Row],[Year Built]]</f>
        <v>17</v>
      </c>
      <c r="S1856" t="str">
        <f>IF(Table1[[#This Row],[Days on Market]] &lt; 30,"Fast",IF(Table1[[#This Row],[Days on Market]]&lt;= 90,"Average", "Slow"))</f>
        <v>Fast</v>
      </c>
      <c r="T1856" t="str">
        <f>IF(Table1[[#This Row],[Price2]]&lt;500000,"Affordable",IF(Table1[[#This Row],[Price2]]&lt;1000000,"Mid range","Luxury"))</f>
        <v>Mid range</v>
      </c>
    </row>
    <row r="1857" spans="1:20" x14ac:dyDescent="0.35">
      <c r="A1857" s="3">
        <v>971671</v>
      </c>
      <c r="B1857" s="2" t="s">
        <v>22</v>
      </c>
      <c r="C1857">
        <v>97192</v>
      </c>
      <c r="D1857" s="2" t="s">
        <v>29</v>
      </c>
      <c r="E1857">
        <v>2</v>
      </c>
      <c r="F1857">
        <v>2</v>
      </c>
      <c r="G1857" s="4">
        <f>VALUE(SUBSTITUTE(SUBSTITUTE(Table1[[#This Row],[Price]],"$",""),",",""))</f>
        <v>971671</v>
      </c>
      <c r="H1857" s="1">
        <f>Table1[[#This Row],[Price2]]/Table1[[#This Row],[Area]]</f>
        <v>355.40270665691293</v>
      </c>
      <c r="I1857">
        <v>2734</v>
      </c>
      <c r="J1857">
        <v>1990</v>
      </c>
      <c r="K1857">
        <v>108</v>
      </c>
      <c r="L1857" t="s">
        <v>19</v>
      </c>
      <c r="M1857" t="s">
        <v>2530</v>
      </c>
      <c r="N1857" s="2" t="s">
        <v>3035</v>
      </c>
      <c r="O1857" t="s">
        <v>3036</v>
      </c>
      <c r="P1857" t="s">
        <v>26</v>
      </c>
      <c r="Q1857">
        <v>355.40270665691293</v>
      </c>
      <c r="R1857">
        <f ca="1">YEAR(TODAY())-Table1[[#This Row],[Year Built]]</f>
        <v>36</v>
      </c>
      <c r="S1857" t="str">
        <f>IF(Table1[[#This Row],[Days on Market]] &lt; 30,"Fast",IF(Table1[[#This Row],[Days on Market]]&lt;= 90,"Average", "Slow"))</f>
        <v>Slow</v>
      </c>
      <c r="T1857" t="str">
        <f>IF(Table1[[#This Row],[Price2]]&lt;500000,"Affordable",IF(Table1[[#This Row],[Price2]]&lt;1000000,"Mid range","Luxury"))</f>
        <v>Mid range</v>
      </c>
    </row>
    <row r="1858" spans="1:20" x14ac:dyDescent="0.35">
      <c r="A1858" s="3">
        <v>971991</v>
      </c>
      <c r="B1858" s="2" t="s">
        <v>17</v>
      </c>
      <c r="C1858">
        <v>48748</v>
      </c>
      <c r="D1858" s="2" t="s">
        <v>23</v>
      </c>
      <c r="E1858">
        <v>4</v>
      </c>
      <c r="F1858">
        <v>3</v>
      </c>
      <c r="G1858" s="4">
        <f>VALUE(SUBSTITUTE(SUBSTITUTE(Table1[[#This Row],[Price]],"$",""),",",""))</f>
        <v>971991</v>
      </c>
      <c r="H1858" s="1">
        <f>Table1[[#This Row],[Price2]]/Table1[[#This Row],[Area]]</f>
        <v>388.48561151079139</v>
      </c>
      <c r="I1858">
        <v>2502</v>
      </c>
      <c r="J1858">
        <v>1998</v>
      </c>
      <c r="K1858">
        <v>10</v>
      </c>
      <c r="L1858" t="s">
        <v>52</v>
      </c>
      <c r="M1858" t="s">
        <v>2471</v>
      </c>
      <c r="N1858" s="2" t="s">
        <v>3033</v>
      </c>
      <c r="O1858" t="s">
        <v>3034</v>
      </c>
      <c r="P1858" t="s">
        <v>21</v>
      </c>
      <c r="Q1858">
        <v>388.48561151079139</v>
      </c>
      <c r="R1858">
        <f ca="1">YEAR(TODAY())-Table1[[#This Row],[Year Built]]</f>
        <v>28</v>
      </c>
      <c r="S1858" t="str">
        <f>IF(Table1[[#This Row],[Days on Market]] &lt; 30,"Fast",IF(Table1[[#This Row],[Days on Market]]&lt;= 90,"Average", "Slow"))</f>
        <v>Fast</v>
      </c>
      <c r="T1858" t="str">
        <f>IF(Table1[[#This Row],[Price2]]&lt;500000,"Affordable",IF(Table1[[#This Row],[Price2]]&lt;1000000,"Mid range","Luxury"))</f>
        <v>Mid range</v>
      </c>
    </row>
    <row r="1859" spans="1:20" x14ac:dyDescent="0.35">
      <c r="A1859" s="3">
        <v>972358</v>
      </c>
      <c r="B1859" s="2" t="s">
        <v>22</v>
      </c>
      <c r="C1859">
        <v>73820</v>
      </c>
      <c r="D1859" s="2" t="s">
        <v>29</v>
      </c>
      <c r="E1859">
        <v>2</v>
      </c>
      <c r="F1859">
        <v>3</v>
      </c>
      <c r="G1859" s="4">
        <f>VALUE(SUBSTITUTE(SUBSTITUTE(Table1[[#This Row],[Price]],"$",""),",",""))</f>
        <v>972358</v>
      </c>
      <c r="H1859" s="1">
        <f>Table1[[#This Row],[Price2]]/Table1[[#This Row],[Area]]</f>
        <v>791.82247557003257</v>
      </c>
      <c r="I1859">
        <v>1228</v>
      </c>
      <c r="J1859">
        <v>2012</v>
      </c>
      <c r="K1859">
        <v>54</v>
      </c>
      <c r="L1859" t="s">
        <v>14</v>
      </c>
      <c r="M1859" t="s">
        <v>2936</v>
      </c>
      <c r="N1859" s="2" t="s">
        <v>3031</v>
      </c>
      <c r="O1859" t="s">
        <v>3032</v>
      </c>
      <c r="P1859" t="s">
        <v>26</v>
      </c>
      <c r="Q1859">
        <v>791.82247557003257</v>
      </c>
      <c r="R1859">
        <f ca="1">YEAR(TODAY())-Table1[[#This Row],[Year Built]]</f>
        <v>14</v>
      </c>
      <c r="S1859" t="str">
        <f>IF(Table1[[#This Row],[Days on Market]] &lt; 30,"Fast",IF(Table1[[#This Row],[Days on Market]]&lt;= 90,"Average", "Slow"))</f>
        <v>Average</v>
      </c>
      <c r="T1859" t="str">
        <f>IF(Table1[[#This Row],[Price2]]&lt;500000,"Affordable",IF(Table1[[#This Row],[Price2]]&lt;1000000,"Mid range","Luxury"))</f>
        <v>Mid range</v>
      </c>
    </row>
    <row r="1860" spans="1:20" x14ac:dyDescent="0.35">
      <c r="A1860" s="3">
        <v>972477</v>
      </c>
      <c r="B1860" s="2" t="s">
        <v>22</v>
      </c>
      <c r="C1860">
        <v>36100</v>
      </c>
      <c r="D1860" s="2" t="s">
        <v>29</v>
      </c>
      <c r="E1860">
        <v>3</v>
      </c>
      <c r="F1860">
        <v>4</v>
      </c>
      <c r="G1860" s="4">
        <f>VALUE(SUBSTITUTE(SUBSTITUTE(Table1[[#This Row],[Price]],"$",""),",",""))</f>
        <v>972477</v>
      </c>
      <c r="H1860" s="1">
        <f>Table1[[#This Row],[Price2]]/Table1[[#This Row],[Area]]</f>
        <v>265.34160982264666</v>
      </c>
      <c r="I1860">
        <v>3665</v>
      </c>
      <c r="J1860">
        <v>2001</v>
      </c>
      <c r="K1860">
        <v>12</v>
      </c>
      <c r="L1860" t="s">
        <v>52</v>
      </c>
      <c r="M1860" t="s">
        <v>1348</v>
      </c>
      <c r="N1860" s="2" t="s">
        <v>3029</v>
      </c>
      <c r="O1860" t="s">
        <v>3030</v>
      </c>
      <c r="P1860" t="s">
        <v>26</v>
      </c>
      <c r="Q1860">
        <v>265.34160982264666</v>
      </c>
      <c r="R1860">
        <f ca="1">YEAR(TODAY())-Table1[[#This Row],[Year Built]]</f>
        <v>25</v>
      </c>
      <c r="S1860" t="str">
        <f>IF(Table1[[#This Row],[Days on Market]] &lt; 30,"Fast",IF(Table1[[#This Row],[Days on Market]]&lt;= 90,"Average", "Slow"))</f>
        <v>Fast</v>
      </c>
      <c r="T1860" t="str">
        <f>IF(Table1[[#This Row],[Price2]]&lt;500000,"Affordable",IF(Table1[[#This Row],[Price2]]&lt;1000000,"Mid range","Luxury"))</f>
        <v>Mid range</v>
      </c>
    </row>
    <row r="1861" spans="1:20" x14ac:dyDescent="0.35">
      <c r="A1861" s="3">
        <v>973256</v>
      </c>
      <c r="B1861" s="2" t="s">
        <v>17</v>
      </c>
      <c r="C1861">
        <v>42380</v>
      </c>
      <c r="D1861" s="2" t="s">
        <v>35</v>
      </c>
      <c r="E1861">
        <v>1</v>
      </c>
      <c r="F1861">
        <v>4</v>
      </c>
      <c r="G1861" s="4">
        <f>VALUE(SUBSTITUTE(SUBSTITUTE(Table1[[#This Row],[Price]],"$",""),",",""))</f>
        <v>973256</v>
      </c>
      <c r="H1861" s="1">
        <f>Table1[[#This Row],[Price2]]/Table1[[#This Row],[Area]]</f>
        <v>698.67623833452978</v>
      </c>
      <c r="I1861">
        <v>1393</v>
      </c>
      <c r="J1861">
        <v>1982</v>
      </c>
      <c r="K1861">
        <v>89</v>
      </c>
      <c r="L1861" t="s">
        <v>40</v>
      </c>
      <c r="M1861" t="s">
        <v>365</v>
      </c>
      <c r="N1861" s="2" t="s">
        <v>3031</v>
      </c>
      <c r="O1861" t="s">
        <v>3032</v>
      </c>
      <c r="P1861" t="s">
        <v>16</v>
      </c>
      <c r="Q1861">
        <v>698.67623833452978</v>
      </c>
      <c r="R1861">
        <f ca="1">YEAR(TODAY())-Table1[[#This Row],[Year Built]]</f>
        <v>44</v>
      </c>
      <c r="S1861" t="str">
        <f>IF(Table1[[#This Row],[Days on Market]] &lt; 30,"Fast",IF(Table1[[#This Row],[Days on Market]]&lt;= 90,"Average", "Slow"))</f>
        <v>Average</v>
      </c>
      <c r="T1861" t="str">
        <f>IF(Table1[[#This Row],[Price2]]&lt;500000,"Affordable",IF(Table1[[#This Row],[Price2]]&lt;1000000,"Mid range","Luxury"))</f>
        <v>Mid range</v>
      </c>
    </row>
    <row r="1862" spans="1:20" x14ac:dyDescent="0.35">
      <c r="A1862" s="3">
        <v>974309</v>
      </c>
      <c r="B1862" s="2" t="s">
        <v>12</v>
      </c>
      <c r="C1862">
        <v>79001</v>
      </c>
      <c r="D1862" s="2" t="s">
        <v>13</v>
      </c>
      <c r="E1862">
        <v>5</v>
      </c>
      <c r="F1862">
        <v>3</v>
      </c>
      <c r="G1862" s="4">
        <f>VALUE(SUBSTITUTE(SUBSTITUTE(Table1[[#This Row],[Price]],"$",""),",",""))</f>
        <v>974309</v>
      </c>
      <c r="H1862" s="1">
        <f>Table1[[#This Row],[Price2]]/Table1[[#This Row],[Area]]</f>
        <v>343.67160493827163</v>
      </c>
      <c r="I1862">
        <v>2835</v>
      </c>
      <c r="J1862">
        <v>1980</v>
      </c>
      <c r="K1862">
        <v>113</v>
      </c>
      <c r="L1862" t="s">
        <v>40</v>
      </c>
      <c r="M1862" t="s">
        <v>2869</v>
      </c>
      <c r="N1862" s="2" t="s">
        <v>3033</v>
      </c>
      <c r="O1862" t="s">
        <v>3034</v>
      </c>
      <c r="P1862" t="s">
        <v>21</v>
      </c>
      <c r="Q1862">
        <v>343.67160493827163</v>
      </c>
      <c r="R1862">
        <f ca="1">YEAR(TODAY())-Table1[[#This Row],[Year Built]]</f>
        <v>46</v>
      </c>
      <c r="S1862" t="str">
        <f>IF(Table1[[#This Row],[Days on Market]] &lt; 30,"Fast",IF(Table1[[#This Row],[Days on Market]]&lt;= 90,"Average", "Slow"))</f>
        <v>Slow</v>
      </c>
      <c r="T1862" t="str">
        <f>IF(Table1[[#This Row],[Price2]]&lt;500000,"Affordable",IF(Table1[[#This Row],[Price2]]&lt;1000000,"Mid range","Luxury"))</f>
        <v>Mid range</v>
      </c>
    </row>
    <row r="1863" spans="1:20" x14ac:dyDescent="0.35">
      <c r="A1863" s="3">
        <v>974380</v>
      </c>
      <c r="B1863" s="2" t="s">
        <v>22</v>
      </c>
      <c r="C1863">
        <v>27970</v>
      </c>
      <c r="D1863" s="2" t="s">
        <v>18</v>
      </c>
      <c r="E1863">
        <v>3</v>
      </c>
      <c r="F1863">
        <v>3</v>
      </c>
      <c r="G1863" s="4">
        <f>VALUE(SUBSTITUTE(SUBSTITUTE(Table1[[#This Row],[Price]],"$",""),",",""))</f>
        <v>974380</v>
      </c>
      <c r="H1863" s="1">
        <f>Table1[[#This Row],[Price2]]/Table1[[#This Row],[Area]]</f>
        <v>421.62700129813936</v>
      </c>
      <c r="I1863">
        <v>2311</v>
      </c>
      <c r="J1863">
        <v>2002</v>
      </c>
      <c r="K1863">
        <v>43</v>
      </c>
      <c r="L1863" t="s">
        <v>19</v>
      </c>
      <c r="M1863" t="s">
        <v>393</v>
      </c>
      <c r="N1863" s="2" t="s">
        <v>3027</v>
      </c>
      <c r="O1863" t="s">
        <v>3028</v>
      </c>
      <c r="P1863" t="s">
        <v>21</v>
      </c>
      <c r="Q1863">
        <v>421.62700129813936</v>
      </c>
      <c r="R1863">
        <f ca="1">YEAR(TODAY())-Table1[[#This Row],[Year Built]]</f>
        <v>24</v>
      </c>
      <c r="S1863" t="str">
        <f>IF(Table1[[#This Row],[Days on Market]] &lt; 30,"Fast",IF(Table1[[#This Row],[Days on Market]]&lt;= 90,"Average", "Slow"))</f>
        <v>Average</v>
      </c>
      <c r="T1863" t="str">
        <f>IF(Table1[[#This Row],[Price2]]&lt;500000,"Affordable",IF(Table1[[#This Row],[Price2]]&lt;1000000,"Mid range","Luxury"))</f>
        <v>Mid range</v>
      </c>
    </row>
    <row r="1864" spans="1:20" x14ac:dyDescent="0.35">
      <c r="A1864" s="3">
        <v>975227</v>
      </c>
      <c r="B1864" s="2" t="s">
        <v>27</v>
      </c>
      <c r="C1864">
        <v>80412</v>
      </c>
      <c r="D1864" s="2" t="s">
        <v>35</v>
      </c>
      <c r="E1864">
        <v>4</v>
      </c>
      <c r="F1864">
        <v>4</v>
      </c>
      <c r="G1864" s="4">
        <f>VALUE(SUBSTITUTE(SUBSTITUTE(Table1[[#This Row],[Price]],"$",""),",",""))</f>
        <v>975227</v>
      </c>
      <c r="H1864" s="1">
        <f>Table1[[#This Row],[Price2]]/Table1[[#This Row],[Area]]</f>
        <v>295.43380793698879</v>
      </c>
      <c r="I1864">
        <v>3301</v>
      </c>
      <c r="J1864">
        <v>1985</v>
      </c>
      <c r="K1864">
        <v>42</v>
      </c>
      <c r="L1864" t="s">
        <v>19</v>
      </c>
      <c r="M1864" t="s">
        <v>538</v>
      </c>
      <c r="N1864" s="2" t="s">
        <v>3029</v>
      </c>
      <c r="O1864" t="s">
        <v>3030</v>
      </c>
      <c r="P1864" t="s">
        <v>21</v>
      </c>
      <c r="Q1864">
        <v>295.43380793698879</v>
      </c>
      <c r="R1864">
        <f ca="1">YEAR(TODAY())-Table1[[#This Row],[Year Built]]</f>
        <v>41</v>
      </c>
      <c r="S1864" t="str">
        <f>IF(Table1[[#This Row],[Days on Market]] &lt; 30,"Fast",IF(Table1[[#This Row],[Days on Market]]&lt;= 90,"Average", "Slow"))</f>
        <v>Average</v>
      </c>
      <c r="T1864" t="str">
        <f>IF(Table1[[#This Row],[Price2]]&lt;500000,"Affordable",IF(Table1[[#This Row],[Price2]]&lt;1000000,"Mid range","Luxury"))</f>
        <v>Mid range</v>
      </c>
    </row>
    <row r="1865" spans="1:20" x14ac:dyDescent="0.35">
      <c r="A1865" s="3">
        <v>975397</v>
      </c>
      <c r="B1865" s="2" t="s">
        <v>34</v>
      </c>
      <c r="C1865">
        <v>33337</v>
      </c>
      <c r="D1865" s="2" t="s">
        <v>18</v>
      </c>
      <c r="E1865">
        <v>4</v>
      </c>
      <c r="F1865">
        <v>2</v>
      </c>
      <c r="G1865" s="4">
        <f>VALUE(SUBSTITUTE(SUBSTITUTE(Table1[[#This Row],[Price]],"$",""),",",""))</f>
        <v>975397</v>
      </c>
      <c r="H1865" s="1">
        <f>Table1[[#This Row],[Price2]]/Table1[[#This Row],[Area]]</f>
        <v>290.3831497469485</v>
      </c>
      <c r="I1865">
        <v>3359</v>
      </c>
      <c r="J1865">
        <v>2003</v>
      </c>
      <c r="K1865">
        <v>81</v>
      </c>
      <c r="L1865" t="s">
        <v>40</v>
      </c>
      <c r="M1865" t="s">
        <v>1457</v>
      </c>
      <c r="N1865" s="2" t="s">
        <v>3033</v>
      </c>
      <c r="O1865" t="s">
        <v>3034</v>
      </c>
      <c r="P1865" t="s">
        <v>26</v>
      </c>
      <c r="Q1865">
        <v>290.3831497469485</v>
      </c>
      <c r="R1865">
        <f ca="1">YEAR(TODAY())-Table1[[#This Row],[Year Built]]</f>
        <v>23</v>
      </c>
      <c r="S1865" t="str">
        <f>IF(Table1[[#This Row],[Days on Market]] &lt; 30,"Fast",IF(Table1[[#This Row],[Days on Market]]&lt;= 90,"Average", "Slow"))</f>
        <v>Average</v>
      </c>
      <c r="T1865" t="str">
        <f>IF(Table1[[#This Row],[Price2]]&lt;500000,"Affordable",IF(Table1[[#This Row],[Price2]]&lt;1000000,"Mid range","Luxury"))</f>
        <v>Mid range</v>
      </c>
    </row>
    <row r="1866" spans="1:20" x14ac:dyDescent="0.35">
      <c r="A1866" s="3">
        <v>975466</v>
      </c>
      <c r="B1866" s="2" t="s">
        <v>12</v>
      </c>
      <c r="C1866">
        <v>33841</v>
      </c>
      <c r="D1866" s="2" t="s">
        <v>23</v>
      </c>
      <c r="E1866">
        <v>4</v>
      </c>
      <c r="F1866">
        <v>1</v>
      </c>
      <c r="G1866" s="4">
        <f>VALUE(SUBSTITUTE(SUBSTITUTE(Table1[[#This Row],[Price]],"$",""),",",""))</f>
        <v>975466</v>
      </c>
      <c r="H1866" s="1">
        <f>Table1[[#This Row],[Price2]]/Table1[[#This Row],[Area]]</f>
        <v>326.13373453694419</v>
      </c>
      <c r="I1866">
        <v>2991</v>
      </c>
      <c r="J1866">
        <v>1965</v>
      </c>
      <c r="K1866">
        <v>74</v>
      </c>
      <c r="L1866" t="s">
        <v>14</v>
      </c>
      <c r="M1866" t="s">
        <v>801</v>
      </c>
      <c r="N1866" s="2" t="s">
        <v>3027</v>
      </c>
      <c r="O1866" t="s">
        <v>3028</v>
      </c>
      <c r="P1866" t="s">
        <v>21</v>
      </c>
      <c r="Q1866">
        <v>326.13373453694419</v>
      </c>
      <c r="R1866">
        <f ca="1">YEAR(TODAY())-Table1[[#This Row],[Year Built]]</f>
        <v>61</v>
      </c>
      <c r="S1866" t="str">
        <f>IF(Table1[[#This Row],[Days on Market]] &lt; 30,"Fast",IF(Table1[[#This Row],[Days on Market]]&lt;= 90,"Average", "Slow"))</f>
        <v>Average</v>
      </c>
      <c r="T1866" t="str">
        <f>IF(Table1[[#This Row],[Price2]]&lt;500000,"Affordable",IF(Table1[[#This Row],[Price2]]&lt;1000000,"Mid range","Luxury"))</f>
        <v>Mid range</v>
      </c>
    </row>
    <row r="1867" spans="1:20" x14ac:dyDescent="0.35">
      <c r="A1867" s="3">
        <v>975639</v>
      </c>
      <c r="B1867" s="2" t="s">
        <v>34</v>
      </c>
      <c r="C1867">
        <v>62236</v>
      </c>
      <c r="D1867" s="2" t="s">
        <v>35</v>
      </c>
      <c r="E1867">
        <v>1</v>
      </c>
      <c r="F1867">
        <v>3</v>
      </c>
      <c r="G1867" s="4">
        <f>VALUE(SUBSTITUTE(SUBSTITUTE(Table1[[#This Row],[Price]],"$",""),",",""))</f>
        <v>975639</v>
      </c>
      <c r="H1867" s="1">
        <f>Table1[[#This Row],[Price2]]/Table1[[#This Row],[Area]]</f>
        <v>753.97140649149924</v>
      </c>
      <c r="I1867">
        <v>1294</v>
      </c>
      <c r="J1867">
        <v>2003</v>
      </c>
      <c r="K1867">
        <v>12</v>
      </c>
      <c r="L1867" t="s">
        <v>14</v>
      </c>
      <c r="M1867" t="s">
        <v>1503</v>
      </c>
      <c r="N1867" s="2" t="s">
        <v>3029</v>
      </c>
      <c r="O1867" t="s">
        <v>3030</v>
      </c>
      <c r="P1867" t="s">
        <v>21</v>
      </c>
      <c r="Q1867">
        <v>753.97140649149924</v>
      </c>
      <c r="R1867">
        <f ca="1">YEAR(TODAY())-Table1[[#This Row],[Year Built]]</f>
        <v>23</v>
      </c>
      <c r="S1867" t="str">
        <f>IF(Table1[[#This Row],[Days on Market]] &lt; 30,"Fast",IF(Table1[[#This Row],[Days on Market]]&lt;= 90,"Average", "Slow"))</f>
        <v>Fast</v>
      </c>
      <c r="T1867" t="str">
        <f>IF(Table1[[#This Row],[Price2]]&lt;500000,"Affordable",IF(Table1[[#This Row],[Price2]]&lt;1000000,"Mid range","Luxury"))</f>
        <v>Mid range</v>
      </c>
    </row>
    <row r="1868" spans="1:20" x14ac:dyDescent="0.35">
      <c r="A1868" s="3">
        <v>976078</v>
      </c>
      <c r="B1868" s="2" t="s">
        <v>17</v>
      </c>
      <c r="C1868">
        <v>47098</v>
      </c>
      <c r="D1868" s="2" t="s">
        <v>18</v>
      </c>
      <c r="E1868">
        <v>2</v>
      </c>
      <c r="F1868">
        <v>3</v>
      </c>
      <c r="G1868" s="4">
        <f>VALUE(SUBSTITUTE(SUBSTITUTE(Table1[[#This Row],[Price]],"$",""),",",""))</f>
        <v>976078</v>
      </c>
      <c r="H1868" s="1">
        <f>Table1[[#This Row],[Price2]]/Table1[[#This Row],[Area]]</f>
        <v>1613.3520661157024</v>
      </c>
      <c r="I1868">
        <v>605</v>
      </c>
      <c r="J1868">
        <v>1950</v>
      </c>
      <c r="K1868">
        <v>49</v>
      </c>
      <c r="L1868" t="s">
        <v>19</v>
      </c>
      <c r="M1868" t="s">
        <v>699</v>
      </c>
      <c r="N1868" s="2" t="s">
        <v>3035</v>
      </c>
      <c r="O1868" t="s">
        <v>3036</v>
      </c>
      <c r="P1868" t="s">
        <v>16</v>
      </c>
      <c r="Q1868">
        <v>1613.3520661157024</v>
      </c>
      <c r="R1868">
        <f ca="1">YEAR(TODAY())-Table1[[#This Row],[Year Built]]</f>
        <v>76</v>
      </c>
      <c r="S1868" t="str">
        <f>IF(Table1[[#This Row],[Days on Market]] &lt; 30,"Fast",IF(Table1[[#This Row],[Days on Market]]&lt;= 90,"Average", "Slow"))</f>
        <v>Average</v>
      </c>
      <c r="T1868" t="str">
        <f>IF(Table1[[#This Row],[Price2]]&lt;500000,"Affordable",IF(Table1[[#This Row],[Price2]]&lt;1000000,"Mid range","Luxury"))</f>
        <v>Mid range</v>
      </c>
    </row>
    <row r="1869" spans="1:20" x14ac:dyDescent="0.35">
      <c r="A1869" s="3">
        <v>976667</v>
      </c>
      <c r="B1869" s="2" t="s">
        <v>17</v>
      </c>
      <c r="C1869">
        <v>13967</v>
      </c>
      <c r="D1869" s="2" t="s">
        <v>23</v>
      </c>
      <c r="E1869">
        <v>2</v>
      </c>
      <c r="F1869">
        <v>3</v>
      </c>
      <c r="G1869" s="4">
        <f>VALUE(SUBSTITUTE(SUBSTITUTE(Table1[[#This Row],[Price]],"$",""),",",""))</f>
        <v>976667</v>
      </c>
      <c r="H1869" s="1">
        <f>Table1[[#This Row],[Price2]]/Table1[[#This Row],[Area]]</f>
        <v>449.66252302025782</v>
      </c>
      <c r="I1869">
        <v>2172</v>
      </c>
      <c r="J1869">
        <v>1966</v>
      </c>
      <c r="K1869">
        <v>104</v>
      </c>
      <c r="L1869" t="s">
        <v>14</v>
      </c>
      <c r="M1869" t="s">
        <v>1536</v>
      </c>
      <c r="N1869" s="2" t="s">
        <v>3031</v>
      </c>
      <c r="O1869" t="s">
        <v>3032</v>
      </c>
      <c r="P1869" t="s">
        <v>16</v>
      </c>
      <c r="Q1869">
        <v>449.66252302025782</v>
      </c>
      <c r="R1869">
        <f ca="1">YEAR(TODAY())-Table1[[#This Row],[Year Built]]</f>
        <v>60</v>
      </c>
      <c r="S1869" t="str">
        <f>IF(Table1[[#This Row],[Days on Market]] &lt; 30,"Fast",IF(Table1[[#This Row],[Days on Market]]&lt;= 90,"Average", "Slow"))</f>
        <v>Slow</v>
      </c>
      <c r="T1869" t="str">
        <f>IF(Table1[[#This Row],[Price2]]&lt;500000,"Affordable",IF(Table1[[#This Row],[Price2]]&lt;1000000,"Mid range","Luxury"))</f>
        <v>Mid range</v>
      </c>
    </row>
    <row r="1870" spans="1:20" x14ac:dyDescent="0.35">
      <c r="A1870" s="3">
        <v>976821</v>
      </c>
      <c r="B1870" s="2" t="s">
        <v>12</v>
      </c>
      <c r="C1870">
        <v>75163</v>
      </c>
      <c r="D1870" s="2" t="s">
        <v>35</v>
      </c>
      <c r="E1870">
        <v>4</v>
      </c>
      <c r="F1870">
        <v>2</v>
      </c>
      <c r="G1870" s="4">
        <f>VALUE(SUBSTITUTE(SUBSTITUTE(Table1[[#This Row],[Price]],"$",""),",",""))</f>
        <v>976821</v>
      </c>
      <c r="H1870" s="1">
        <f>Table1[[#This Row],[Price2]]/Table1[[#This Row],[Area]]</f>
        <v>911.21361940298505</v>
      </c>
      <c r="I1870">
        <v>1072</v>
      </c>
      <c r="J1870">
        <v>1965</v>
      </c>
      <c r="K1870">
        <v>92</v>
      </c>
      <c r="L1870" t="s">
        <v>52</v>
      </c>
      <c r="M1870" t="s">
        <v>597</v>
      </c>
      <c r="N1870" s="2" t="s">
        <v>3029</v>
      </c>
      <c r="O1870" t="s">
        <v>3030</v>
      </c>
      <c r="P1870" t="s">
        <v>26</v>
      </c>
      <c r="Q1870">
        <v>911.21361940298505</v>
      </c>
      <c r="R1870">
        <f ca="1">YEAR(TODAY())-Table1[[#This Row],[Year Built]]</f>
        <v>61</v>
      </c>
      <c r="S1870" t="str">
        <f>IF(Table1[[#This Row],[Days on Market]] &lt; 30,"Fast",IF(Table1[[#This Row],[Days on Market]]&lt;= 90,"Average", "Slow"))</f>
        <v>Slow</v>
      </c>
      <c r="T1870" t="str">
        <f>IF(Table1[[#This Row],[Price2]]&lt;500000,"Affordable",IF(Table1[[#This Row],[Price2]]&lt;1000000,"Mid range","Luxury"))</f>
        <v>Mid range</v>
      </c>
    </row>
    <row r="1871" spans="1:20" x14ac:dyDescent="0.35">
      <c r="A1871" s="3">
        <v>977475</v>
      </c>
      <c r="B1871" s="2" t="s">
        <v>22</v>
      </c>
      <c r="C1871">
        <v>74353</v>
      </c>
      <c r="D1871" s="2" t="s">
        <v>18</v>
      </c>
      <c r="E1871">
        <v>2</v>
      </c>
      <c r="F1871">
        <v>2</v>
      </c>
      <c r="G1871" s="4">
        <f>VALUE(SUBSTITUTE(SUBSTITUTE(Table1[[#This Row],[Price]],"$",""),",",""))</f>
        <v>977475</v>
      </c>
      <c r="H1871" s="1">
        <f>Table1[[#This Row],[Price2]]/Table1[[#This Row],[Area]]</f>
        <v>258.38620142743855</v>
      </c>
      <c r="I1871">
        <v>3783</v>
      </c>
      <c r="J1871">
        <v>1973</v>
      </c>
      <c r="K1871">
        <v>4</v>
      </c>
      <c r="L1871" t="s">
        <v>40</v>
      </c>
      <c r="M1871" t="s">
        <v>1384</v>
      </c>
      <c r="N1871" s="2" t="s">
        <v>3033</v>
      </c>
      <c r="O1871" t="s">
        <v>3034</v>
      </c>
      <c r="P1871" t="s">
        <v>26</v>
      </c>
      <c r="Q1871">
        <v>258.38620142743855</v>
      </c>
      <c r="R1871">
        <f ca="1">YEAR(TODAY())-Table1[[#This Row],[Year Built]]</f>
        <v>53</v>
      </c>
      <c r="S1871" t="str">
        <f>IF(Table1[[#This Row],[Days on Market]] &lt; 30,"Fast",IF(Table1[[#This Row],[Days on Market]]&lt;= 90,"Average", "Slow"))</f>
        <v>Fast</v>
      </c>
      <c r="T1871" t="str">
        <f>IF(Table1[[#This Row],[Price2]]&lt;500000,"Affordable",IF(Table1[[#This Row],[Price2]]&lt;1000000,"Mid range","Luxury"))</f>
        <v>Mid range</v>
      </c>
    </row>
    <row r="1872" spans="1:20" x14ac:dyDescent="0.35">
      <c r="A1872" s="3">
        <v>977697</v>
      </c>
      <c r="B1872" s="2" t="s">
        <v>22</v>
      </c>
      <c r="C1872">
        <v>69128</v>
      </c>
      <c r="D1872" s="2" t="s">
        <v>35</v>
      </c>
      <c r="E1872">
        <v>4</v>
      </c>
      <c r="F1872">
        <v>2</v>
      </c>
      <c r="G1872" s="4">
        <f>VALUE(SUBSTITUTE(SUBSTITUTE(Table1[[#This Row],[Price]],"$",""),",",""))</f>
        <v>977697</v>
      </c>
      <c r="H1872" s="1">
        <f>Table1[[#This Row],[Price2]]/Table1[[#This Row],[Area]]</f>
        <v>621.15438373570521</v>
      </c>
      <c r="I1872">
        <v>1574</v>
      </c>
      <c r="J1872">
        <v>2022</v>
      </c>
      <c r="K1872">
        <v>19</v>
      </c>
      <c r="L1872" t="s">
        <v>14</v>
      </c>
      <c r="M1872" t="s">
        <v>1719</v>
      </c>
      <c r="N1872" s="2" t="s">
        <v>3031</v>
      </c>
      <c r="O1872" t="s">
        <v>3032</v>
      </c>
      <c r="P1872" t="s">
        <v>21</v>
      </c>
      <c r="Q1872">
        <v>621.15438373570521</v>
      </c>
      <c r="R1872">
        <f ca="1">YEAR(TODAY())-Table1[[#This Row],[Year Built]]</f>
        <v>4</v>
      </c>
      <c r="S1872" t="str">
        <f>IF(Table1[[#This Row],[Days on Market]] &lt; 30,"Fast",IF(Table1[[#This Row],[Days on Market]]&lt;= 90,"Average", "Slow"))</f>
        <v>Fast</v>
      </c>
      <c r="T1872" t="str">
        <f>IF(Table1[[#This Row],[Price2]]&lt;500000,"Affordable",IF(Table1[[#This Row],[Price2]]&lt;1000000,"Mid range","Luxury"))</f>
        <v>Mid range</v>
      </c>
    </row>
    <row r="1873" spans="1:20" x14ac:dyDescent="0.35">
      <c r="A1873" s="3">
        <v>977721</v>
      </c>
      <c r="B1873" s="2" t="s">
        <v>17</v>
      </c>
      <c r="C1873">
        <v>47215</v>
      </c>
      <c r="D1873" s="2" t="s">
        <v>35</v>
      </c>
      <c r="E1873">
        <v>4</v>
      </c>
      <c r="F1873">
        <v>4</v>
      </c>
      <c r="G1873" s="4">
        <f>VALUE(SUBSTITUTE(SUBSTITUTE(Table1[[#This Row],[Price]],"$",""),",",""))</f>
        <v>977721</v>
      </c>
      <c r="H1873" s="1">
        <f>Table1[[#This Row],[Price2]]/Table1[[#This Row],[Area]]</f>
        <v>326.88766298896689</v>
      </c>
      <c r="I1873">
        <v>2991</v>
      </c>
      <c r="J1873">
        <v>1984</v>
      </c>
      <c r="K1873">
        <v>31</v>
      </c>
      <c r="L1873" t="s">
        <v>19</v>
      </c>
      <c r="M1873" t="s">
        <v>1826</v>
      </c>
      <c r="N1873" s="2" t="s">
        <v>3033</v>
      </c>
      <c r="O1873" t="s">
        <v>3034</v>
      </c>
      <c r="P1873" t="s">
        <v>26</v>
      </c>
      <c r="Q1873">
        <v>326.88766298896689</v>
      </c>
      <c r="R1873">
        <f ca="1">YEAR(TODAY())-Table1[[#This Row],[Year Built]]</f>
        <v>42</v>
      </c>
      <c r="S1873" t="str">
        <f>IF(Table1[[#This Row],[Days on Market]] &lt; 30,"Fast",IF(Table1[[#This Row],[Days on Market]]&lt;= 90,"Average", "Slow"))</f>
        <v>Average</v>
      </c>
      <c r="T1873" t="str">
        <f>IF(Table1[[#This Row],[Price2]]&lt;500000,"Affordable",IF(Table1[[#This Row],[Price2]]&lt;1000000,"Mid range","Luxury"))</f>
        <v>Mid range</v>
      </c>
    </row>
    <row r="1874" spans="1:20" x14ac:dyDescent="0.35">
      <c r="A1874" s="3">
        <v>977845</v>
      </c>
      <c r="B1874" s="2" t="s">
        <v>22</v>
      </c>
      <c r="C1874">
        <v>18472</v>
      </c>
      <c r="D1874" s="2" t="s">
        <v>13</v>
      </c>
      <c r="E1874">
        <v>1</v>
      </c>
      <c r="F1874">
        <v>1</v>
      </c>
      <c r="G1874" s="4">
        <f>VALUE(SUBSTITUTE(SUBSTITUTE(Table1[[#This Row],[Price]],"$",""),",",""))</f>
        <v>977845</v>
      </c>
      <c r="H1874" s="1">
        <f>Table1[[#This Row],[Price2]]/Table1[[#This Row],[Area]]</f>
        <v>295.4214501510574</v>
      </c>
      <c r="I1874">
        <v>3310</v>
      </c>
      <c r="J1874">
        <v>1973</v>
      </c>
      <c r="K1874">
        <v>116</v>
      </c>
      <c r="L1874" t="s">
        <v>14</v>
      </c>
      <c r="M1874" t="s">
        <v>2863</v>
      </c>
      <c r="N1874" s="2" t="s">
        <v>3033</v>
      </c>
      <c r="O1874" t="s">
        <v>3034</v>
      </c>
      <c r="P1874" t="s">
        <v>21</v>
      </c>
      <c r="Q1874">
        <v>295.4214501510574</v>
      </c>
      <c r="R1874">
        <f ca="1">YEAR(TODAY())-Table1[[#This Row],[Year Built]]</f>
        <v>53</v>
      </c>
      <c r="S1874" t="str">
        <f>IF(Table1[[#This Row],[Days on Market]] &lt; 30,"Fast",IF(Table1[[#This Row],[Days on Market]]&lt;= 90,"Average", "Slow"))</f>
        <v>Slow</v>
      </c>
      <c r="T1874" t="str">
        <f>IF(Table1[[#This Row],[Price2]]&lt;500000,"Affordable",IF(Table1[[#This Row],[Price2]]&lt;1000000,"Mid range","Luxury"))</f>
        <v>Mid range</v>
      </c>
    </row>
    <row r="1875" spans="1:20" x14ac:dyDescent="0.35">
      <c r="A1875" s="3">
        <v>978002</v>
      </c>
      <c r="B1875" s="2" t="s">
        <v>17</v>
      </c>
      <c r="C1875">
        <v>15623</v>
      </c>
      <c r="D1875" s="2" t="s">
        <v>13</v>
      </c>
      <c r="E1875">
        <v>3</v>
      </c>
      <c r="F1875">
        <v>3</v>
      </c>
      <c r="G1875" s="4">
        <f>VALUE(SUBSTITUTE(SUBSTITUTE(Table1[[#This Row],[Price]],"$",""),",",""))</f>
        <v>978002</v>
      </c>
      <c r="H1875" s="1">
        <f>Table1[[#This Row],[Price2]]/Table1[[#This Row],[Area]]</f>
        <v>423.37748917748917</v>
      </c>
      <c r="I1875">
        <v>2310</v>
      </c>
      <c r="J1875">
        <v>1968</v>
      </c>
      <c r="K1875">
        <v>108</v>
      </c>
      <c r="L1875" t="s">
        <v>19</v>
      </c>
      <c r="M1875" t="s">
        <v>190</v>
      </c>
      <c r="N1875" s="2" t="s">
        <v>3027</v>
      </c>
      <c r="O1875" t="s">
        <v>3028</v>
      </c>
      <c r="P1875" t="s">
        <v>21</v>
      </c>
      <c r="Q1875">
        <v>423.37748917748917</v>
      </c>
      <c r="R1875">
        <f ca="1">YEAR(TODAY())-Table1[[#This Row],[Year Built]]</f>
        <v>58</v>
      </c>
      <c r="S1875" t="str">
        <f>IF(Table1[[#This Row],[Days on Market]] &lt; 30,"Fast",IF(Table1[[#This Row],[Days on Market]]&lt;= 90,"Average", "Slow"))</f>
        <v>Slow</v>
      </c>
      <c r="T1875" t="str">
        <f>IF(Table1[[#This Row],[Price2]]&lt;500000,"Affordable",IF(Table1[[#This Row],[Price2]]&lt;1000000,"Mid range","Luxury"))</f>
        <v>Mid range</v>
      </c>
    </row>
    <row r="1876" spans="1:20" x14ac:dyDescent="0.35">
      <c r="A1876" s="3">
        <v>978038</v>
      </c>
      <c r="B1876" s="2" t="s">
        <v>22</v>
      </c>
      <c r="C1876">
        <v>99272</v>
      </c>
      <c r="D1876" s="2" t="s">
        <v>18</v>
      </c>
      <c r="E1876">
        <v>5</v>
      </c>
      <c r="F1876">
        <v>3</v>
      </c>
      <c r="G1876" s="4">
        <f>VALUE(SUBSTITUTE(SUBSTITUTE(Table1[[#This Row],[Price]],"$",""),",",""))</f>
        <v>978038</v>
      </c>
      <c r="H1876" s="1">
        <f>Table1[[#This Row],[Price2]]/Table1[[#This Row],[Area]]</f>
        <v>691.19293286219079</v>
      </c>
      <c r="I1876">
        <v>1415</v>
      </c>
      <c r="J1876">
        <v>2012</v>
      </c>
      <c r="K1876">
        <v>16</v>
      </c>
      <c r="L1876" t="s">
        <v>19</v>
      </c>
      <c r="M1876" t="s">
        <v>2929</v>
      </c>
      <c r="N1876" s="2" t="s">
        <v>3033</v>
      </c>
      <c r="O1876" t="s">
        <v>3034</v>
      </c>
      <c r="P1876" t="s">
        <v>16</v>
      </c>
      <c r="Q1876">
        <v>691.19293286219079</v>
      </c>
      <c r="R1876">
        <f ca="1">YEAR(TODAY())-Table1[[#This Row],[Year Built]]</f>
        <v>14</v>
      </c>
      <c r="S1876" t="str">
        <f>IF(Table1[[#This Row],[Days on Market]] &lt; 30,"Fast",IF(Table1[[#This Row],[Days on Market]]&lt;= 90,"Average", "Slow"))</f>
        <v>Fast</v>
      </c>
      <c r="T1876" t="str">
        <f>IF(Table1[[#This Row],[Price2]]&lt;500000,"Affordable",IF(Table1[[#This Row],[Price2]]&lt;1000000,"Mid range","Luxury"))</f>
        <v>Mid range</v>
      </c>
    </row>
    <row r="1877" spans="1:20" x14ac:dyDescent="0.35">
      <c r="A1877" s="3">
        <v>978336</v>
      </c>
      <c r="B1877" s="2" t="s">
        <v>34</v>
      </c>
      <c r="C1877">
        <v>41506</v>
      </c>
      <c r="D1877" s="2" t="s">
        <v>23</v>
      </c>
      <c r="E1877">
        <v>5</v>
      </c>
      <c r="F1877">
        <v>4</v>
      </c>
      <c r="G1877" s="4">
        <f>VALUE(SUBSTITUTE(SUBSTITUTE(Table1[[#This Row],[Price]],"$",""),",",""))</f>
        <v>978336</v>
      </c>
      <c r="H1877" s="1">
        <f>Table1[[#This Row],[Price2]]/Table1[[#This Row],[Area]]</f>
        <v>298.63736263736263</v>
      </c>
      <c r="I1877">
        <v>3276</v>
      </c>
      <c r="J1877">
        <v>2012</v>
      </c>
      <c r="K1877">
        <v>104</v>
      </c>
      <c r="L1877" t="s">
        <v>19</v>
      </c>
      <c r="M1877" t="s">
        <v>1549</v>
      </c>
      <c r="N1877" s="2" t="s">
        <v>3035</v>
      </c>
      <c r="O1877" t="s">
        <v>3036</v>
      </c>
      <c r="P1877" t="s">
        <v>21</v>
      </c>
      <c r="Q1877">
        <v>298.63736263736263</v>
      </c>
      <c r="R1877">
        <f ca="1">YEAR(TODAY())-Table1[[#This Row],[Year Built]]</f>
        <v>14</v>
      </c>
      <c r="S1877" t="str">
        <f>IF(Table1[[#This Row],[Days on Market]] &lt; 30,"Fast",IF(Table1[[#This Row],[Days on Market]]&lt;= 90,"Average", "Slow"))</f>
        <v>Slow</v>
      </c>
      <c r="T1877" t="str">
        <f>IF(Table1[[#This Row],[Price2]]&lt;500000,"Affordable",IF(Table1[[#This Row],[Price2]]&lt;1000000,"Mid range","Luxury"))</f>
        <v>Mid range</v>
      </c>
    </row>
    <row r="1878" spans="1:20" x14ac:dyDescent="0.35">
      <c r="A1878" s="3">
        <v>979483</v>
      </c>
      <c r="B1878" s="2" t="s">
        <v>34</v>
      </c>
      <c r="C1878">
        <v>48296</v>
      </c>
      <c r="D1878" s="2" t="s">
        <v>13</v>
      </c>
      <c r="E1878">
        <v>4</v>
      </c>
      <c r="F1878">
        <v>3</v>
      </c>
      <c r="G1878" s="4">
        <f>VALUE(SUBSTITUTE(SUBSTITUTE(Table1[[#This Row],[Price]],"$",""),",",""))</f>
        <v>979483</v>
      </c>
      <c r="H1878" s="1">
        <f>Table1[[#This Row],[Price2]]/Table1[[#This Row],[Area]]</f>
        <v>307.91669286387929</v>
      </c>
      <c r="I1878">
        <v>3181</v>
      </c>
      <c r="J1878">
        <v>2016</v>
      </c>
      <c r="K1878">
        <v>77</v>
      </c>
      <c r="L1878" t="s">
        <v>14</v>
      </c>
      <c r="M1878" t="s">
        <v>1431</v>
      </c>
      <c r="N1878" s="2" t="s">
        <v>3029</v>
      </c>
      <c r="O1878" t="s">
        <v>3030</v>
      </c>
      <c r="P1878" t="s">
        <v>16</v>
      </c>
      <c r="Q1878">
        <v>307.91669286387929</v>
      </c>
      <c r="R1878">
        <f ca="1">YEAR(TODAY())-Table1[[#This Row],[Year Built]]</f>
        <v>10</v>
      </c>
      <c r="S1878" t="str">
        <f>IF(Table1[[#This Row],[Days on Market]] &lt; 30,"Fast",IF(Table1[[#This Row],[Days on Market]]&lt;= 90,"Average", "Slow"))</f>
        <v>Average</v>
      </c>
      <c r="T1878" t="str">
        <f>IF(Table1[[#This Row],[Price2]]&lt;500000,"Affordable",IF(Table1[[#This Row],[Price2]]&lt;1000000,"Mid range","Luxury"))</f>
        <v>Mid range</v>
      </c>
    </row>
    <row r="1879" spans="1:20" x14ac:dyDescent="0.35">
      <c r="A1879" s="3">
        <v>979559</v>
      </c>
      <c r="B1879" s="2" t="s">
        <v>22</v>
      </c>
      <c r="C1879">
        <v>42661</v>
      </c>
      <c r="D1879" s="2" t="s">
        <v>29</v>
      </c>
      <c r="E1879">
        <v>3</v>
      </c>
      <c r="F1879">
        <v>3</v>
      </c>
      <c r="G1879" s="4">
        <f>VALUE(SUBSTITUTE(SUBSTITUTE(Table1[[#This Row],[Price]],"$",""),",",""))</f>
        <v>979559</v>
      </c>
      <c r="H1879" s="1">
        <f>Table1[[#This Row],[Price2]]/Table1[[#This Row],[Area]]</f>
        <v>622.73299427844881</v>
      </c>
      <c r="I1879">
        <v>1573</v>
      </c>
      <c r="J1879">
        <v>1985</v>
      </c>
      <c r="K1879">
        <v>37</v>
      </c>
      <c r="L1879" t="s">
        <v>14</v>
      </c>
      <c r="M1879" t="s">
        <v>724</v>
      </c>
      <c r="N1879" s="2" t="s">
        <v>3027</v>
      </c>
      <c r="O1879" t="s">
        <v>3028</v>
      </c>
      <c r="P1879" t="s">
        <v>26</v>
      </c>
      <c r="Q1879">
        <v>622.73299427844881</v>
      </c>
      <c r="R1879">
        <f ca="1">YEAR(TODAY())-Table1[[#This Row],[Year Built]]</f>
        <v>41</v>
      </c>
      <c r="S1879" t="str">
        <f>IF(Table1[[#This Row],[Days on Market]] &lt; 30,"Fast",IF(Table1[[#This Row],[Days on Market]]&lt;= 90,"Average", "Slow"))</f>
        <v>Average</v>
      </c>
      <c r="T1879" t="str">
        <f>IF(Table1[[#This Row],[Price2]]&lt;500000,"Affordable",IF(Table1[[#This Row],[Price2]]&lt;1000000,"Mid range","Luxury"))</f>
        <v>Mid range</v>
      </c>
    </row>
    <row r="1880" spans="1:20" x14ac:dyDescent="0.35">
      <c r="A1880" s="3">
        <v>979634</v>
      </c>
      <c r="B1880" s="2" t="s">
        <v>22</v>
      </c>
      <c r="C1880">
        <v>16968</v>
      </c>
      <c r="D1880" s="2" t="s">
        <v>35</v>
      </c>
      <c r="E1880">
        <v>6</v>
      </c>
      <c r="F1880">
        <v>4</v>
      </c>
      <c r="G1880" s="4">
        <f>VALUE(SUBSTITUTE(SUBSTITUTE(Table1[[#This Row],[Price]],"$",""),",",""))</f>
        <v>979634</v>
      </c>
      <c r="H1880" s="1">
        <f>Table1[[#This Row],[Price2]]/Table1[[#This Row],[Area]]</f>
        <v>280.37607326846023</v>
      </c>
      <c r="I1880">
        <v>3494</v>
      </c>
      <c r="J1880">
        <v>1977</v>
      </c>
      <c r="K1880">
        <v>41</v>
      </c>
      <c r="L1880" t="s">
        <v>52</v>
      </c>
      <c r="M1880" t="s">
        <v>2081</v>
      </c>
      <c r="N1880" s="2" t="s">
        <v>3029</v>
      </c>
      <c r="O1880" t="s">
        <v>3030</v>
      </c>
      <c r="P1880" t="s">
        <v>26</v>
      </c>
      <c r="Q1880">
        <v>280.37607326846023</v>
      </c>
      <c r="R1880">
        <f ca="1">YEAR(TODAY())-Table1[[#This Row],[Year Built]]</f>
        <v>49</v>
      </c>
      <c r="S1880" t="str">
        <f>IF(Table1[[#This Row],[Days on Market]] &lt; 30,"Fast",IF(Table1[[#This Row],[Days on Market]]&lt;= 90,"Average", "Slow"))</f>
        <v>Average</v>
      </c>
      <c r="T1880" t="str">
        <f>IF(Table1[[#This Row],[Price2]]&lt;500000,"Affordable",IF(Table1[[#This Row],[Price2]]&lt;1000000,"Mid range","Luxury"))</f>
        <v>Mid range</v>
      </c>
    </row>
    <row r="1881" spans="1:20" x14ac:dyDescent="0.35">
      <c r="A1881" s="3">
        <v>980511</v>
      </c>
      <c r="B1881" s="2" t="s">
        <v>12</v>
      </c>
      <c r="C1881">
        <v>72503</v>
      </c>
      <c r="D1881" s="2" t="s">
        <v>35</v>
      </c>
      <c r="E1881">
        <v>3</v>
      </c>
      <c r="F1881">
        <v>1</v>
      </c>
      <c r="G1881" s="4">
        <f>VALUE(SUBSTITUTE(SUBSTITUTE(Table1[[#This Row],[Price]],"$",""),",",""))</f>
        <v>980511</v>
      </c>
      <c r="H1881" s="1">
        <f>Table1[[#This Row],[Price2]]/Table1[[#This Row],[Area]]</f>
        <v>336.59835221421213</v>
      </c>
      <c r="I1881">
        <v>2913</v>
      </c>
      <c r="J1881">
        <v>1967</v>
      </c>
      <c r="K1881">
        <v>32</v>
      </c>
      <c r="L1881" t="s">
        <v>40</v>
      </c>
      <c r="M1881" t="s">
        <v>1915</v>
      </c>
      <c r="N1881" s="2" t="s">
        <v>3035</v>
      </c>
      <c r="O1881" t="s">
        <v>3036</v>
      </c>
      <c r="P1881" t="s">
        <v>16</v>
      </c>
      <c r="Q1881">
        <v>336.59835221421213</v>
      </c>
      <c r="R1881">
        <f ca="1">YEAR(TODAY())-Table1[[#This Row],[Year Built]]</f>
        <v>59</v>
      </c>
      <c r="S1881" t="str">
        <f>IF(Table1[[#This Row],[Days on Market]] &lt; 30,"Fast",IF(Table1[[#This Row],[Days on Market]]&lt;= 90,"Average", "Slow"))</f>
        <v>Average</v>
      </c>
      <c r="T1881" t="str">
        <f>IF(Table1[[#This Row],[Price2]]&lt;500000,"Affordable",IF(Table1[[#This Row],[Price2]]&lt;1000000,"Mid range","Luxury"))</f>
        <v>Mid range</v>
      </c>
    </row>
    <row r="1882" spans="1:20" x14ac:dyDescent="0.35">
      <c r="A1882" s="3">
        <v>980574</v>
      </c>
      <c r="B1882" s="2" t="s">
        <v>34</v>
      </c>
      <c r="C1882">
        <v>19527</v>
      </c>
      <c r="D1882" s="2" t="s">
        <v>18</v>
      </c>
      <c r="E1882">
        <v>6</v>
      </c>
      <c r="F1882">
        <v>2</v>
      </c>
      <c r="G1882" s="4">
        <f>VALUE(SUBSTITUTE(SUBSTITUTE(Table1[[#This Row],[Price]],"$",""),",",""))</f>
        <v>980574</v>
      </c>
      <c r="H1882" s="1">
        <f>Table1[[#This Row],[Price2]]/Table1[[#This Row],[Area]]</f>
        <v>905.42382271468148</v>
      </c>
      <c r="I1882">
        <v>1083</v>
      </c>
      <c r="J1882">
        <v>1957</v>
      </c>
      <c r="K1882">
        <v>81</v>
      </c>
      <c r="L1882" t="s">
        <v>19</v>
      </c>
      <c r="M1882" t="s">
        <v>682</v>
      </c>
      <c r="N1882" s="2" t="s">
        <v>3027</v>
      </c>
      <c r="O1882" t="s">
        <v>3028</v>
      </c>
      <c r="P1882" t="s">
        <v>26</v>
      </c>
      <c r="Q1882">
        <v>905.42382271468148</v>
      </c>
      <c r="R1882">
        <f ca="1">YEAR(TODAY())-Table1[[#This Row],[Year Built]]</f>
        <v>69</v>
      </c>
      <c r="S1882" t="str">
        <f>IF(Table1[[#This Row],[Days on Market]] &lt; 30,"Fast",IF(Table1[[#This Row],[Days on Market]]&lt;= 90,"Average", "Slow"))</f>
        <v>Average</v>
      </c>
      <c r="T1882" t="str">
        <f>IF(Table1[[#This Row],[Price2]]&lt;500000,"Affordable",IF(Table1[[#This Row],[Price2]]&lt;1000000,"Mid range","Luxury"))</f>
        <v>Mid range</v>
      </c>
    </row>
    <row r="1883" spans="1:20" x14ac:dyDescent="0.35">
      <c r="A1883" s="3">
        <v>980716</v>
      </c>
      <c r="B1883" s="2" t="s">
        <v>27</v>
      </c>
      <c r="C1883">
        <v>12888</v>
      </c>
      <c r="D1883" s="2" t="s">
        <v>18</v>
      </c>
      <c r="E1883">
        <v>2</v>
      </c>
      <c r="F1883">
        <v>2</v>
      </c>
      <c r="G1883" s="4">
        <f>VALUE(SUBSTITUTE(SUBSTITUTE(Table1[[#This Row],[Price]],"$",""),",",""))</f>
        <v>980716</v>
      </c>
      <c r="H1883" s="1">
        <f>Table1[[#This Row],[Price2]]/Table1[[#This Row],[Area]]</f>
        <v>998.69246435845218</v>
      </c>
      <c r="I1883">
        <v>982</v>
      </c>
      <c r="J1883">
        <v>1983</v>
      </c>
      <c r="K1883">
        <v>58</v>
      </c>
      <c r="L1883" t="s">
        <v>30</v>
      </c>
      <c r="M1883" t="s">
        <v>49</v>
      </c>
      <c r="N1883" s="2" t="s">
        <v>3035</v>
      </c>
      <c r="O1883" t="s">
        <v>3036</v>
      </c>
      <c r="P1883" t="s">
        <v>21</v>
      </c>
      <c r="Q1883">
        <v>998.69246435845218</v>
      </c>
      <c r="R1883">
        <f ca="1">YEAR(TODAY())-Table1[[#This Row],[Year Built]]</f>
        <v>43</v>
      </c>
      <c r="S1883" t="str">
        <f>IF(Table1[[#This Row],[Days on Market]] &lt; 30,"Fast",IF(Table1[[#This Row],[Days on Market]]&lt;= 90,"Average", "Slow"))</f>
        <v>Average</v>
      </c>
      <c r="T1883" t="str">
        <f>IF(Table1[[#This Row],[Price2]]&lt;500000,"Affordable",IF(Table1[[#This Row],[Price2]]&lt;1000000,"Mid range","Luxury"))</f>
        <v>Mid range</v>
      </c>
    </row>
    <row r="1884" spans="1:20" x14ac:dyDescent="0.35">
      <c r="A1884" s="3">
        <v>980741</v>
      </c>
      <c r="B1884" s="2" t="s">
        <v>22</v>
      </c>
      <c r="C1884">
        <v>91105</v>
      </c>
      <c r="D1884" s="2" t="s">
        <v>13</v>
      </c>
      <c r="E1884">
        <v>4</v>
      </c>
      <c r="F1884">
        <v>1</v>
      </c>
      <c r="G1884" s="4">
        <f>VALUE(SUBSTITUTE(SUBSTITUTE(Table1[[#This Row],[Price]],"$",""),",",""))</f>
        <v>980741</v>
      </c>
      <c r="H1884" s="1">
        <f>Table1[[#This Row],[Price2]]/Table1[[#This Row],[Area]]</f>
        <v>699.03136136849605</v>
      </c>
      <c r="I1884">
        <v>1403</v>
      </c>
      <c r="J1884">
        <v>1989</v>
      </c>
      <c r="K1884">
        <v>82</v>
      </c>
      <c r="L1884" t="s">
        <v>14</v>
      </c>
      <c r="M1884" t="s">
        <v>634</v>
      </c>
      <c r="N1884" s="2" t="s">
        <v>3035</v>
      </c>
      <c r="O1884" t="s">
        <v>3036</v>
      </c>
      <c r="P1884" t="s">
        <v>16</v>
      </c>
      <c r="Q1884">
        <v>699.03136136849605</v>
      </c>
      <c r="R1884">
        <f ca="1">YEAR(TODAY())-Table1[[#This Row],[Year Built]]</f>
        <v>37</v>
      </c>
      <c r="S1884" t="str">
        <f>IF(Table1[[#This Row],[Days on Market]] &lt; 30,"Fast",IF(Table1[[#This Row],[Days on Market]]&lt;= 90,"Average", "Slow"))</f>
        <v>Average</v>
      </c>
      <c r="T1884" t="str">
        <f>IF(Table1[[#This Row],[Price2]]&lt;500000,"Affordable",IF(Table1[[#This Row],[Price2]]&lt;1000000,"Mid range","Luxury"))</f>
        <v>Mid range</v>
      </c>
    </row>
    <row r="1885" spans="1:20" x14ac:dyDescent="0.35">
      <c r="A1885" s="3">
        <v>980749</v>
      </c>
      <c r="B1885" s="2" t="s">
        <v>27</v>
      </c>
      <c r="C1885">
        <v>38914</v>
      </c>
      <c r="D1885" s="2" t="s">
        <v>13</v>
      </c>
      <c r="E1885">
        <v>2</v>
      </c>
      <c r="F1885">
        <v>2</v>
      </c>
      <c r="G1885" s="4">
        <f>VALUE(SUBSTITUTE(SUBSTITUTE(Table1[[#This Row],[Price]],"$",""),",",""))</f>
        <v>980749</v>
      </c>
      <c r="H1885" s="1">
        <f>Table1[[#This Row],[Price2]]/Table1[[#This Row],[Area]]</f>
        <v>1175.9580335731414</v>
      </c>
      <c r="I1885">
        <v>834</v>
      </c>
      <c r="J1885">
        <v>1959</v>
      </c>
      <c r="K1885">
        <v>28</v>
      </c>
      <c r="L1885" t="s">
        <v>14</v>
      </c>
      <c r="M1885" t="s">
        <v>979</v>
      </c>
      <c r="N1885" s="2" t="s">
        <v>3035</v>
      </c>
      <c r="O1885" t="s">
        <v>3036</v>
      </c>
      <c r="P1885" t="s">
        <v>21</v>
      </c>
      <c r="Q1885">
        <v>1175.9580335731414</v>
      </c>
      <c r="R1885">
        <f ca="1">YEAR(TODAY())-Table1[[#This Row],[Year Built]]</f>
        <v>67</v>
      </c>
      <c r="S1885" t="str">
        <f>IF(Table1[[#This Row],[Days on Market]] &lt; 30,"Fast",IF(Table1[[#This Row],[Days on Market]]&lt;= 90,"Average", "Slow"))</f>
        <v>Fast</v>
      </c>
      <c r="T1885" t="str">
        <f>IF(Table1[[#This Row],[Price2]]&lt;500000,"Affordable",IF(Table1[[#This Row],[Price2]]&lt;1000000,"Mid range","Luxury"))</f>
        <v>Mid range</v>
      </c>
    </row>
    <row r="1886" spans="1:20" x14ac:dyDescent="0.35">
      <c r="A1886" s="3">
        <v>980757</v>
      </c>
      <c r="B1886" s="2" t="s">
        <v>34</v>
      </c>
      <c r="C1886">
        <v>38448</v>
      </c>
      <c r="D1886" s="2" t="s">
        <v>23</v>
      </c>
      <c r="E1886">
        <v>2</v>
      </c>
      <c r="F1886">
        <v>3</v>
      </c>
      <c r="G1886" s="4">
        <f>VALUE(SUBSTITUTE(SUBSTITUTE(Table1[[#This Row],[Price]],"$",""),",",""))</f>
        <v>980757</v>
      </c>
      <c r="H1886" s="1">
        <f>Table1[[#This Row],[Price2]]/Table1[[#This Row],[Area]]</f>
        <v>303.54596100278553</v>
      </c>
      <c r="I1886">
        <v>3231</v>
      </c>
      <c r="J1886">
        <v>1991</v>
      </c>
      <c r="K1886">
        <v>61</v>
      </c>
      <c r="L1886" t="s">
        <v>14</v>
      </c>
      <c r="M1886" t="s">
        <v>1136</v>
      </c>
      <c r="N1886" s="2" t="s">
        <v>3027</v>
      </c>
      <c r="O1886" t="s">
        <v>3028</v>
      </c>
      <c r="P1886" t="s">
        <v>16</v>
      </c>
      <c r="Q1886">
        <v>303.54596100278553</v>
      </c>
      <c r="R1886">
        <f ca="1">YEAR(TODAY())-Table1[[#This Row],[Year Built]]</f>
        <v>35</v>
      </c>
      <c r="S1886" t="str">
        <f>IF(Table1[[#This Row],[Days on Market]] &lt; 30,"Fast",IF(Table1[[#This Row],[Days on Market]]&lt;= 90,"Average", "Slow"))</f>
        <v>Average</v>
      </c>
      <c r="T1886" t="str">
        <f>IF(Table1[[#This Row],[Price2]]&lt;500000,"Affordable",IF(Table1[[#This Row],[Price2]]&lt;1000000,"Mid range","Luxury"))</f>
        <v>Mid range</v>
      </c>
    </row>
    <row r="1887" spans="1:20" x14ac:dyDescent="0.35">
      <c r="A1887" s="3">
        <v>981044</v>
      </c>
      <c r="B1887" s="2" t="s">
        <v>17</v>
      </c>
      <c r="C1887">
        <v>54993</v>
      </c>
      <c r="D1887" s="2" t="s">
        <v>13</v>
      </c>
      <c r="E1887">
        <v>4</v>
      </c>
      <c r="F1887">
        <v>3</v>
      </c>
      <c r="G1887" s="4">
        <f>VALUE(SUBSTITUTE(SUBSTITUTE(Table1[[#This Row],[Price]],"$",""),",",""))</f>
        <v>981044</v>
      </c>
      <c r="H1887" s="1">
        <f>Table1[[#This Row],[Price2]]/Table1[[#This Row],[Area]]</f>
        <v>279.34054669703875</v>
      </c>
      <c r="I1887">
        <v>3512</v>
      </c>
      <c r="J1887">
        <v>2007</v>
      </c>
      <c r="K1887">
        <v>27</v>
      </c>
      <c r="L1887" t="s">
        <v>52</v>
      </c>
      <c r="M1887" t="s">
        <v>2025</v>
      </c>
      <c r="N1887" s="2" t="s">
        <v>3035</v>
      </c>
      <c r="O1887" t="s">
        <v>3036</v>
      </c>
      <c r="P1887" t="s">
        <v>26</v>
      </c>
      <c r="Q1887">
        <v>279.34054669703875</v>
      </c>
      <c r="R1887">
        <f ca="1">YEAR(TODAY())-Table1[[#This Row],[Year Built]]</f>
        <v>19</v>
      </c>
      <c r="S1887" t="str">
        <f>IF(Table1[[#This Row],[Days on Market]] &lt; 30,"Fast",IF(Table1[[#This Row],[Days on Market]]&lt;= 90,"Average", "Slow"))</f>
        <v>Fast</v>
      </c>
      <c r="T1887" t="str">
        <f>IF(Table1[[#This Row],[Price2]]&lt;500000,"Affordable",IF(Table1[[#This Row],[Price2]]&lt;1000000,"Mid range","Luxury"))</f>
        <v>Mid range</v>
      </c>
    </row>
    <row r="1888" spans="1:20" x14ac:dyDescent="0.35">
      <c r="A1888" s="3">
        <v>981826</v>
      </c>
      <c r="B1888" s="2" t="s">
        <v>12</v>
      </c>
      <c r="C1888">
        <v>80255</v>
      </c>
      <c r="D1888" s="2" t="s">
        <v>29</v>
      </c>
      <c r="E1888">
        <v>6</v>
      </c>
      <c r="F1888">
        <v>4</v>
      </c>
      <c r="G1888" s="4">
        <f>VALUE(SUBSTITUTE(SUBSTITUTE(Table1[[#This Row],[Price]],"$",""),",",""))</f>
        <v>981826</v>
      </c>
      <c r="H1888" s="1">
        <f>Table1[[#This Row],[Price2]]/Table1[[#This Row],[Area]]</f>
        <v>977.91434262948212</v>
      </c>
      <c r="I1888">
        <v>1004</v>
      </c>
      <c r="J1888">
        <v>1952</v>
      </c>
      <c r="K1888">
        <v>66</v>
      </c>
      <c r="L1888" t="s">
        <v>14</v>
      </c>
      <c r="M1888" t="s">
        <v>1858</v>
      </c>
      <c r="N1888" s="2" t="s">
        <v>3035</v>
      </c>
      <c r="O1888" t="s">
        <v>3036</v>
      </c>
      <c r="P1888" t="s">
        <v>16</v>
      </c>
      <c r="Q1888">
        <v>977.91434262948212</v>
      </c>
      <c r="R1888">
        <f ca="1">YEAR(TODAY())-Table1[[#This Row],[Year Built]]</f>
        <v>74</v>
      </c>
      <c r="S1888" t="str">
        <f>IF(Table1[[#This Row],[Days on Market]] &lt; 30,"Fast",IF(Table1[[#This Row],[Days on Market]]&lt;= 90,"Average", "Slow"))</f>
        <v>Average</v>
      </c>
      <c r="T1888" t="str">
        <f>IF(Table1[[#This Row],[Price2]]&lt;500000,"Affordable",IF(Table1[[#This Row],[Price2]]&lt;1000000,"Mid range","Luxury"))</f>
        <v>Mid range</v>
      </c>
    </row>
    <row r="1889" spans="1:20" x14ac:dyDescent="0.35">
      <c r="A1889" s="3">
        <v>981879</v>
      </c>
      <c r="B1889" s="2" t="s">
        <v>12</v>
      </c>
      <c r="C1889">
        <v>74657</v>
      </c>
      <c r="D1889" s="2" t="s">
        <v>23</v>
      </c>
      <c r="E1889">
        <v>2</v>
      </c>
      <c r="F1889">
        <v>4</v>
      </c>
      <c r="G1889" s="4">
        <f>VALUE(SUBSTITUTE(SUBSTITUTE(Table1[[#This Row],[Price]],"$",""),",",""))</f>
        <v>981879</v>
      </c>
      <c r="H1889" s="1">
        <f>Table1[[#This Row],[Price2]]/Table1[[#This Row],[Area]]</f>
        <v>512.99843260188084</v>
      </c>
      <c r="I1889">
        <v>1914</v>
      </c>
      <c r="J1889">
        <v>2021</v>
      </c>
      <c r="K1889">
        <v>27</v>
      </c>
      <c r="L1889" t="s">
        <v>52</v>
      </c>
      <c r="M1889" t="s">
        <v>1653</v>
      </c>
      <c r="N1889" s="2" t="s">
        <v>3031</v>
      </c>
      <c r="O1889" t="s">
        <v>3032</v>
      </c>
      <c r="P1889" t="s">
        <v>16</v>
      </c>
      <c r="Q1889">
        <v>512.99843260188084</v>
      </c>
      <c r="R1889">
        <f ca="1">YEAR(TODAY())-Table1[[#This Row],[Year Built]]</f>
        <v>5</v>
      </c>
      <c r="S1889" t="str">
        <f>IF(Table1[[#This Row],[Days on Market]] &lt; 30,"Fast",IF(Table1[[#This Row],[Days on Market]]&lt;= 90,"Average", "Slow"))</f>
        <v>Fast</v>
      </c>
      <c r="T1889" t="str">
        <f>IF(Table1[[#This Row],[Price2]]&lt;500000,"Affordable",IF(Table1[[#This Row],[Price2]]&lt;1000000,"Mid range","Luxury"))</f>
        <v>Mid range</v>
      </c>
    </row>
    <row r="1890" spans="1:20" x14ac:dyDescent="0.35">
      <c r="A1890" s="3">
        <v>982001</v>
      </c>
      <c r="B1890" s="2" t="s">
        <v>12</v>
      </c>
      <c r="C1890">
        <v>63053</v>
      </c>
      <c r="D1890" s="2" t="s">
        <v>23</v>
      </c>
      <c r="E1890">
        <v>1</v>
      </c>
      <c r="F1890">
        <v>2</v>
      </c>
      <c r="G1890" s="4">
        <f>VALUE(SUBSTITUTE(SUBSTITUTE(Table1[[#This Row],[Price]],"$",""),",",""))</f>
        <v>982001</v>
      </c>
      <c r="H1890" s="1">
        <f>Table1[[#This Row],[Price2]]/Table1[[#This Row],[Area]]</f>
        <v>362.62961595273265</v>
      </c>
      <c r="I1890">
        <v>2708</v>
      </c>
      <c r="J1890">
        <v>1979</v>
      </c>
      <c r="K1890">
        <v>26</v>
      </c>
      <c r="L1890" t="s">
        <v>40</v>
      </c>
      <c r="M1890" t="s">
        <v>661</v>
      </c>
      <c r="N1890" s="2" t="s">
        <v>3033</v>
      </c>
      <c r="O1890" t="s">
        <v>3034</v>
      </c>
      <c r="P1890" t="s">
        <v>21</v>
      </c>
      <c r="Q1890">
        <v>362.62961595273265</v>
      </c>
      <c r="R1890">
        <f ca="1">YEAR(TODAY())-Table1[[#This Row],[Year Built]]</f>
        <v>47</v>
      </c>
      <c r="S1890" t="str">
        <f>IF(Table1[[#This Row],[Days on Market]] &lt; 30,"Fast",IF(Table1[[#This Row],[Days on Market]]&lt;= 90,"Average", "Slow"))</f>
        <v>Fast</v>
      </c>
      <c r="T1890" t="str">
        <f>IF(Table1[[#This Row],[Price2]]&lt;500000,"Affordable",IF(Table1[[#This Row],[Price2]]&lt;1000000,"Mid range","Luxury"))</f>
        <v>Mid range</v>
      </c>
    </row>
    <row r="1891" spans="1:20" x14ac:dyDescent="0.35">
      <c r="A1891" s="3">
        <v>982214</v>
      </c>
      <c r="B1891" s="2" t="s">
        <v>34</v>
      </c>
      <c r="C1891">
        <v>45954</v>
      </c>
      <c r="D1891" s="2" t="s">
        <v>29</v>
      </c>
      <c r="E1891">
        <v>5</v>
      </c>
      <c r="F1891">
        <v>2</v>
      </c>
      <c r="G1891" s="4">
        <f>VALUE(SUBSTITUTE(SUBSTITUTE(Table1[[#This Row],[Price]],"$",""),",",""))</f>
        <v>982214</v>
      </c>
      <c r="H1891" s="1">
        <f>Table1[[#This Row],[Price2]]/Table1[[#This Row],[Area]]</f>
        <v>378.2110127069696</v>
      </c>
      <c r="I1891">
        <v>2597</v>
      </c>
      <c r="J1891">
        <v>1960</v>
      </c>
      <c r="K1891">
        <v>13</v>
      </c>
      <c r="L1891" t="s">
        <v>14</v>
      </c>
      <c r="M1891" t="s">
        <v>2464</v>
      </c>
      <c r="N1891" s="2" t="s">
        <v>3027</v>
      </c>
      <c r="O1891" t="s">
        <v>3028</v>
      </c>
      <c r="P1891" t="s">
        <v>21</v>
      </c>
      <c r="Q1891">
        <v>378.2110127069696</v>
      </c>
      <c r="R1891">
        <f ca="1">YEAR(TODAY())-Table1[[#This Row],[Year Built]]</f>
        <v>66</v>
      </c>
      <c r="S1891" t="str">
        <f>IF(Table1[[#This Row],[Days on Market]] &lt; 30,"Fast",IF(Table1[[#This Row],[Days on Market]]&lt;= 90,"Average", "Slow"))</f>
        <v>Fast</v>
      </c>
      <c r="T1891" t="str">
        <f>IF(Table1[[#This Row],[Price2]]&lt;500000,"Affordable",IF(Table1[[#This Row],[Price2]]&lt;1000000,"Mid range","Luxury"))</f>
        <v>Mid range</v>
      </c>
    </row>
    <row r="1892" spans="1:20" x14ac:dyDescent="0.35">
      <c r="A1892" s="3">
        <v>983059</v>
      </c>
      <c r="B1892" s="2" t="s">
        <v>34</v>
      </c>
      <c r="C1892">
        <v>42585</v>
      </c>
      <c r="D1892" s="2" t="s">
        <v>13</v>
      </c>
      <c r="E1892">
        <v>6</v>
      </c>
      <c r="F1892">
        <v>2</v>
      </c>
      <c r="G1892" s="4">
        <f>VALUE(SUBSTITUTE(SUBSTITUTE(Table1[[#This Row],[Price]],"$",""),",",""))</f>
        <v>983059</v>
      </c>
      <c r="H1892" s="1">
        <f>Table1[[#This Row],[Price2]]/Table1[[#This Row],[Area]]</f>
        <v>556.97393767705387</v>
      </c>
      <c r="I1892">
        <v>1765</v>
      </c>
      <c r="J1892">
        <v>1974</v>
      </c>
      <c r="K1892">
        <v>12</v>
      </c>
      <c r="L1892" t="s">
        <v>14</v>
      </c>
      <c r="M1892" t="s">
        <v>2989</v>
      </c>
      <c r="N1892" s="2" t="s">
        <v>3029</v>
      </c>
      <c r="O1892" t="s">
        <v>3030</v>
      </c>
      <c r="P1892" t="s">
        <v>16</v>
      </c>
      <c r="Q1892">
        <v>556.97393767705387</v>
      </c>
      <c r="R1892">
        <f ca="1">YEAR(TODAY())-Table1[[#This Row],[Year Built]]</f>
        <v>52</v>
      </c>
      <c r="S1892" t="str">
        <f>IF(Table1[[#This Row],[Days on Market]] &lt; 30,"Fast",IF(Table1[[#This Row],[Days on Market]]&lt;= 90,"Average", "Slow"))</f>
        <v>Fast</v>
      </c>
      <c r="T1892" t="str">
        <f>IF(Table1[[#This Row],[Price2]]&lt;500000,"Affordable",IF(Table1[[#This Row],[Price2]]&lt;1000000,"Mid range","Luxury"))</f>
        <v>Mid range</v>
      </c>
    </row>
    <row r="1893" spans="1:20" x14ac:dyDescent="0.35">
      <c r="A1893" s="3">
        <v>983080</v>
      </c>
      <c r="B1893" s="2" t="s">
        <v>22</v>
      </c>
      <c r="C1893">
        <v>53607</v>
      </c>
      <c r="D1893" s="2" t="s">
        <v>29</v>
      </c>
      <c r="E1893">
        <v>4</v>
      </c>
      <c r="F1893">
        <v>4</v>
      </c>
      <c r="G1893" s="4">
        <f>VALUE(SUBSTITUTE(SUBSTITUTE(Table1[[#This Row],[Price]],"$",""),",",""))</f>
        <v>983080</v>
      </c>
      <c r="H1893" s="1">
        <f>Table1[[#This Row],[Price2]]/Table1[[#This Row],[Area]]</f>
        <v>261.17959617428266</v>
      </c>
      <c r="I1893">
        <v>3764</v>
      </c>
      <c r="J1893">
        <v>1995</v>
      </c>
      <c r="K1893">
        <v>28</v>
      </c>
      <c r="L1893" t="s">
        <v>40</v>
      </c>
      <c r="M1893" t="s">
        <v>529</v>
      </c>
      <c r="N1893" s="2" t="s">
        <v>3027</v>
      </c>
      <c r="O1893" t="s">
        <v>3028</v>
      </c>
      <c r="P1893" t="s">
        <v>16</v>
      </c>
      <c r="Q1893">
        <v>261.17959617428266</v>
      </c>
      <c r="R1893">
        <f ca="1">YEAR(TODAY())-Table1[[#This Row],[Year Built]]</f>
        <v>31</v>
      </c>
      <c r="S1893" t="str">
        <f>IF(Table1[[#This Row],[Days on Market]] &lt; 30,"Fast",IF(Table1[[#This Row],[Days on Market]]&lt;= 90,"Average", "Slow"))</f>
        <v>Fast</v>
      </c>
      <c r="T1893" t="str">
        <f>IF(Table1[[#This Row],[Price2]]&lt;500000,"Affordable",IF(Table1[[#This Row],[Price2]]&lt;1000000,"Mid range","Luxury"))</f>
        <v>Mid range</v>
      </c>
    </row>
    <row r="1894" spans="1:20" x14ac:dyDescent="0.35">
      <c r="A1894" s="3">
        <v>983296</v>
      </c>
      <c r="B1894" s="2" t="s">
        <v>12</v>
      </c>
      <c r="C1894">
        <v>55020</v>
      </c>
      <c r="D1894" s="2" t="s">
        <v>35</v>
      </c>
      <c r="E1894">
        <v>2</v>
      </c>
      <c r="F1894">
        <v>4</v>
      </c>
      <c r="G1894" s="4">
        <f>VALUE(SUBSTITUTE(SUBSTITUTE(Table1[[#This Row],[Price]],"$",""),",",""))</f>
        <v>983296</v>
      </c>
      <c r="H1894" s="1">
        <f>Table1[[#This Row],[Price2]]/Table1[[#This Row],[Area]]</f>
        <v>296.08431195423066</v>
      </c>
      <c r="I1894">
        <v>3321</v>
      </c>
      <c r="J1894">
        <v>1991</v>
      </c>
      <c r="K1894">
        <v>13</v>
      </c>
      <c r="L1894" t="s">
        <v>19</v>
      </c>
      <c r="M1894" t="s">
        <v>2321</v>
      </c>
      <c r="N1894" s="2" t="s">
        <v>3033</v>
      </c>
      <c r="O1894" t="s">
        <v>3034</v>
      </c>
      <c r="P1894" t="s">
        <v>16</v>
      </c>
      <c r="Q1894">
        <v>296.08431195423066</v>
      </c>
      <c r="R1894">
        <f ca="1">YEAR(TODAY())-Table1[[#This Row],[Year Built]]</f>
        <v>35</v>
      </c>
      <c r="S1894" t="str">
        <f>IF(Table1[[#This Row],[Days on Market]] &lt; 30,"Fast",IF(Table1[[#This Row],[Days on Market]]&lt;= 90,"Average", "Slow"))</f>
        <v>Fast</v>
      </c>
      <c r="T1894" t="str">
        <f>IF(Table1[[#This Row],[Price2]]&lt;500000,"Affordable",IF(Table1[[#This Row],[Price2]]&lt;1000000,"Mid range","Luxury"))</f>
        <v>Mid range</v>
      </c>
    </row>
    <row r="1895" spans="1:20" x14ac:dyDescent="0.35">
      <c r="A1895" s="3">
        <v>983337</v>
      </c>
      <c r="B1895" s="2" t="s">
        <v>12</v>
      </c>
      <c r="C1895">
        <v>81110</v>
      </c>
      <c r="D1895" s="2" t="s">
        <v>18</v>
      </c>
      <c r="E1895">
        <v>5</v>
      </c>
      <c r="F1895">
        <v>1</v>
      </c>
      <c r="G1895" s="4">
        <f>VALUE(SUBSTITUTE(SUBSTITUTE(Table1[[#This Row],[Price]],"$",""),",",""))</f>
        <v>983337</v>
      </c>
      <c r="H1895" s="1">
        <f>Table1[[#This Row],[Price2]]/Table1[[#This Row],[Area]]</f>
        <v>304.15620167027527</v>
      </c>
      <c r="I1895">
        <v>3233</v>
      </c>
      <c r="J1895">
        <v>2007</v>
      </c>
      <c r="K1895">
        <v>89</v>
      </c>
      <c r="L1895" t="s">
        <v>30</v>
      </c>
      <c r="M1895" t="s">
        <v>1084</v>
      </c>
      <c r="N1895" s="2" t="s">
        <v>3031</v>
      </c>
      <c r="O1895" t="s">
        <v>3032</v>
      </c>
      <c r="P1895" t="s">
        <v>26</v>
      </c>
      <c r="Q1895">
        <v>304.15620167027527</v>
      </c>
      <c r="R1895">
        <f ca="1">YEAR(TODAY())-Table1[[#This Row],[Year Built]]</f>
        <v>19</v>
      </c>
      <c r="S1895" t="str">
        <f>IF(Table1[[#This Row],[Days on Market]] &lt; 30,"Fast",IF(Table1[[#This Row],[Days on Market]]&lt;= 90,"Average", "Slow"))</f>
        <v>Average</v>
      </c>
      <c r="T1895" t="str">
        <f>IF(Table1[[#This Row],[Price2]]&lt;500000,"Affordable",IF(Table1[[#This Row],[Price2]]&lt;1000000,"Mid range","Luxury"))</f>
        <v>Mid range</v>
      </c>
    </row>
    <row r="1896" spans="1:20" x14ac:dyDescent="0.35">
      <c r="A1896" s="3">
        <v>984633</v>
      </c>
      <c r="B1896" s="2" t="s">
        <v>27</v>
      </c>
      <c r="C1896">
        <v>27317</v>
      </c>
      <c r="D1896" s="2" t="s">
        <v>13</v>
      </c>
      <c r="E1896">
        <v>2</v>
      </c>
      <c r="F1896">
        <v>1</v>
      </c>
      <c r="G1896" s="4">
        <f>VALUE(SUBSTITUTE(SUBSTITUTE(Table1[[#This Row],[Price]],"$",""),",",""))</f>
        <v>984633</v>
      </c>
      <c r="H1896" s="1">
        <f>Table1[[#This Row],[Price2]]/Table1[[#This Row],[Area]]</f>
        <v>971.03846153846155</v>
      </c>
      <c r="I1896">
        <v>1014</v>
      </c>
      <c r="J1896">
        <v>1989</v>
      </c>
      <c r="K1896">
        <v>105</v>
      </c>
      <c r="L1896" t="s">
        <v>52</v>
      </c>
      <c r="M1896" t="s">
        <v>616</v>
      </c>
      <c r="N1896" s="2" t="s">
        <v>3027</v>
      </c>
      <c r="O1896" t="s">
        <v>3028</v>
      </c>
      <c r="P1896" t="s">
        <v>21</v>
      </c>
      <c r="Q1896">
        <v>971.03846153846155</v>
      </c>
      <c r="R1896">
        <f ca="1">YEAR(TODAY())-Table1[[#This Row],[Year Built]]</f>
        <v>37</v>
      </c>
      <c r="S1896" t="str">
        <f>IF(Table1[[#This Row],[Days on Market]] &lt; 30,"Fast",IF(Table1[[#This Row],[Days on Market]]&lt;= 90,"Average", "Slow"))</f>
        <v>Slow</v>
      </c>
      <c r="T1896" t="str">
        <f>IF(Table1[[#This Row],[Price2]]&lt;500000,"Affordable",IF(Table1[[#This Row],[Price2]]&lt;1000000,"Mid range","Luxury"))</f>
        <v>Mid range</v>
      </c>
    </row>
    <row r="1897" spans="1:20" x14ac:dyDescent="0.35">
      <c r="A1897" s="3">
        <v>985654</v>
      </c>
      <c r="B1897" s="2" t="s">
        <v>27</v>
      </c>
      <c r="C1897">
        <v>61336</v>
      </c>
      <c r="D1897" s="2" t="s">
        <v>35</v>
      </c>
      <c r="E1897">
        <v>6</v>
      </c>
      <c r="F1897">
        <v>2</v>
      </c>
      <c r="G1897" s="4">
        <f>VALUE(SUBSTITUTE(SUBSTITUTE(Table1[[#This Row],[Price]],"$",""),",",""))</f>
        <v>985654</v>
      </c>
      <c r="H1897" s="1">
        <f>Table1[[#This Row],[Price2]]/Table1[[#This Row],[Area]]</f>
        <v>261.03125</v>
      </c>
      <c r="I1897">
        <v>3776</v>
      </c>
      <c r="J1897">
        <v>2018</v>
      </c>
      <c r="K1897">
        <v>100</v>
      </c>
      <c r="L1897" t="s">
        <v>30</v>
      </c>
      <c r="M1897" t="s">
        <v>975</v>
      </c>
      <c r="N1897" s="2" t="s">
        <v>3033</v>
      </c>
      <c r="O1897" t="s">
        <v>3034</v>
      </c>
      <c r="P1897" t="s">
        <v>21</v>
      </c>
      <c r="Q1897">
        <v>261.03125</v>
      </c>
      <c r="R1897">
        <f ca="1">YEAR(TODAY())-Table1[[#This Row],[Year Built]]</f>
        <v>8</v>
      </c>
      <c r="S1897" t="str">
        <f>IF(Table1[[#This Row],[Days on Market]] &lt; 30,"Fast",IF(Table1[[#This Row],[Days on Market]]&lt;= 90,"Average", "Slow"))</f>
        <v>Slow</v>
      </c>
      <c r="T1897" t="str">
        <f>IF(Table1[[#This Row],[Price2]]&lt;500000,"Affordable",IF(Table1[[#This Row],[Price2]]&lt;1000000,"Mid range","Luxury"))</f>
        <v>Mid range</v>
      </c>
    </row>
    <row r="1898" spans="1:20" x14ac:dyDescent="0.35">
      <c r="A1898" s="3">
        <v>985809</v>
      </c>
      <c r="B1898" s="2" t="s">
        <v>12</v>
      </c>
      <c r="C1898">
        <v>57110</v>
      </c>
      <c r="D1898" s="2" t="s">
        <v>18</v>
      </c>
      <c r="E1898">
        <v>4</v>
      </c>
      <c r="F1898">
        <v>4</v>
      </c>
      <c r="G1898" s="4">
        <f>VALUE(SUBSTITUTE(SUBSTITUTE(Table1[[#This Row],[Price]],"$",""),",",""))</f>
        <v>985809</v>
      </c>
      <c r="H1898" s="1">
        <f>Table1[[#This Row],[Price2]]/Table1[[#This Row],[Area]]</f>
        <v>503.47752808988764</v>
      </c>
      <c r="I1898">
        <v>1958</v>
      </c>
      <c r="J1898">
        <v>1979</v>
      </c>
      <c r="K1898">
        <v>19</v>
      </c>
      <c r="L1898" t="s">
        <v>19</v>
      </c>
      <c r="M1898" t="s">
        <v>1118</v>
      </c>
      <c r="N1898" s="2" t="s">
        <v>3031</v>
      </c>
      <c r="O1898" t="s">
        <v>3032</v>
      </c>
      <c r="P1898" t="s">
        <v>26</v>
      </c>
      <c r="Q1898">
        <v>503.47752808988764</v>
      </c>
      <c r="R1898">
        <f ca="1">YEAR(TODAY())-Table1[[#This Row],[Year Built]]</f>
        <v>47</v>
      </c>
      <c r="S1898" t="str">
        <f>IF(Table1[[#This Row],[Days on Market]] &lt; 30,"Fast",IF(Table1[[#This Row],[Days on Market]]&lt;= 90,"Average", "Slow"))</f>
        <v>Fast</v>
      </c>
      <c r="T1898" t="str">
        <f>IF(Table1[[#This Row],[Price2]]&lt;500000,"Affordable",IF(Table1[[#This Row],[Price2]]&lt;1000000,"Mid range","Luxury"))</f>
        <v>Mid range</v>
      </c>
    </row>
    <row r="1899" spans="1:20" x14ac:dyDescent="0.35">
      <c r="A1899" s="3">
        <v>985816</v>
      </c>
      <c r="B1899" s="2" t="s">
        <v>27</v>
      </c>
      <c r="C1899">
        <v>43488</v>
      </c>
      <c r="D1899" s="2" t="s">
        <v>23</v>
      </c>
      <c r="E1899">
        <v>5</v>
      </c>
      <c r="F1899">
        <v>3</v>
      </c>
      <c r="G1899" s="4">
        <f>VALUE(SUBSTITUTE(SUBSTITUTE(Table1[[#This Row],[Price]],"$",""),",",""))</f>
        <v>985816</v>
      </c>
      <c r="H1899" s="1">
        <f>Table1[[#This Row],[Price2]]/Table1[[#This Row],[Area]]</f>
        <v>296.57521058965102</v>
      </c>
      <c r="I1899">
        <v>3324</v>
      </c>
      <c r="J1899">
        <v>1968</v>
      </c>
      <c r="K1899">
        <v>15</v>
      </c>
      <c r="L1899" t="s">
        <v>14</v>
      </c>
      <c r="M1899" t="s">
        <v>2848</v>
      </c>
      <c r="N1899" s="2" t="s">
        <v>3035</v>
      </c>
      <c r="O1899" t="s">
        <v>3036</v>
      </c>
      <c r="P1899" t="s">
        <v>26</v>
      </c>
      <c r="Q1899">
        <v>296.57521058965102</v>
      </c>
      <c r="R1899">
        <f ca="1">YEAR(TODAY())-Table1[[#This Row],[Year Built]]</f>
        <v>58</v>
      </c>
      <c r="S1899" t="str">
        <f>IF(Table1[[#This Row],[Days on Market]] &lt; 30,"Fast",IF(Table1[[#This Row],[Days on Market]]&lt;= 90,"Average", "Slow"))</f>
        <v>Fast</v>
      </c>
      <c r="T1899" t="str">
        <f>IF(Table1[[#This Row],[Price2]]&lt;500000,"Affordable",IF(Table1[[#This Row],[Price2]]&lt;1000000,"Mid range","Luxury"))</f>
        <v>Mid range</v>
      </c>
    </row>
    <row r="1900" spans="1:20" x14ac:dyDescent="0.35">
      <c r="A1900" s="3">
        <v>987535</v>
      </c>
      <c r="B1900" s="2" t="s">
        <v>12</v>
      </c>
      <c r="C1900">
        <v>32402</v>
      </c>
      <c r="D1900" s="2" t="s">
        <v>35</v>
      </c>
      <c r="E1900">
        <v>6</v>
      </c>
      <c r="F1900">
        <v>3</v>
      </c>
      <c r="G1900" s="4">
        <f>VALUE(SUBSTITUTE(SUBSTITUTE(Table1[[#This Row],[Price]],"$",""),",",""))</f>
        <v>987535</v>
      </c>
      <c r="H1900" s="1">
        <f>Table1[[#This Row],[Price2]]/Table1[[#This Row],[Area]]</f>
        <v>441.45507375949933</v>
      </c>
      <c r="I1900">
        <v>2237</v>
      </c>
      <c r="J1900">
        <v>1987</v>
      </c>
      <c r="K1900">
        <v>105</v>
      </c>
      <c r="L1900" t="s">
        <v>40</v>
      </c>
      <c r="M1900" t="s">
        <v>2951</v>
      </c>
      <c r="N1900" s="2" t="s">
        <v>3035</v>
      </c>
      <c r="O1900" t="s">
        <v>3036</v>
      </c>
      <c r="P1900" t="s">
        <v>16</v>
      </c>
      <c r="Q1900">
        <v>441.45507375949933</v>
      </c>
      <c r="R1900">
        <f ca="1">YEAR(TODAY())-Table1[[#This Row],[Year Built]]</f>
        <v>39</v>
      </c>
      <c r="S1900" t="str">
        <f>IF(Table1[[#This Row],[Days on Market]] &lt; 30,"Fast",IF(Table1[[#This Row],[Days on Market]]&lt;= 90,"Average", "Slow"))</f>
        <v>Slow</v>
      </c>
      <c r="T1900" t="str">
        <f>IF(Table1[[#This Row],[Price2]]&lt;500000,"Affordable",IF(Table1[[#This Row],[Price2]]&lt;1000000,"Mid range","Luxury"))</f>
        <v>Mid range</v>
      </c>
    </row>
    <row r="1901" spans="1:20" x14ac:dyDescent="0.35">
      <c r="A1901" s="3">
        <v>987853</v>
      </c>
      <c r="B1901" s="2" t="s">
        <v>34</v>
      </c>
      <c r="C1901">
        <v>33938</v>
      </c>
      <c r="D1901" s="2" t="s">
        <v>35</v>
      </c>
      <c r="E1901">
        <v>6</v>
      </c>
      <c r="F1901">
        <v>2</v>
      </c>
      <c r="G1901" s="4">
        <f>VALUE(SUBSTITUTE(SUBSTITUTE(Table1[[#This Row],[Price]],"$",""),",",""))</f>
        <v>987853</v>
      </c>
      <c r="H1901" s="1">
        <f>Table1[[#This Row],[Price2]]/Table1[[#This Row],[Area]]</f>
        <v>715.83550724637678</v>
      </c>
      <c r="I1901">
        <v>1380</v>
      </c>
      <c r="J1901">
        <v>1964</v>
      </c>
      <c r="K1901">
        <v>85</v>
      </c>
      <c r="L1901" t="s">
        <v>14</v>
      </c>
      <c r="M1901" t="s">
        <v>304</v>
      </c>
      <c r="N1901" s="2" t="s">
        <v>3033</v>
      </c>
      <c r="O1901" t="s">
        <v>3034</v>
      </c>
      <c r="P1901" t="s">
        <v>21</v>
      </c>
      <c r="Q1901">
        <v>715.83550724637678</v>
      </c>
      <c r="R1901">
        <f ca="1">YEAR(TODAY())-Table1[[#This Row],[Year Built]]</f>
        <v>62</v>
      </c>
      <c r="S1901" t="str">
        <f>IF(Table1[[#This Row],[Days on Market]] &lt; 30,"Fast",IF(Table1[[#This Row],[Days on Market]]&lt;= 90,"Average", "Slow"))</f>
        <v>Average</v>
      </c>
      <c r="T1901" t="str">
        <f>IF(Table1[[#This Row],[Price2]]&lt;500000,"Affordable",IF(Table1[[#This Row],[Price2]]&lt;1000000,"Mid range","Luxury"))</f>
        <v>Mid range</v>
      </c>
    </row>
    <row r="1902" spans="1:20" x14ac:dyDescent="0.35">
      <c r="A1902" s="3">
        <v>987975</v>
      </c>
      <c r="B1902" s="2" t="s">
        <v>12</v>
      </c>
      <c r="C1902">
        <v>59583</v>
      </c>
      <c r="D1902" s="2" t="s">
        <v>23</v>
      </c>
      <c r="E1902">
        <v>3</v>
      </c>
      <c r="F1902">
        <v>2</v>
      </c>
      <c r="G1902" s="4">
        <f>VALUE(SUBSTITUTE(SUBSTITUTE(Table1[[#This Row],[Price]],"$",""),",",""))</f>
        <v>987975</v>
      </c>
      <c r="H1902" s="1">
        <f>Table1[[#This Row],[Price2]]/Table1[[#This Row],[Area]]</f>
        <v>697.72245762711862</v>
      </c>
      <c r="I1902">
        <v>1416</v>
      </c>
      <c r="J1902">
        <v>1978</v>
      </c>
      <c r="K1902">
        <v>90</v>
      </c>
      <c r="L1902" t="s">
        <v>19</v>
      </c>
      <c r="M1902" t="s">
        <v>579</v>
      </c>
      <c r="N1902" s="2" t="s">
        <v>3027</v>
      </c>
      <c r="O1902" t="s">
        <v>3028</v>
      </c>
      <c r="P1902" t="s">
        <v>16</v>
      </c>
      <c r="Q1902">
        <v>697.72245762711862</v>
      </c>
      <c r="R1902">
        <f ca="1">YEAR(TODAY())-Table1[[#This Row],[Year Built]]</f>
        <v>48</v>
      </c>
      <c r="S1902" t="str">
        <f>IF(Table1[[#This Row],[Days on Market]] &lt; 30,"Fast",IF(Table1[[#This Row],[Days on Market]]&lt;= 90,"Average", "Slow"))</f>
        <v>Average</v>
      </c>
      <c r="T1902" t="str">
        <f>IF(Table1[[#This Row],[Price2]]&lt;500000,"Affordable",IF(Table1[[#This Row],[Price2]]&lt;1000000,"Mid range","Luxury"))</f>
        <v>Mid range</v>
      </c>
    </row>
    <row r="1903" spans="1:20" x14ac:dyDescent="0.35">
      <c r="A1903" s="3">
        <v>988161</v>
      </c>
      <c r="B1903" s="2" t="s">
        <v>17</v>
      </c>
      <c r="C1903">
        <v>97897</v>
      </c>
      <c r="D1903" s="2" t="s">
        <v>29</v>
      </c>
      <c r="E1903">
        <v>6</v>
      </c>
      <c r="F1903">
        <v>4</v>
      </c>
      <c r="G1903" s="4">
        <f>VALUE(SUBSTITUTE(SUBSTITUTE(Table1[[#This Row],[Price]],"$",""),",",""))</f>
        <v>988161</v>
      </c>
      <c r="H1903" s="1">
        <f>Table1[[#This Row],[Price2]]/Table1[[#This Row],[Area]]</f>
        <v>926.98030018761722</v>
      </c>
      <c r="I1903">
        <v>1066</v>
      </c>
      <c r="J1903">
        <v>2005</v>
      </c>
      <c r="K1903">
        <v>105</v>
      </c>
      <c r="L1903" t="s">
        <v>40</v>
      </c>
      <c r="M1903" t="s">
        <v>2485</v>
      </c>
      <c r="N1903" s="2" t="s">
        <v>3029</v>
      </c>
      <c r="O1903" t="s">
        <v>3030</v>
      </c>
      <c r="P1903" t="s">
        <v>16</v>
      </c>
      <c r="Q1903">
        <v>926.98030018761722</v>
      </c>
      <c r="R1903">
        <f ca="1">YEAR(TODAY())-Table1[[#This Row],[Year Built]]</f>
        <v>21</v>
      </c>
      <c r="S1903" t="str">
        <f>IF(Table1[[#This Row],[Days on Market]] &lt; 30,"Fast",IF(Table1[[#This Row],[Days on Market]]&lt;= 90,"Average", "Slow"))</f>
        <v>Slow</v>
      </c>
      <c r="T1903" t="str">
        <f>IF(Table1[[#This Row],[Price2]]&lt;500000,"Affordable",IF(Table1[[#This Row],[Price2]]&lt;1000000,"Mid range","Luxury"))</f>
        <v>Mid range</v>
      </c>
    </row>
    <row r="1904" spans="1:20" x14ac:dyDescent="0.35">
      <c r="A1904" s="3">
        <v>989357</v>
      </c>
      <c r="B1904" s="2" t="s">
        <v>12</v>
      </c>
      <c r="C1904">
        <v>58479</v>
      </c>
      <c r="D1904" s="2" t="s">
        <v>18</v>
      </c>
      <c r="E1904">
        <v>1</v>
      </c>
      <c r="F1904">
        <v>1</v>
      </c>
      <c r="G1904" s="4">
        <f>VALUE(SUBSTITUTE(SUBSTITUTE(Table1[[#This Row],[Price]],"$",""),",",""))</f>
        <v>989357</v>
      </c>
      <c r="H1904" s="1">
        <f>Table1[[#This Row],[Price2]]/Table1[[#This Row],[Area]]</f>
        <v>575.20755813953485</v>
      </c>
      <c r="I1904">
        <v>1720</v>
      </c>
      <c r="J1904">
        <v>1991</v>
      </c>
      <c r="K1904">
        <v>102</v>
      </c>
      <c r="L1904" t="s">
        <v>19</v>
      </c>
      <c r="M1904" t="s">
        <v>1713</v>
      </c>
      <c r="N1904" s="2" t="s">
        <v>3029</v>
      </c>
      <c r="O1904" t="s">
        <v>3030</v>
      </c>
      <c r="P1904" t="s">
        <v>16</v>
      </c>
      <c r="Q1904">
        <v>575.20755813953485</v>
      </c>
      <c r="R1904">
        <f ca="1">YEAR(TODAY())-Table1[[#This Row],[Year Built]]</f>
        <v>35</v>
      </c>
      <c r="S1904" t="str">
        <f>IF(Table1[[#This Row],[Days on Market]] &lt; 30,"Fast",IF(Table1[[#This Row],[Days on Market]]&lt;= 90,"Average", "Slow"))</f>
        <v>Slow</v>
      </c>
      <c r="T1904" t="str">
        <f>IF(Table1[[#This Row],[Price2]]&lt;500000,"Affordable",IF(Table1[[#This Row],[Price2]]&lt;1000000,"Mid range","Luxury"))</f>
        <v>Mid range</v>
      </c>
    </row>
    <row r="1905" spans="1:20" x14ac:dyDescent="0.35">
      <c r="A1905" s="3">
        <v>989896</v>
      </c>
      <c r="B1905" s="2" t="s">
        <v>34</v>
      </c>
      <c r="C1905">
        <v>51805</v>
      </c>
      <c r="D1905" s="2" t="s">
        <v>29</v>
      </c>
      <c r="E1905">
        <v>3</v>
      </c>
      <c r="F1905">
        <v>4</v>
      </c>
      <c r="G1905" s="4">
        <f>VALUE(SUBSTITUTE(SUBSTITUTE(Table1[[#This Row],[Price]],"$",""),",",""))</f>
        <v>989896</v>
      </c>
      <c r="H1905" s="1">
        <f>Table1[[#This Row],[Price2]]/Table1[[#This Row],[Area]]</f>
        <v>302.16605616605619</v>
      </c>
      <c r="I1905">
        <v>3276</v>
      </c>
      <c r="J1905">
        <v>1998</v>
      </c>
      <c r="K1905">
        <v>78</v>
      </c>
      <c r="L1905" t="s">
        <v>19</v>
      </c>
      <c r="M1905" t="s">
        <v>2672</v>
      </c>
      <c r="N1905" s="2" t="s">
        <v>3033</v>
      </c>
      <c r="O1905" t="s">
        <v>3034</v>
      </c>
      <c r="P1905" t="s">
        <v>21</v>
      </c>
      <c r="Q1905">
        <v>302.16605616605619</v>
      </c>
      <c r="R1905">
        <f ca="1">YEAR(TODAY())-Table1[[#This Row],[Year Built]]</f>
        <v>28</v>
      </c>
      <c r="S1905" t="str">
        <f>IF(Table1[[#This Row],[Days on Market]] &lt; 30,"Fast",IF(Table1[[#This Row],[Days on Market]]&lt;= 90,"Average", "Slow"))</f>
        <v>Average</v>
      </c>
      <c r="T1905" t="str">
        <f>IF(Table1[[#This Row],[Price2]]&lt;500000,"Affordable",IF(Table1[[#This Row],[Price2]]&lt;1000000,"Mid range","Luxury"))</f>
        <v>Mid range</v>
      </c>
    </row>
    <row r="1906" spans="1:20" x14ac:dyDescent="0.35">
      <c r="A1906" s="3">
        <v>989898</v>
      </c>
      <c r="B1906" s="2" t="s">
        <v>34</v>
      </c>
      <c r="C1906">
        <v>58605</v>
      </c>
      <c r="D1906" s="2" t="s">
        <v>18</v>
      </c>
      <c r="E1906">
        <v>3</v>
      </c>
      <c r="F1906">
        <v>2</v>
      </c>
      <c r="G1906" s="4">
        <f>VALUE(SUBSTITUTE(SUBSTITUTE(Table1[[#This Row],[Price]],"$",""),",",""))</f>
        <v>989898</v>
      </c>
      <c r="H1906" s="1">
        <f>Table1[[#This Row],[Price2]]/Table1[[#This Row],[Area]]</f>
        <v>631.71537970644545</v>
      </c>
      <c r="I1906">
        <v>1567</v>
      </c>
      <c r="J1906">
        <v>2011</v>
      </c>
      <c r="K1906">
        <v>118</v>
      </c>
      <c r="L1906" t="s">
        <v>19</v>
      </c>
      <c r="M1906" t="s">
        <v>2105</v>
      </c>
      <c r="N1906" s="2" t="s">
        <v>3029</v>
      </c>
      <c r="O1906" t="s">
        <v>3030</v>
      </c>
      <c r="P1906" t="s">
        <v>26</v>
      </c>
      <c r="Q1906">
        <v>631.71537970644545</v>
      </c>
      <c r="R1906">
        <f ca="1">YEAR(TODAY())-Table1[[#This Row],[Year Built]]</f>
        <v>15</v>
      </c>
      <c r="S1906" t="str">
        <f>IF(Table1[[#This Row],[Days on Market]] &lt; 30,"Fast",IF(Table1[[#This Row],[Days on Market]]&lt;= 90,"Average", "Slow"))</f>
        <v>Slow</v>
      </c>
      <c r="T1906" t="str">
        <f>IF(Table1[[#This Row],[Price2]]&lt;500000,"Affordable",IF(Table1[[#This Row],[Price2]]&lt;1000000,"Mid range","Luxury"))</f>
        <v>Mid range</v>
      </c>
    </row>
    <row r="1907" spans="1:20" x14ac:dyDescent="0.35">
      <c r="A1907" s="3">
        <v>991560</v>
      </c>
      <c r="B1907" s="2" t="s">
        <v>17</v>
      </c>
      <c r="C1907">
        <v>17782</v>
      </c>
      <c r="D1907" s="2" t="s">
        <v>13</v>
      </c>
      <c r="E1907">
        <v>3</v>
      </c>
      <c r="F1907">
        <v>1</v>
      </c>
      <c r="G1907" s="4">
        <f>VALUE(SUBSTITUTE(SUBSTITUTE(Table1[[#This Row],[Price]],"$",""),",",""))</f>
        <v>991560</v>
      </c>
      <c r="H1907" s="1">
        <f>Table1[[#This Row],[Price2]]/Table1[[#This Row],[Area]]</f>
        <v>275.89315525876458</v>
      </c>
      <c r="I1907">
        <v>3594</v>
      </c>
      <c r="J1907">
        <v>2004</v>
      </c>
      <c r="K1907">
        <v>32</v>
      </c>
      <c r="L1907" t="s">
        <v>40</v>
      </c>
      <c r="M1907" t="s">
        <v>210</v>
      </c>
      <c r="N1907" s="2" t="s">
        <v>3029</v>
      </c>
      <c r="O1907" t="s">
        <v>3030</v>
      </c>
      <c r="P1907" t="s">
        <v>16</v>
      </c>
      <c r="Q1907">
        <v>275.89315525876458</v>
      </c>
      <c r="R1907">
        <f ca="1">YEAR(TODAY())-Table1[[#This Row],[Year Built]]</f>
        <v>22</v>
      </c>
      <c r="S1907" t="str">
        <f>IF(Table1[[#This Row],[Days on Market]] &lt; 30,"Fast",IF(Table1[[#This Row],[Days on Market]]&lt;= 90,"Average", "Slow"))</f>
        <v>Average</v>
      </c>
      <c r="T1907" t="str">
        <f>IF(Table1[[#This Row],[Price2]]&lt;500000,"Affordable",IF(Table1[[#This Row],[Price2]]&lt;1000000,"Mid range","Luxury"))</f>
        <v>Mid range</v>
      </c>
    </row>
    <row r="1908" spans="1:20" x14ac:dyDescent="0.35">
      <c r="A1908" s="3">
        <v>991672</v>
      </c>
      <c r="B1908" s="2" t="s">
        <v>22</v>
      </c>
      <c r="C1908">
        <v>59736</v>
      </c>
      <c r="D1908" s="2" t="s">
        <v>18</v>
      </c>
      <c r="E1908">
        <v>1</v>
      </c>
      <c r="F1908">
        <v>3</v>
      </c>
      <c r="G1908" s="4">
        <f>VALUE(SUBSTITUTE(SUBSTITUTE(Table1[[#This Row],[Price]],"$",""),",",""))</f>
        <v>991672</v>
      </c>
      <c r="H1908" s="1">
        <f>Table1[[#This Row],[Price2]]/Table1[[#This Row],[Area]]</f>
        <v>1647.2956810631229</v>
      </c>
      <c r="I1908">
        <v>602</v>
      </c>
      <c r="J1908">
        <v>1977</v>
      </c>
      <c r="K1908">
        <v>45</v>
      </c>
      <c r="L1908" t="s">
        <v>30</v>
      </c>
      <c r="M1908" t="s">
        <v>2087</v>
      </c>
      <c r="N1908" s="2" t="s">
        <v>3033</v>
      </c>
      <c r="O1908" t="s">
        <v>3034</v>
      </c>
      <c r="P1908" t="s">
        <v>26</v>
      </c>
      <c r="Q1908">
        <v>1647.2956810631229</v>
      </c>
      <c r="R1908">
        <f ca="1">YEAR(TODAY())-Table1[[#This Row],[Year Built]]</f>
        <v>49</v>
      </c>
      <c r="S1908" t="str">
        <f>IF(Table1[[#This Row],[Days on Market]] &lt; 30,"Fast",IF(Table1[[#This Row],[Days on Market]]&lt;= 90,"Average", "Slow"))</f>
        <v>Average</v>
      </c>
      <c r="T1908" t="str">
        <f>IF(Table1[[#This Row],[Price2]]&lt;500000,"Affordable",IF(Table1[[#This Row],[Price2]]&lt;1000000,"Mid range","Luxury"))</f>
        <v>Mid range</v>
      </c>
    </row>
    <row r="1909" spans="1:20" x14ac:dyDescent="0.35">
      <c r="A1909" s="3">
        <v>991924</v>
      </c>
      <c r="B1909" s="2" t="s">
        <v>27</v>
      </c>
      <c r="C1909">
        <v>45099</v>
      </c>
      <c r="D1909" s="2" t="s">
        <v>13</v>
      </c>
      <c r="E1909">
        <v>6</v>
      </c>
      <c r="F1909">
        <v>2</v>
      </c>
      <c r="G1909" s="4">
        <f>VALUE(SUBSTITUTE(SUBSTITUTE(Table1[[#This Row],[Price]],"$",""),",",""))</f>
        <v>991924</v>
      </c>
      <c r="H1909" s="1">
        <f>Table1[[#This Row],[Price2]]/Table1[[#This Row],[Area]]</f>
        <v>536.17513513513518</v>
      </c>
      <c r="I1909">
        <v>1850</v>
      </c>
      <c r="J1909">
        <v>1975</v>
      </c>
      <c r="K1909">
        <v>25</v>
      </c>
      <c r="L1909" t="s">
        <v>30</v>
      </c>
      <c r="M1909" t="s">
        <v>1792</v>
      </c>
      <c r="N1909" s="2" t="s">
        <v>3029</v>
      </c>
      <c r="O1909" t="s">
        <v>3030</v>
      </c>
      <c r="P1909" t="s">
        <v>16</v>
      </c>
      <c r="Q1909">
        <v>536.17513513513518</v>
      </c>
      <c r="R1909">
        <f ca="1">YEAR(TODAY())-Table1[[#This Row],[Year Built]]</f>
        <v>51</v>
      </c>
      <c r="S1909" t="str">
        <f>IF(Table1[[#This Row],[Days on Market]] &lt; 30,"Fast",IF(Table1[[#This Row],[Days on Market]]&lt;= 90,"Average", "Slow"))</f>
        <v>Fast</v>
      </c>
      <c r="T1909" t="str">
        <f>IF(Table1[[#This Row],[Price2]]&lt;500000,"Affordable",IF(Table1[[#This Row],[Price2]]&lt;1000000,"Mid range","Luxury"))</f>
        <v>Mid range</v>
      </c>
    </row>
    <row r="1910" spans="1:20" x14ac:dyDescent="0.35">
      <c r="A1910" s="3">
        <v>992014</v>
      </c>
      <c r="B1910" s="2" t="s">
        <v>34</v>
      </c>
      <c r="C1910">
        <v>85572</v>
      </c>
      <c r="D1910" s="2" t="s">
        <v>35</v>
      </c>
      <c r="E1910">
        <v>4</v>
      </c>
      <c r="F1910">
        <v>2</v>
      </c>
      <c r="G1910" s="4">
        <f>VALUE(SUBSTITUTE(SUBSTITUTE(Table1[[#This Row],[Price]],"$",""),",",""))</f>
        <v>992014</v>
      </c>
      <c r="H1910" s="1">
        <f>Table1[[#This Row],[Price2]]/Table1[[#This Row],[Area]]</f>
        <v>668.02289562289559</v>
      </c>
      <c r="I1910">
        <v>1485</v>
      </c>
      <c r="J1910">
        <v>1994</v>
      </c>
      <c r="K1910">
        <v>105</v>
      </c>
      <c r="L1910" t="s">
        <v>30</v>
      </c>
      <c r="M1910" t="s">
        <v>2218</v>
      </c>
      <c r="N1910" s="2" t="s">
        <v>3029</v>
      </c>
      <c r="O1910" t="s">
        <v>3030</v>
      </c>
      <c r="P1910" t="s">
        <v>26</v>
      </c>
      <c r="Q1910">
        <v>668.02289562289559</v>
      </c>
      <c r="R1910">
        <f ca="1">YEAR(TODAY())-Table1[[#This Row],[Year Built]]</f>
        <v>32</v>
      </c>
      <c r="S1910" t="str">
        <f>IF(Table1[[#This Row],[Days on Market]] &lt; 30,"Fast",IF(Table1[[#This Row],[Days on Market]]&lt;= 90,"Average", "Slow"))</f>
        <v>Slow</v>
      </c>
      <c r="T1910" t="str">
        <f>IF(Table1[[#This Row],[Price2]]&lt;500000,"Affordable",IF(Table1[[#This Row],[Price2]]&lt;1000000,"Mid range","Luxury"))</f>
        <v>Mid range</v>
      </c>
    </row>
    <row r="1911" spans="1:20" x14ac:dyDescent="0.35">
      <c r="A1911" s="3">
        <v>992302</v>
      </c>
      <c r="B1911" s="2" t="s">
        <v>34</v>
      </c>
      <c r="C1911">
        <v>92828</v>
      </c>
      <c r="D1911" s="2" t="s">
        <v>13</v>
      </c>
      <c r="E1911">
        <v>5</v>
      </c>
      <c r="F1911">
        <v>3</v>
      </c>
      <c r="G1911" s="4">
        <f>VALUE(SUBSTITUTE(SUBSTITUTE(Table1[[#This Row],[Price]],"$",""),",",""))</f>
        <v>992302</v>
      </c>
      <c r="H1911" s="1">
        <f>Table1[[#This Row],[Price2]]/Table1[[#This Row],[Area]]</f>
        <v>293.66735720627406</v>
      </c>
      <c r="I1911">
        <v>3379</v>
      </c>
      <c r="J1911">
        <v>1982</v>
      </c>
      <c r="K1911">
        <v>32</v>
      </c>
      <c r="L1911" t="s">
        <v>14</v>
      </c>
      <c r="M1911" t="s">
        <v>2048</v>
      </c>
      <c r="N1911" s="2" t="s">
        <v>3033</v>
      </c>
      <c r="O1911" t="s">
        <v>3034</v>
      </c>
      <c r="P1911" t="s">
        <v>21</v>
      </c>
      <c r="Q1911">
        <v>293.66735720627406</v>
      </c>
      <c r="R1911">
        <f ca="1">YEAR(TODAY())-Table1[[#This Row],[Year Built]]</f>
        <v>44</v>
      </c>
      <c r="S1911" t="str">
        <f>IF(Table1[[#This Row],[Days on Market]] &lt; 30,"Fast",IF(Table1[[#This Row],[Days on Market]]&lt;= 90,"Average", "Slow"))</f>
        <v>Average</v>
      </c>
      <c r="T1911" t="str">
        <f>IF(Table1[[#This Row],[Price2]]&lt;500000,"Affordable",IF(Table1[[#This Row],[Price2]]&lt;1000000,"Mid range","Luxury"))</f>
        <v>Mid range</v>
      </c>
    </row>
    <row r="1912" spans="1:20" x14ac:dyDescent="0.35">
      <c r="A1912" s="3">
        <v>992311</v>
      </c>
      <c r="B1912" s="2" t="s">
        <v>12</v>
      </c>
      <c r="C1912">
        <v>46465</v>
      </c>
      <c r="D1912" s="2" t="s">
        <v>18</v>
      </c>
      <c r="E1912">
        <v>6</v>
      </c>
      <c r="F1912">
        <v>2</v>
      </c>
      <c r="G1912" s="4">
        <f>VALUE(SUBSTITUTE(SUBSTITUTE(Table1[[#This Row],[Price]],"$",""),",",""))</f>
        <v>992311</v>
      </c>
      <c r="H1912" s="1">
        <f>Table1[[#This Row],[Price2]]/Table1[[#This Row],[Area]]</f>
        <v>395.81611487834067</v>
      </c>
      <c r="I1912">
        <v>2507</v>
      </c>
      <c r="J1912">
        <v>2008</v>
      </c>
      <c r="K1912">
        <v>27</v>
      </c>
      <c r="L1912" t="s">
        <v>30</v>
      </c>
      <c r="M1912" t="s">
        <v>2518</v>
      </c>
      <c r="N1912" s="2" t="s">
        <v>3029</v>
      </c>
      <c r="O1912" t="s">
        <v>3030</v>
      </c>
      <c r="P1912" t="s">
        <v>16</v>
      </c>
      <c r="Q1912">
        <v>395.81611487834067</v>
      </c>
      <c r="R1912">
        <f ca="1">YEAR(TODAY())-Table1[[#This Row],[Year Built]]</f>
        <v>18</v>
      </c>
      <c r="S1912" t="str">
        <f>IF(Table1[[#This Row],[Days on Market]] &lt; 30,"Fast",IF(Table1[[#This Row],[Days on Market]]&lt;= 90,"Average", "Slow"))</f>
        <v>Fast</v>
      </c>
      <c r="T1912" t="str">
        <f>IF(Table1[[#This Row],[Price2]]&lt;500000,"Affordable",IF(Table1[[#This Row],[Price2]]&lt;1000000,"Mid range","Luxury"))</f>
        <v>Mid range</v>
      </c>
    </row>
    <row r="1913" spans="1:20" x14ac:dyDescent="0.35">
      <c r="A1913" s="3">
        <v>992364</v>
      </c>
      <c r="B1913" s="2" t="s">
        <v>22</v>
      </c>
      <c r="C1913">
        <v>39898</v>
      </c>
      <c r="D1913" s="2" t="s">
        <v>23</v>
      </c>
      <c r="E1913">
        <v>3</v>
      </c>
      <c r="F1913">
        <v>3</v>
      </c>
      <c r="G1913" s="4">
        <f>VALUE(SUBSTITUTE(SUBSTITUTE(Table1[[#This Row],[Price]],"$",""),",",""))</f>
        <v>992364</v>
      </c>
      <c r="H1913" s="1">
        <f>Table1[[#This Row],[Price2]]/Table1[[#This Row],[Area]]</f>
        <v>1217.6245398773005</v>
      </c>
      <c r="I1913">
        <v>815</v>
      </c>
      <c r="J1913">
        <v>1988</v>
      </c>
      <c r="K1913">
        <v>93</v>
      </c>
      <c r="L1913" t="s">
        <v>14</v>
      </c>
      <c r="M1913" t="s">
        <v>418</v>
      </c>
      <c r="N1913" s="2" t="s">
        <v>3027</v>
      </c>
      <c r="O1913" t="s">
        <v>3028</v>
      </c>
      <c r="P1913" t="s">
        <v>26</v>
      </c>
      <c r="Q1913">
        <v>1217.6245398773005</v>
      </c>
      <c r="R1913">
        <f ca="1">YEAR(TODAY())-Table1[[#This Row],[Year Built]]</f>
        <v>38</v>
      </c>
      <c r="S1913" t="str">
        <f>IF(Table1[[#This Row],[Days on Market]] &lt; 30,"Fast",IF(Table1[[#This Row],[Days on Market]]&lt;= 90,"Average", "Slow"))</f>
        <v>Slow</v>
      </c>
      <c r="T1913" t="str">
        <f>IF(Table1[[#This Row],[Price2]]&lt;500000,"Affordable",IF(Table1[[#This Row],[Price2]]&lt;1000000,"Mid range","Luxury"))</f>
        <v>Mid range</v>
      </c>
    </row>
    <row r="1914" spans="1:20" x14ac:dyDescent="0.35">
      <c r="A1914" s="3">
        <v>992809</v>
      </c>
      <c r="B1914" s="2" t="s">
        <v>22</v>
      </c>
      <c r="C1914">
        <v>99458</v>
      </c>
      <c r="D1914" s="2" t="s">
        <v>18</v>
      </c>
      <c r="E1914">
        <v>1</v>
      </c>
      <c r="F1914">
        <v>2</v>
      </c>
      <c r="G1914" s="4">
        <f>VALUE(SUBSTITUTE(SUBSTITUTE(Table1[[#This Row],[Price]],"$",""),",",""))</f>
        <v>992809</v>
      </c>
      <c r="H1914" s="1">
        <f>Table1[[#This Row],[Price2]]/Table1[[#This Row],[Area]]</f>
        <v>389.18424147393176</v>
      </c>
      <c r="I1914">
        <v>2551</v>
      </c>
      <c r="J1914">
        <v>1951</v>
      </c>
      <c r="K1914">
        <v>25</v>
      </c>
      <c r="L1914" t="s">
        <v>40</v>
      </c>
      <c r="M1914" t="s">
        <v>1823</v>
      </c>
      <c r="N1914" s="2" t="s">
        <v>3027</v>
      </c>
      <c r="O1914" t="s">
        <v>3028</v>
      </c>
      <c r="P1914" t="s">
        <v>16</v>
      </c>
      <c r="Q1914">
        <v>389.18424147393176</v>
      </c>
      <c r="R1914">
        <f ca="1">YEAR(TODAY())-Table1[[#This Row],[Year Built]]</f>
        <v>75</v>
      </c>
      <c r="S1914" t="str">
        <f>IF(Table1[[#This Row],[Days on Market]] &lt; 30,"Fast",IF(Table1[[#This Row],[Days on Market]]&lt;= 90,"Average", "Slow"))</f>
        <v>Fast</v>
      </c>
      <c r="T1914" t="str">
        <f>IF(Table1[[#This Row],[Price2]]&lt;500000,"Affordable",IF(Table1[[#This Row],[Price2]]&lt;1000000,"Mid range","Luxury"))</f>
        <v>Mid range</v>
      </c>
    </row>
    <row r="1915" spans="1:20" x14ac:dyDescent="0.35">
      <c r="A1915" s="3">
        <v>992882</v>
      </c>
      <c r="B1915" s="2" t="s">
        <v>17</v>
      </c>
      <c r="C1915">
        <v>93607</v>
      </c>
      <c r="D1915" s="2" t="s">
        <v>18</v>
      </c>
      <c r="E1915">
        <v>5</v>
      </c>
      <c r="F1915">
        <v>4</v>
      </c>
      <c r="G1915" s="4">
        <f>VALUE(SUBSTITUTE(SUBSTITUTE(Table1[[#This Row],[Price]],"$",""),",",""))</f>
        <v>992882</v>
      </c>
      <c r="H1915" s="1">
        <f>Table1[[#This Row],[Price2]]/Table1[[#This Row],[Area]]</f>
        <v>273.67199558985669</v>
      </c>
      <c r="I1915">
        <v>3628</v>
      </c>
      <c r="J1915">
        <v>1984</v>
      </c>
      <c r="K1915">
        <v>118</v>
      </c>
      <c r="L1915" t="s">
        <v>40</v>
      </c>
      <c r="M1915" t="s">
        <v>2154</v>
      </c>
      <c r="N1915" s="2" t="s">
        <v>3033</v>
      </c>
      <c r="O1915" t="s">
        <v>3034</v>
      </c>
      <c r="P1915" t="s">
        <v>16</v>
      </c>
      <c r="Q1915">
        <v>273.67199558985669</v>
      </c>
      <c r="R1915">
        <f ca="1">YEAR(TODAY())-Table1[[#This Row],[Year Built]]</f>
        <v>42</v>
      </c>
      <c r="S1915" t="str">
        <f>IF(Table1[[#This Row],[Days on Market]] &lt; 30,"Fast",IF(Table1[[#This Row],[Days on Market]]&lt;= 90,"Average", "Slow"))</f>
        <v>Slow</v>
      </c>
      <c r="T1915" t="str">
        <f>IF(Table1[[#This Row],[Price2]]&lt;500000,"Affordable",IF(Table1[[#This Row],[Price2]]&lt;1000000,"Mid range","Luxury"))</f>
        <v>Mid range</v>
      </c>
    </row>
    <row r="1916" spans="1:20" x14ac:dyDescent="0.35">
      <c r="A1916" s="3">
        <v>993011</v>
      </c>
      <c r="B1916" s="2" t="s">
        <v>34</v>
      </c>
      <c r="C1916">
        <v>89904</v>
      </c>
      <c r="D1916" s="2" t="s">
        <v>29</v>
      </c>
      <c r="E1916">
        <v>5</v>
      </c>
      <c r="F1916">
        <v>1</v>
      </c>
      <c r="G1916" s="4">
        <f>VALUE(SUBSTITUTE(SUBSTITUTE(Table1[[#This Row],[Price]],"$",""),",",""))</f>
        <v>993011</v>
      </c>
      <c r="H1916" s="1">
        <f>Table1[[#This Row],[Price2]]/Table1[[#This Row],[Area]]</f>
        <v>501.77412834765033</v>
      </c>
      <c r="I1916">
        <v>1979</v>
      </c>
      <c r="J1916">
        <v>1960</v>
      </c>
      <c r="K1916">
        <v>106</v>
      </c>
      <c r="L1916" t="s">
        <v>30</v>
      </c>
      <c r="M1916" t="s">
        <v>1741</v>
      </c>
      <c r="N1916" s="2" t="s">
        <v>3027</v>
      </c>
      <c r="O1916" t="s">
        <v>3028</v>
      </c>
      <c r="P1916" t="s">
        <v>16</v>
      </c>
      <c r="Q1916">
        <v>501.77412834765033</v>
      </c>
      <c r="R1916">
        <f ca="1">YEAR(TODAY())-Table1[[#This Row],[Year Built]]</f>
        <v>66</v>
      </c>
      <c r="S1916" t="str">
        <f>IF(Table1[[#This Row],[Days on Market]] &lt; 30,"Fast",IF(Table1[[#This Row],[Days on Market]]&lt;= 90,"Average", "Slow"))</f>
        <v>Slow</v>
      </c>
      <c r="T1916" t="str">
        <f>IF(Table1[[#This Row],[Price2]]&lt;500000,"Affordable",IF(Table1[[#This Row],[Price2]]&lt;1000000,"Mid range","Luxury"))</f>
        <v>Mid range</v>
      </c>
    </row>
    <row r="1917" spans="1:20" x14ac:dyDescent="0.35">
      <c r="A1917" s="3">
        <v>993237</v>
      </c>
      <c r="B1917" s="2" t="s">
        <v>17</v>
      </c>
      <c r="C1917">
        <v>24550</v>
      </c>
      <c r="D1917" s="2" t="s">
        <v>13</v>
      </c>
      <c r="E1917">
        <v>2</v>
      </c>
      <c r="F1917">
        <v>4</v>
      </c>
      <c r="G1917" s="4">
        <f>VALUE(SUBSTITUTE(SUBSTITUTE(Table1[[#This Row],[Price]],"$",""),",",""))</f>
        <v>993237</v>
      </c>
      <c r="H1917" s="1">
        <f>Table1[[#This Row],[Price2]]/Table1[[#This Row],[Area]]</f>
        <v>256.7167226673559</v>
      </c>
      <c r="I1917">
        <v>3869</v>
      </c>
      <c r="J1917">
        <v>1966</v>
      </c>
      <c r="K1917">
        <v>89</v>
      </c>
      <c r="L1917" t="s">
        <v>40</v>
      </c>
      <c r="M1917" t="s">
        <v>2618</v>
      </c>
      <c r="N1917" s="2" t="s">
        <v>3029</v>
      </c>
      <c r="O1917" t="s">
        <v>3030</v>
      </c>
      <c r="P1917" t="s">
        <v>26</v>
      </c>
      <c r="Q1917">
        <v>256.7167226673559</v>
      </c>
      <c r="R1917">
        <f ca="1">YEAR(TODAY())-Table1[[#This Row],[Year Built]]</f>
        <v>60</v>
      </c>
      <c r="S1917" t="str">
        <f>IF(Table1[[#This Row],[Days on Market]] &lt; 30,"Fast",IF(Table1[[#This Row],[Days on Market]]&lt;= 90,"Average", "Slow"))</f>
        <v>Average</v>
      </c>
      <c r="T1917" t="str">
        <f>IF(Table1[[#This Row],[Price2]]&lt;500000,"Affordable",IF(Table1[[#This Row],[Price2]]&lt;1000000,"Mid range","Luxury"))</f>
        <v>Mid range</v>
      </c>
    </row>
    <row r="1918" spans="1:20" x14ac:dyDescent="0.35">
      <c r="A1918" s="3">
        <v>993426</v>
      </c>
      <c r="B1918" s="2" t="s">
        <v>12</v>
      </c>
      <c r="C1918">
        <v>81788</v>
      </c>
      <c r="D1918" s="2" t="s">
        <v>13</v>
      </c>
      <c r="E1918">
        <v>1</v>
      </c>
      <c r="F1918">
        <v>2</v>
      </c>
      <c r="G1918" s="4">
        <f>VALUE(SUBSTITUTE(SUBSTITUTE(Table1[[#This Row],[Price]],"$",""),",",""))</f>
        <v>993426</v>
      </c>
      <c r="H1918" s="1">
        <f>Table1[[#This Row],[Price2]]/Table1[[#This Row],[Area]]</f>
        <v>499.71126760563379</v>
      </c>
      <c r="I1918">
        <v>1988</v>
      </c>
      <c r="J1918">
        <v>1999</v>
      </c>
      <c r="K1918">
        <v>83</v>
      </c>
      <c r="L1918" t="s">
        <v>19</v>
      </c>
      <c r="M1918" t="s">
        <v>1822</v>
      </c>
      <c r="N1918" s="2" t="s">
        <v>3027</v>
      </c>
      <c r="O1918" t="s">
        <v>3028</v>
      </c>
      <c r="P1918" t="s">
        <v>26</v>
      </c>
      <c r="Q1918">
        <v>499.71126760563379</v>
      </c>
      <c r="R1918">
        <f ca="1">YEAR(TODAY())-Table1[[#This Row],[Year Built]]</f>
        <v>27</v>
      </c>
      <c r="S1918" t="str">
        <f>IF(Table1[[#This Row],[Days on Market]] &lt; 30,"Fast",IF(Table1[[#This Row],[Days on Market]]&lt;= 90,"Average", "Slow"))</f>
        <v>Average</v>
      </c>
      <c r="T1918" t="str">
        <f>IF(Table1[[#This Row],[Price2]]&lt;500000,"Affordable",IF(Table1[[#This Row],[Price2]]&lt;1000000,"Mid range","Luxury"))</f>
        <v>Mid range</v>
      </c>
    </row>
    <row r="1919" spans="1:20" x14ac:dyDescent="0.35">
      <c r="A1919" s="3">
        <v>993686</v>
      </c>
      <c r="B1919" s="2" t="s">
        <v>34</v>
      </c>
      <c r="C1919">
        <v>79458</v>
      </c>
      <c r="D1919" s="2" t="s">
        <v>23</v>
      </c>
      <c r="E1919">
        <v>6</v>
      </c>
      <c r="F1919">
        <v>1</v>
      </c>
      <c r="G1919" s="4">
        <f>VALUE(SUBSTITUTE(SUBSTITUTE(Table1[[#This Row],[Price]],"$",""),",",""))</f>
        <v>993686</v>
      </c>
      <c r="H1919" s="1">
        <f>Table1[[#This Row],[Price2]]/Table1[[#This Row],[Area]]</f>
        <v>378.9801678108314</v>
      </c>
      <c r="I1919">
        <v>2622</v>
      </c>
      <c r="J1919">
        <v>1952</v>
      </c>
      <c r="K1919">
        <v>101</v>
      </c>
      <c r="L1919" t="s">
        <v>52</v>
      </c>
      <c r="M1919" t="s">
        <v>1471</v>
      </c>
      <c r="N1919" s="2" t="s">
        <v>3027</v>
      </c>
      <c r="O1919" t="s">
        <v>3028</v>
      </c>
      <c r="P1919" t="s">
        <v>21</v>
      </c>
      <c r="Q1919">
        <v>378.9801678108314</v>
      </c>
      <c r="R1919">
        <f ca="1">YEAR(TODAY())-Table1[[#This Row],[Year Built]]</f>
        <v>74</v>
      </c>
      <c r="S1919" t="str">
        <f>IF(Table1[[#This Row],[Days on Market]] &lt; 30,"Fast",IF(Table1[[#This Row],[Days on Market]]&lt;= 90,"Average", "Slow"))</f>
        <v>Slow</v>
      </c>
      <c r="T1919" t="str">
        <f>IF(Table1[[#This Row],[Price2]]&lt;500000,"Affordable",IF(Table1[[#This Row],[Price2]]&lt;1000000,"Mid range","Luxury"))</f>
        <v>Mid range</v>
      </c>
    </row>
    <row r="1920" spans="1:20" x14ac:dyDescent="0.35">
      <c r="A1920" s="3">
        <v>994591</v>
      </c>
      <c r="B1920" s="2" t="s">
        <v>17</v>
      </c>
      <c r="C1920">
        <v>72829</v>
      </c>
      <c r="D1920" s="2" t="s">
        <v>18</v>
      </c>
      <c r="E1920">
        <v>6</v>
      </c>
      <c r="F1920">
        <v>1</v>
      </c>
      <c r="G1920" s="4">
        <f>VALUE(SUBSTITUTE(SUBSTITUTE(Table1[[#This Row],[Price]],"$",""),",",""))</f>
        <v>994591</v>
      </c>
      <c r="H1920" s="1">
        <f>Table1[[#This Row],[Price2]]/Table1[[#This Row],[Area]]</f>
        <v>736.18874907475947</v>
      </c>
      <c r="I1920">
        <v>1351</v>
      </c>
      <c r="J1920">
        <v>1969</v>
      </c>
      <c r="K1920">
        <v>1</v>
      </c>
      <c r="L1920" t="s">
        <v>30</v>
      </c>
      <c r="M1920" t="s">
        <v>1723</v>
      </c>
      <c r="N1920" s="2" t="s">
        <v>3029</v>
      </c>
      <c r="O1920" t="s">
        <v>3030</v>
      </c>
      <c r="P1920" t="s">
        <v>26</v>
      </c>
      <c r="Q1920">
        <v>736.18874907475947</v>
      </c>
      <c r="R1920">
        <f ca="1">YEAR(TODAY())-Table1[[#This Row],[Year Built]]</f>
        <v>57</v>
      </c>
      <c r="S1920" t="str">
        <f>IF(Table1[[#This Row],[Days on Market]] &lt; 30,"Fast",IF(Table1[[#This Row],[Days on Market]]&lt;= 90,"Average", "Slow"))</f>
        <v>Fast</v>
      </c>
      <c r="T1920" t="str">
        <f>IF(Table1[[#This Row],[Price2]]&lt;500000,"Affordable",IF(Table1[[#This Row],[Price2]]&lt;1000000,"Mid range","Luxury"))</f>
        <v>Mid range</v>
      </c>
    </row>
    <row r="1921" spans="1:20" x14ac:dyDescent="0.35">
      <c r="A1921" s="3">
        <v>994818</v>
      </c>
      <c r="B1921" s="2" t="s">
        <v>27</v>
      </c>
      <c r="C1921">
        <v>16334</v>
      </c>
      <c r="D1921" s="2" t="s">
        <v>18</v>
      </c>
      <c r="E1921">
        <v>3</v>
      </c>
      <c r="F1921">
        <v>2</v>
      </c>
      <c r="G1921" s="4">
        <f>VALUE(SUBSTITUTE(SUBSTITUTE(Table1[[#This Row],[Price]],"$",""),",",""))</f>
        <v>994818</v>
      </c>
      <c r="H1921" s="1">
        <f>Table1[[#This Row],[Price2]]/Table1[[#This Row],[Area]]</f>
        <v>333.27236180904521</v>
      </c>
      <c r="I1921">
        <v>2985</v>
      </c>
      <c r="J1921">
        <v>1973</v>
      </c>
      <c r="K1921">
        <v>40</v>
      </c>
      <c r="L1921" t="s">
        <v>19</v>
      </c>
      <c r="M1921" t="s">
        <v>1213</v>
      </c>
      <c r="N1921" s="2" t="s">
        <v>3027</v>
      </c>
      <c r="O1921" t="s">
        <v>3028</v>
      </c>
      <c r="P1921" t="s">
        <v>16</v>
      </c>
      <c r="Q1921">
        <v>333.27236180904521</v>
      </c>
      <c r="R1921">
        <f ca="1">YEAR(TODAY())-Table1[[#This Row],[Year Built]]</f>
        <v>53</v>
      </c>
      <c r="S1921" t="str">
        <f>IF(Table1[[#This Row],[Days on Market]] &lt; 30,"Fast",IF(Table1[[#This Row],[Days on Market]]&lt;= 90,"Average", "Slow"))</f>
        <v>Average</v>
      </c>
      <c r="T1921" t="str">
        <f>IF(Table1[[#This Row],[Price2]]&lt;500000,"Affordable",IF(Table1[[#This Row],[Price2]]&lt;1000000,"Mid range","Luxury"))</f>
        <v>Mid range</v>
      </c>
    </row>
    <row r="1922" spans="1:20" x14ac:dyDescent="0.35">
      <c r="A1922" s="3">
        <v>995222</v>
      </c>
      <c r="B1922" s="2" t="s">
        <v>22</v>
      </c>
      <c r="C1922">
        <v>37474</v>
      </c>
      <c r="D1922" s="2" t="s">
        <v>13</v>
      </c>
      <c r="E1922">
        <v>5</v>
      </c>
      <c r="F1922">
        <v>1</v>
      </c>
      <c r="G1922" s="4">
        <f>VALUE(SUBSTITUTE(SUBSTITUTE(Table1[[#This Row],[Price]],"$",""),",",""))</f>
        <v>995222</v>
      </c>
      <c r="H1922" s="1">
        <f>Table1[[#This Row],[Price2]]/Table1[[#This Row],[Area]]</f>
        <v>355.1827266238401</v>
      </c>
      <c r="I1922">
        <v>2802</v>
      </c>
      <c r="J1922">
        <v>1959</v>
      </c>
      <c r="K1922">
        <v>70</v>
      </c>
      <c r="L1922" t="s">
        <v>52</v>
      </c>
      <c r="M1922" t="s">
        <v>2885</v>
      </c>
      <c r="N1922" s="2" t="s">
        <v>3029</v>
      </c>
      <c r="O1922" t="s">
        <v>3030</v>
      </c>
      <c r="P1922" t="s">
        <v>21</v>
      </c>
      <c r="Q1922">
        <v>355.1827266238401</v>
      </c>
      <c r="R1922">
        <f ca="1">YEAR(TODAY())-Table1[[#This Row],[Year Built]]</f>
        <v>67</v>
      </c>
      <c r="S1922" t="str">
        <f>IF(Table1[[#This Row],[Days on Market]] &lt; 30,"Fast",IF(Table1[[#This Row],[Days on Market]]&lt;= 90,"Average", "Slow"))</f>
        <v>Average</v>
      </c>
      <c r="T1922" t="str">
        <f>IF(Table1[[#This Row],[Price2]]&lt;500000,"Affordable",IF(Table1[[#This Row],[Price2]]&lt;1000000,"Mid range","Luxury"))</f>
        <v>Mid range</v>
      </c>
    </row>
    <row r="1923" spans="1:20" x14ac:dyDescent="0.35">
      <c r="A1923" s="3">
        <v>996105</v>
      </c>
      <c r="B1923" s="2" t="s">
        <v>34</v>
      </c>
      <c r="C1923">
        <v>51061</v>
      </c>
      <c r="D1923" s="2" t="s">
        <v>35</v>
      </c>
      <c r="E1923">
        <v>1</v>
      </c>
      <c r="F1923">
        <v>4</v>
      </c>
      <c r="G1923" s="4">
        <f>VALUE(SUBSTITUTE(SUBSTITUTE(Table1[[#This Row],[Price]],"$",""),",",""))</f>
        <v>996105</v>
      </c>
      <c r="H1923" s="1">
        <f>Table1[[#This Row],[Price2]]/Table1[[#This Row],[Area]]</f>
        <v>1060.814696485623</v>
      </c>
      <c r="I1923">
        <v>939</v>
      </c>
      <c r="J1923">
        <v>1982</v>
      </c>
      <c r="K1923">
        <v>55</v>
      </c>
      <c r="L1923" t="s">
        <v>14</v>
      </c>
      <c r="M1923" t="s">
        <v>2549</v>
      </c>
      <c r="N1923" s="2" t="s">
        <v>3033</v>
      </c>
      <c r="O1923" t="s">
        <v>3034</v>
      </c>
      <c r="P1923" t="s">
        <v>16</v>
      </c>
      <c r="Q1923">
        <v>1060.814696485623</v>
      </c>
      <c r="R1923">
        <f ca="1">YEAR(TODAY())-Table1[[#This Row],[Year Built]]</f>
        <v>44</v>
      </c>
      <c r="S1923" t="str">
        <f>IF(Table1[[#This Row],[Days on Market]] &lt; 30,"Fast",IF(Table1[[#This Row],[Days on Market]]&lt;= 90,"Average", "Slow"))</f>
        <v>Average</v>
      </c>
      <c r="T1923" t="str">
        <f>IF(Table1[[#This Row],[Price2]]&lt;500000,"Affordable",IF(Table1[[#This Row],[Price2]]&lt;1000000,"Mid range","Luxury"))</f>
        <v>Mid range</v>
      </c>
    </row>
    <row r="1924" spans="1:20" x14ac:dyDescent="0.35">
      <c r="A1924" s="3">
        <v>996190</v>
      </c>
      <c r="B1924" s="2" t="s">
        <v>27</v>
      </c>
      <c r="C1924">
        <v>45498</v>
      </c>
      <c r="D1924" s="2" t="s">
        <v>29</v>
      </c>
      <c r="E1924">
        <v>4</v>
      </c>
      <c r="F1924">
        <v>3</v>
      </c>
      <c r="G1924" s="4">
        <f>VALUE(SUBSTITUTE(SUBSTITUTE(Table1[[#This Row],[Price]],"$",""),",",""))</f>
        <v>996190</v>
      </c>
      <c r="H1924" s="1">
        <f>Table1[[#This Row],[Price2]]/Table1[[#This Row],[Area]]</f>
        <v>257.41343669250648</v>
      </c>
      <c r="I1924">
        <v>3870</v>
      </c>
      <c r="J1924">
        <v>2023</v>
      </c>
      <c r="K1924">
        <v>56</v>
      </c>
      <c r="L1924" t="s">
        <v>30</v>
      </c>
      <c r="M1924" t="s">
        <v>894</v>
      </c>
      <c r="N1924" s="2" t="s">
        <v>3035</v>
      </c>
      <c r="O1924" t="s">
        <v>3036</v>
      </c>
      <c r="P1924" t="s">
        <v>26</v>
      </c>
      <c r="Q1924">
        <v>257.41343669250648</v>
      </c>
      <c r="R1924">
        <f ca="1">YEAR(TODAY())-Table1[[#This Row],[Year Built]]</f>
        <v>3</v>
      </c>
      <c r="S1924" t="str">
        <f>IF(Table1[[#This Row],[Days on Market]] &lt; 30,"Fast",IF(Table1[[#This Row],[Days on Market]]&lt;= 90,"Average", "Slow"))</f>
        <v>Average</v>
      </c>
      <c r="T1924" t="str">
        <f>IF(Table1[[#This Row],[Price2]]&lt;500000,"Affordable",IF(Table1[[#This Row],[Price2]]&lt;1000000,"Mid range","Luxury"))</f>
        <v>Mid range</v>
      </c>
    </row>
    <row r="1925" spans="1:20" x14ac:dyDescent="0.35">
      <c r="A1925" s="3">
        <v>996528</v>
      </c>
      <c r="B1925" s="2" t="s">
        <v>12</v>
      </c>
      <c r="C1925">
        <v>28635</v>
      </c>
      <c r="D1925" s="2" t="s">
        <v>29</v>
      </c>
      <c r="E1925">
        <v>5</v>
      </c>
      <c r="F1925">
        <v>4</v>
      </c>
      <c r="G1925" s="4">
        <f>VALUE(SUBSTITUTE(SUBSTITUTE(Table1[[#This Row],[Price]],"$",""),",",""))</f>
        <v>996528</v>
      </c>
      <c r="H1925" s="1">
        <f>Table1[[#This Row],[Price2]]/Table1[[#This Row],[Area]]</f>
        <v>1304.3560209424083</v>
      </c>
      <c r="I1925">
        <v>764</v>
      </c>
      <c r="J1925">
        <v>1988</v>
      </c>
      <c r="K1925">
        <v>54</v>
      </c>
      <c r="L1925" t="s">
        <v>30</v>
      </c>
      <c r="M1925" t="s">
        <v>648</v>
      </c>
      <c r="N1925" s="2" t="s">
        <v>3031</v>
      </c>
      <c r="O1925" t="s">
        <v>3032</v>
      </c>
      <c r="P1925" t="s">
        <v>16</v>
      </c>
      <c r="Q1925">
        <v>1304.3560209424083</v>
      </c>
      <c r="R1925">
        <f ca="1">YEAR(TODAY())-Table1[[#This Row],[Year Built]]</f>
        <v>38</v>
      </c>
      <c r="S1925" t="str">
        <f>IF(Table1[[#This Row],[Days on Market]] &lt; 30,"Fast",IF(Table1[[#This Row],[Days on Market]]&lt;= 90,"Average", "Slow"))</f>
        <v>Average</v>
      </c>
      <c r="T1925" t="str">
        <f>IF(Table1[[#This Row],[Price2]]&lt;500000,"Affordable",IF(Table1[[#This Row],[Price2]]&lt;1000000,"Mid range","Luxury"))</f>
        <v>Mid range</v>
      </c>
    </row>
    <row r="1926" spans="1:20" x14ac:dyDescent="0.35">
      <c r="A1926" s="3">
        <v>996664</v>
      </c>
      <c r="B1926" s="2" t="s">
        <v>12</v>
      </c>
      <c r="C1926">
        <v>79681</v>
      </c>
      <c r="D1926" s="2" t="s">
        <v>13</v>
      </c>
      <c r="E1926">
        <v>5</v>
      </c>
      <c r="F1926">
        <v>3</v>
      </c>
      <c r="G1926" s="4">
        <f>VALUE(SUBSTITUTE(SUBSTITUTE(Table1[[#This Row],[Price]],"$",""),",",""))</f>
        <v>996664</v>
      </c>
      <c r="H1926" s="1">
        <f>Table1[[#This Row],[Price2]]/Table1[[#This Row],[Area]]</f>
        <v>1061.4100106496273</v>
      </c>
      <c r="I1926">
        <v>939</v>
      </c>
      <c r="J1926">
        <v>1982</v>
      </c>
      <c r="K1926">
        <v>66</v>
      </c>
      <c r="L1926" t="s">
        <v>52</v>
      </c>
      <c r="M1926" t="s">
        <v>172</v>
      </c>
      <c r="N1926" s="2" t="s">
        <v>3035</v>
      </c>
      <c r="O1926" t="s">
        <v>3036</v>
      </c>
      <c r="P1926" t="s">
        <v>16</v>
      </c>
      <c r="Q1926">
        <v>1061.4100106496273</v>
      </c>
      <c r="R1926">
        <f ca="1">YEAR(TODAY())-Table1[[#This Row],[Year Built]]</f>
        <v>44</v>
      </c>
      <c r="S1926" t="str">
        <f>IF(Table1[[#This Row],[Days on Market]] &lt; 30,"Fast",IF(Table1[[#This Row],[Days on Market]]&lt;= 90,"Average", "Slow"))</f>
        <v>Average</v>
      </c>
      <c r="T1926" t="str">
        <f>IF(Table1[[#This Row],[Price2]]&lt;500000,"Affordable",IF(Table1[[#This Row],[Price2]]&lt;1000000,"Mid range","Luxury"))</f>
        <v>Mid range</v>
      </c>
    </row>
    <row r="1927" spans="1:20" x14ac:dyDescent="0.35">
      <c r="A1927" s="3">
        <v>996851</v>
      </c>
      <c r="B1927" s="2" t="s">
        <v>27</v>
      </c>
      <c r="C1927">
        <v>64566</v>
      </c>
      <c r="D1927" s="2" t="s">
        <v>29</v>
      </c>
      <c r="E1927">
        <v>3</v>
      </c>
      <c r="F1927">
        <v>1</v>
      </c>
      <c r="G1927" s="4">
        <f>VALUE(SUBSTITUTE(SUBSTITUTE(Table1[[#This Row],[Price]],"$",""),",",""))</f>
        <v>996851</v>
      </c>
      <c r="H1927" s="1">
        <f>Table1[[#This Row],[Price2]]/Table1[[#This Row],[Area]]</f>
        <v>347.81960921144452</v>
      </c>
      <c r="I1927">
        <v>2866</v>
      </c>
      <c r="J1927">
        <v>2017</v>
      </c>
      <c r="K1927">
        <v>1</v>
      </c>
      <c r="L1927" t="s">
        <v>52</v>
      </c>
      <c r="M1927" t="s">
        <v>2425</v>
      </c>
      <c r="N1927" s="2" t="s">
        <v>3035</v>
      </c>
      <c r="O1927" t="s">
        <v>3036</v>
      </c>
      <c r="P1927" t="s">
        <v>21</v>
      </c>
      <c r="Q1927">
        <v>347.81960921144452</v>
      </c>
      <c r="R1927">
        <f ca="1">YEAR(TODAY())-Table1[[#This Row],[Year Built]]</f>
        <v>9</v>
      </c>
      <c r="S1927" t="str">
        <f>IF(Table1[[#This Row],[Days on Market]] &lt; 30,"Fast",IF(Table1[[#This Row],[Days on Market]]&lt;= 90,"Average", "Slow"))</f>
        <v>Fast</v>
      </c>
      <c r="T1927" t="str">
        <f>IF(Table1[[#This Row],[Price2]]&lt;500000,"Affordable",IF(Table1[[#This Row],[Price2]]&lt;1000000,"Mid range","Luxury"))</f>
        <v>Mid range</v>
      </c>
    </row>
    <row r="1928" spans="1:20" x14ac:dyDescent="0.35">
      <c r="A1928" s="3">
        <v>998003</v>
      </c>
      <c r="B1928" s="2" t="s">
        <v>17</v>
      </c>
      <c r="C1928">
        <v>32179</v>
      </c>
      <c r="D1928" s="2" t="s">
        <v>18</v>
      </c>
      <c r="E1928">
        <v>2</v>
      </c>
      <c r="F1928">
        <v>2</v>
      </c>
      <c r="G1928" s="4">
        <f>VALUE(SUBSTITUTE(SUBSTITUTE(Table1[[#This Row],[Price]],"$",""),",",""))</f>
        <v>998003</v>
      </c>
      <c r="H1928" s="1">
        <f>Table1[[#This Row],[Price2]]/Table1[[#This Row],[Area]]</f>
        <v>402.42056451612905</v>
      </c>
      <c r="I1928">
        <v>2480</v>
      </c>
      <c r="J1928">
        <v>1954</v>
      </c>
      <c r="K1928">
        <v>31</v>
      </c>
      <c r="L1928" t="s">
        <v>52</v>
      </c>
      <c r="M1928" t="s">
        <v>2113</v>
      </c>
      <c r="N1928" s="2" t="s">
        <v>3027</v>
      </c>
      <c r="O1928" t="s">
        <v>3028</v>
      </c>
      <c r="P1928" t="s">
        <v>26</v>
      </c>
      <c r="Q1928">
        <v>402.42056451612905</v>
      </c>
      <c r="R1928">
        <f ca="1">YEAR(TODAY())-Table1[[#This Row],[Year Built]]</f>
        <v>72</v>
      </c>
      <c r="S1928" t="str">
        <f>IF(Table1[[#This Row],[Days on Market]] &lt; 30,"Fast",IF(Table1[[#This Row],[Days on Market]]&lt;= 90,"Average", "Slow"))</f>
        <v>Average</v>
      </c>
      <c r="T1928" t="str">
        <f>IF(Table1[[#This Row],[Price2]]&lt;500000,"Affordable",IF(Table1[[#This Row],[Price2]]&lt;1000000,"Mid range","Luxury"))</f>
        <v>Mid range</v>
      </c>
    </row>
    <row r="1929" spans="1:20" x14ac:dyDescent="0.35">
      <c r="A1929" s="3">
        <v>998214</v>
      </c>
      <c r="B1929" s="2" t="s">
        <v>22</v>
      </c>
      <c r="C1929">
        <v>61130</v>
      </c>
      <c r="D1929" s="2" t="s">
        <v>29</v>
      </c>
      <c r="E1929">
        <v>3</v>
      </c>
      <c r="F1929">
        <v>2</v>
      </c>
      <c r="G1929" s="4">
        <f>VALUE(SUBSTITUTE(SUBSTITUTE(Table1[[#This Row],[Price]],"$",""),",",""))</f>
        <v>998214</v>
      </c>
      <c r="H1929" s="1">
        <f>Table1[[#This Row],[Price2]]/Table1[[#This Row],[Area]]</f>
        <v>905.82032667876592</v>
      </c>
      <c r="I1929">
        <v>1102</v>
      </c>
      <c r="J1929">
        <v>2010</v>
      </c>
      <c r="K1929">
        <v>6</v>
      </c>
      <c r="L1929" t="s">
        <v>19</v>
      </c>
      <c r="M1929" t="s">
        <v>189</v>
      </c>
      <c r="N1929" s="2" t="s">
        <v>3029</v>
      </c>
      <c r="O1929" t="s">
        <v>3030</v>
      </c>
      <c r="P1929" t="s">
        <v>16</v>
      </c>
      <c r="Q1929">
        <v>905.82032667876592</v>
      </c>
      <c r="R1929">
        <f ca="1">YEAR(TODAY())-Table1[[#This Row],[Year Built]]</f>
        <v>16</v>
      </c>
      <c r="S1929" t="str">
        <f>IF(Table1[[#This Row],[Days on Market]] &lt; 30,"Fast",IF(Table1[[#This Row],[Days on Market]]&lt;= 90,"Average", "Slow"))</f>
        <v>Fast</v>
      </c>
      <c r="T1929" t="str">
        <f>IF(Table1[[#This Row],[Price2]]&lt;500000,"Affordable",IF(Table1[[#This Row],[Price2]]&lt;1000000,"Mid range","Luxury"))</f>
        <v>Mid range</v>
      </c>
    </row>
    <row r="1930" spans="1:20" x14ac:dyDescent="0.35">
      <c r="A1930" s="3">
        <v>998749</v>
      </c>
      <c r="B1930" s="2" t="s">
        <v>12</v>
      </c>
      <c r="C1930">
        <v>35530</v>
      </c>
      <c r="D1930" s="2" t="s">
        <v>29</v>
      </c>
      <c r="E1930">
        <v>6</v>
      </c>
      <c r="F1930">
        <v>3</v>
      </c>
      <c r="G1930" s="4">
        <f>VALUE(SUBSTITUTE(SUBSTITUTE(Table1[[#This Row],[Price]],"$",""),",",""))</f>
        <v>998749</v>
      </c>
      <c r="H1930" s="1">
        <f>Table1[[#This Row],[Price2]]/Table1[[#This Row],[Area]]</f>
        <v>343.80344234079172</v>
      </c>
      <c r="I1930">
        <v>2905</v>
      </c>
      <c r="J1930">
        <v>1964</v>
      </c>
      <c r="K1930">
        <v>66</v>
      </c>
      <c r="L1930" t="s">
        <v>14</v>
      </c>
      <c r="M1930" t="s">
        <v>2161</v>
      </c>
      <c r="N1930" s="2" t="s">
        <v>3027</v>
      </c>
      <c r="O1930" t="s">
        <v>3028</v>
      </c>
      <c r="P1930" t="s">
        <v>26</v>
      </c>
      <c r="Q1930">
        <v>343.80344234079172</v>
      </c>
      <c r="R1930">
        <f ca="1">YEAR(TODAY())-Table1[[#This Row],[Year Built]]</f>
        <v>62</v>
      </c>
      <c r="S1930" t="str">
        <f>IF(Table1[[#This Row],[Days on Market]] &lt; 30,"Fast",IF(Table1[[#This Row],[Days on Market]]&lt;= 90,"Average", "Slow"))</f>
        <v>Average</v>
      </c>
      <c r="T1930" t="str">
        <f>IF(Table1[[#This Row],[Price2]]&lt;500000,"Affordable",IF(Table1[[#This Row],[Price2]]&lt;1000000,"Mid range","Luxury"))</f>
        <v>Mid range</v>
      </c>
    </row>
    <row r="1931" spans="1:20" x14ac:dyDescent="0.35">
      <c r="A1931" s="3">
        <v>998871</v>
      </c>
      <c r="B1931" s="2" t="s">
        <v>34</v>
      </c>
      <c r="C1931">
        <v>45648</v>
      </c>
      <c r="D1931" s="2" t="s">
        <v>35</v>
      </c>
      <c r="E1931">
        <v>6</v>
      </c>
      <c r="F1931">
        <v>1</v>
      </c>
      <c r="G1931" s="4">
        <f>VALUE(SUBSTITUTE(SUBSTITUTE(Table1[[#This Row],[Price]],"$",""),",",""))</f>
        <v>998871</v>
      </c>
      <c r="H1931" s="1">
        <f>Table1[[#This Row],[Price2]]/Table1[[#This Row],[Area]]</f>
        <v>468.29395218002816</v>
      </c>
      <c r="I1931">
        <v>2133</v>
      </c>
      <c r="J1931">
        <v>1981</v>
      </c>
      <c r="K1931">
        <v>114</v>
      </c>
      <c r="L1931" t="s">
        <v>19</v>
      </c>
      <c r="M1931" t="s">
        <v>625</v>
      </c>
      <c r="N1931" s="2" t="s">
        <v>3029</v>
      </c>
      <c r="O1931" t="s">
        <v>3030</v>
      </c>
      <c r="P1931" t="s">
        <v>26</v>
      </c>
      <c r="Q1931">
        <v>468.29395218002816</v>
      </c>
      <c r="R1931">
        <f ca="1">YEAR(TODAY())-Table1[[#This Row],[Year Built]]</f>
        <v>45</v>
      </c>
      <c r="S1931" t="str">
        <f>IF(Table1[[#This Row],[Days on Market]] &lt; 30,"Fast",IF(Table1[[#This Row],[Days on Market]]&lt;= 90,"Average", "Slow"))</f>
        <v>Slow</v>
      </c>
      <c r="T1931" t="str">
        <f>IF(Table1[[#This Row],[Price2]]&lt;500000,"Affordable",IF(Table1[[#This Row],[Price2]]&lt;1000000,"Mid range","Luxury"))</f>
        <v>Mid range</v>
      </c>
    </row>
    <row r="1932" spans="1:20" x14ac:dyDescent="0.35">
      <c r="A1932" s="3">
        <v>999110</v>
      </c>
      <c r="B1932" s="2" t="s">
        <v>17</v>
      </c>
      <c r="C1932">
        <v>58762</v>
      </c>
      <c r="D1932" s="2" t="s">
        <v>13</v>
      </c>
      <c r="E1932">
        <v>3</v>
      </c>
      <c r="F1932">
        <v>2</v>
      </c>
      <c r="G1932" s="4">
        <f>VALUE(SUBSTITUTE(SUBSTITUTE(Table1[[#This Row],[Price]],"$",""),",",""))</f>
        <v>999110</v>
      </c>
      <c r="H1932" s="1">
        <f>Table1[[#This Row],[Price2]]/Table1[[#This Row],[Area]]</f>
        <v>278.45875139353399</v>
      </c>
      <c r="I1932">
        <v>3588</v>
      </c>
      <c r="J1932">
        <v>2008</v>
      </c>
      <c r="K1932">
        <v>64</v>
      </c>
      <c r="L1932" t="s">
        <v>52</v>
      </c>
      <c r="M1932" t="s">
        <v>2894</v>
      </c>
      <c r="N1932" s="2" t="s">
        <v>3031</v>
      </c>
      <c r="O1932" t="s">
        <v>3032</v>
      </c>
      <c r="P1932" t="s">
        <v>16</v>
      </c>
      <c r="Q1932">
        <v>278.45875139353399</v>
      </c>
      <c r="R1932">
        <f ca="1">YEAR(TODAY())-Table1[[#This Row],[Year Built]]</f>
        <v>18</v>
      </c>
      <c r="S1932" t="str">
        <f>IF(Table1[[#This Row],[Days on Market]] &lt; 30,"Fast",IF(Table1[[#This Row],[Days on Market]]&lt;= 90,"Average", "Slow"))</f>
        <v>Average</v>
      </c>
      <c r="T1932" t="str">
        <f>IF(Table1[[#This Row],[Price2]]&lt;500000,"Affordable",IF(Table1[[#This Row],[Price2]]&lt;1000000,"Mid range","Luxury"))</f>
        <v>Mid range</v>
      </c>
    </row>
    <row r="1933" spans="1:20" x14ac:dyDescent="0.35">
      <c r="A1933" s="3">
        <v>999232</v>
      </c>
      <c r="B1933" s="2" t="s">
        <v>12</v>
      </c>
      <c r="C1933">
        <v>42128</v>
      </c>
      <c r="D1933" s="2" t="s">
        <v>35</v>
      </c>
      <c r="E1933">
        <v>4</v>
      </c>
      <c r="F1933">
        <v>2</v>
      </c>
      <c r="G1933" s="4">
        <f>VALUE(SUBSTITUTE(SUBSTITUTE(Table1[[#This Row],[Price]],"$",""),",",""))</f>
        <v>999232</v>
      </c>
      <c r="H1933" s="1">
        <f>Table1[[#This Row],[Price2]]/Table1[[#This Row],[Area]]</f>
        <v>1475.970457902511</v>
      </c>
      <c r="I1933">
        <v>677</v>
      </c>
      <c r="J1933">
        <v>1963</v>
      </c>
      <c r="K1933">
        <v>51</v>
      </c>
      <c r="L1933" t="s">
        <v>19</v>
      </c>
      <c r="M1933" t="s">
        <v>2581</v>
      </c>
      <c r="N1933" s="2" t="s">
        <v>3027</v>
      </c>
      <c r="O1933" t="s">
        <v>3028</v>
      </c>
      <c r="P1933" t="s">
        <v>16</v>
      </c>
      <c r="Q1933">
        <v>1475.970457902511</v>
      </c>
      <c r="R1933">
        <f ca="1">YEAR(TODAY())-Table1[[#This Row],[Year Built]]</f>
        <v>63</v>
      </c>
      <c r="S1933" t="str">
        <f>IF(Table1[[#This Row],[Days on Market]] &lt; 30,"Fast",IF(Table1[[#This Row],[Days on Market]]&lt;= 90,"Average", "Slow"))</f>
        <v>Average</v>
      </c>
      <c r="T1933" t="str">
        <f>IF(Table1[[#This Row],[Price2]]&lt;500000,"Affordable",IF(Table1[[#This Row],[Price2]]&lt;1000000,"Mid range","Luxury"))</f>
        <v>Mid range</v>
      </c>
    </row>
    <row r="1934" spans="1:20" x14ac:dyDescent="0.35">
      <c r="A1934" s="3">
        <v>999564</v>
      </c>
      <c r="B1934" s="2" t="s">
        <v>22</v>
      </c>
      <c r="C1934">
        <v>25541</v>
      </c>
      <c r="D1934" s="2" t="s">
        <v>23</v>
      </c>
      <c r="E1934">
        <v>2</v>
      </c>
      <c r="F1934">
        <v>2</v>
      </c>
      <c r="G1934" s="4">
        <f>VALUE(SUBSTITUTE(SUBSTITUTE(Table1[[#This Row],[Price]],"$",""),",",""))</f>
        <v>999564</v>
      </c>
      <c r="H1934" s="1">
        <f>Table1[[#This Row],[Price2]]/Table1[[#This Row],[Area]]</f>
        <v>486.40583941605837</v>
      </c>
      <c r="I1934">
        <v>2055</v>
      </c>
      <c r="J1934">
        <v>1984</v>
      </c>
      <c r="K1934">
        <v>104</v>
      </c>
      <c r="L1934" t="s">
        <v>19</v>
      </c>
      <c r="M1934" t="s">
        <v>2006</v>
      </c>
      <c r="N1934" s="2" t="s">
        <v>3029</v>
      </c>
      <c r="O1934" t="s">
        <v>3030</v>
      </c>
      <c r="P1934" t="s">
        <v>26</v>
      </c>
      <c r="Q1934">
        <v>486.40583941605837</v>
      </c>
      <c r="R1934">
        <f ca="1">YEAR(TODAY())-Table1[[#This Row],[Year Built]]</f>
        <v>42</v>
      </c>
      <c r="S1934" t="str">
        <f>IF(Table1[[#This Row],[Days on Market]] &lt; 30,"Fast",IF(Table1[[#This Row],[Days on Market]]&lt;= 90,"Average", "Slow"))</f>
        <v>Slow</v>
      </c>
      <c r="T1934" t="str">
        <f>IF(Table1[[#This Row],[Price2]]&lt;500000,"Affordable",IF(Table1[[#This Row],[Price2]]&lt;1000000,"Mid range","Luxury"))</f>
        <v>Mid range</v>
      </c>
    </row>
    <row r="1935" spans="1:20" x14ac:dyDescent="0.35">
      <c r="A1935" s="3">
        <v>999822</v>
      </c>
      <c r="B1935" s="2" t="s">
        <v>27</v>
      </c>
      <c r="C1935">
        <v>84171</v>
      </c>
      <c r="D1935" s="2" t="s">
        <v>29</v>
      </c>
      <c r="E1935">
        <v>2</v>
      </c>
      <c r="F1935">
        <v>1</v>
      </c>
      <c r="G1935" s="4">
        <f>VALUE(SUBSTITUTE(SUBSTITUTE(Table1[[#This Row],[Price]],"$",""),",",""))</f>
        <v>999822</v>
      </c>
      <c r="H1935" s="1">
        <f>Table1[[#This Row],[Price2]]/Table1[[#This Row],[Area]]</f>
        <v>383.0735632183908</v>
      </c>
      <c r="I1935">
        <v>2610</v>
      </c>
      <c r="J1935">
        <v>1959</v>
      </c>
      <c r="K1935">
        <v>18</v>
      </c>
      <c r="L1935" t="s">
        <v>14</v>
      </c>
      <c r="M1935" t="s">
        <v>3000</v>
      </c>
      <c r="N1935" s="2" t="s">
        <v>3031</v>
      </c>
      <c r="O1935" t="s">
        <v>3032</v>
      </c>
      <c r="P1935" t="s">
        <v>26</v>
      </c>
      <c r="Q1935">
        <v>383.0735632183908</v>
      </c>
      <c r="R1935">
        <f ca="1">YEAR(TODAY())-Table1[[#This Row],[Year Built]]</f>
        <v>67</v>
      </c>
      <c r="S1935" t="str">
        <f>IF(Table1[[#This Row],[Days on Market]] &lt; 30,"Fast",IF(Table1[[#This Row],[Days on Market]]&lt;= 90,"Average", "Slow"))</f>
        <v>Fast</v>
      </c>
      <c r="T1935" t="str">
        <f>IF(Table1[[#This Row],[Price2]]&lt;500000,"Affordable",IF(Table1[[#This Row],[Price2]]&lt;1000000,"Mid range","Luxury"))</f>
        <v>Mid range</v>
      </c>
    </row>
    <row r="1936" spans="1:20" x14ac:dyDescent="0.35">
      <c r="A1936" s="3">
        <v>1000752</v>
      </c>
      <c r="B1936" s="2" t="s">
        <v>34</v>
      </c>
      <c r="C1936">
        <v>36860</v>
      </c>
      <c r="D1936" s="2" t="s">
        <v>18</v>
      </c>
      <c r="E1936">
        <v>6</v>
      </c>
      <c r="F1936">
        <v>3</v>
      </c>
      <c r="G1936" s="4">
        <f>VALUE(SUBSTITUTE(SUBSTITUTE(Table1[[#This Row],[Price]],"$",""),",",""))</f>
        <v>1000752</v>
      </c>
      <c r="H1936" s="1">
        <f>Table1[[#This Row],[Price2]]/Table1[[#This Row],[Area]]</f>
        <v>1516.2909090909091</v>
      </c>
      <c r="I1936">
        <v>660</v>
      </c>
      <c r="J1936">
        <v>2006</v>
      </c>
      <c r="K1936">
        <v>58</v>
      </c>
      <c r="L1936" t="s">
        <v>52</v>
      </c>
      <c r="M1936" t="s">
        <v>1573</v>
      </c>
      <c r="N1936" s="2" t="s">
        <v>3033</v>
      </c>
      <c r="O1936" t="s">
        <v>3034</v>
      </c>
      <c r="P1936" t="s">
        <v>21</v>
      </c>
      <c r="Q1936">
        <v>1516.2909090909091</v>
      </c>
      <c r="R1936">
        <f ca="1">YEAR(TODAY())-Table1[[#This Row],[Year Built]]</f>
        <v>20</v>
      </c>
      <c r="S1936" t="str">
        <f>IF(Table1[[#This Row],[Days on Market]] &lt; 30,"Fast",IF(Table1[[#This Row],[Days on Market]]&lt;= 90,"Average", "Slow"))</f>
        <v>Average</v>
      </c>
      <c r="T1936" t="str">
        <f>IF(Table1[[#This Row],[Price2]]&lt;500000,"Affordable",IF(Table1[[#This Row],[Price2]]&lt;1000000,"Mid range","Luxury"))</f>
        <v>Luxury</v>
      </c>
    </row>
    <row r="1937" spans="1:20" x14ac:dyDescent="0.35">
      <c r="A1937" s="3">
        <v>1001011</v>
      </c>
      <c r="B1937" s="2" t="s">
        <v>12</v>
      </c>
      <c r="C1937">
        <v>69693</v>
      </c>
      <c r="D1937" s="2" t="s">
        <v>18</v>
      </c>
      <c r="E1937">
        <v>6</v>
      </c>
      <c r="F1937">
        <v>1</v>
      </c>
      <c r="G1937" s="4">
        <f>VALUE(SUBSTITUTE(SUBSTITUTE(Table1[[#This Row],[Price]],"$",""),",",""))</f>
        <v>1001011</v>
      </c>
      <c r="H1937" s="1">
        <f>Table1[[#This Row],[Price2]]/Table1[[#This Row],[Area]]</f>
        <v>525.46509186351705</v>
      </c>
      <c r="I1937">
        <v>1905</v>
      </c>
      <c r="J1937">
        <v>1975</v>
      </c>
      <c r="K1937">
        <v>12</v>
      </c>
      <c r="L1937" t="s">
        <v>19</v>
      </c>
      <c r="M1937" t="s">
        <v>180</v>
      </c>
      <c r="N1937" s="2" t="s">
        <v>3027</v>
      </c>
      <c r="O1937" t="s">
        <v>3028</v>
      </c>
      <c r="P1937" t="s">
        <v>21</v>
      </c>
      <c r="Q1937">
        <v>525.46509186351705</v>
      </c>
      <c r="R1937">
        <f ca="1">YEAR(TODAY())-Table1[[#This Row],[Year Built]]</f>
        <v>51</v>
      </c>
      <c r="S1937" t="str">
        <f>IF(Table1[[#This Row],[Days on Market]] &lt; 30,"Fast",IF(Table1[[#This Row],[Days on Market]]&lt;= 90,"Average", "Slow"))</f>
        <v>Fast</v>
      </c>
      <c r="T1937" t="str">
        <f>IF(Table1[[#This Row],[Price2]]&lt;500000,"Affordable",IF(Table1[[#This Row],[Price2]]&lt;1000000,"Mid range","Luxury"))</f>
        <v>Luxury</v>
      </c>
    </row>
    <row r="1938" spans="1:20" x14ac:dyDescent="0.35">
      <c r="A1938" s="3">
        <v>1001135</v>
      </c>
      <c r="B1938" s="2" t="s">
        <v>12</v>
      </c>
      <c r="C1938">
        <v>96400</v>
      </c>
      <c r="D1938" s="2" t="s">
        <v>18</v>
      </c>
      <c r="E1938">
        <v>2</v>
      </c>
      <c r="F1938">
        <v>2</v>
      </c>
      <c r="G1938" s="4">
        <f>VALUE(SUBSTITUTE(SUBSTITUTE(Table1[[#This Row],[Price]],"$",""),",",""))</f>
        <v>1001135</v>
      </c>
      <c r="H1938" s="1">
        <f>Table1[[#This Row],[Price2]]/Table1[[#This Row],[Area]]</f>
        <v>276.48025407346034</v>
      </c>
      <c r="I1938">
        <v>3621</v>
      </c>
      <c r="J1938">
        <v>1978</v>
      </c>
      <c r="K1938">
        <v>118</v>
      </c>
      <c r="L1938" t="s">
        <v>52</v>
      </c>
      <c r="M1938" t="s">
        <v>753</v>
      </c>
      <c r="N1938" s="2" t="s">
        <v>3027</v>
      </c>
      <c r="O1938" t="s">
        <v>3028</v>
      </c>
      <c r="P1938" t="s">
        <v>16</v>
      </c>
      <c r="Q1938">
        <v>276.48025407346034</v>
      </c>
      <c r="R1938">
        <f ca="1">YEAR(TODAY())-Table1[[#This Row],[Year Built]]</f>
        <v>48</v>
      </c>
      <c r="S1938" t="str">
        <f>IF(Table1[[#This Row],[Days on Market]] &lt; 30,"Fast",IF(Table1[[#This Row],[Days on Market]]&lt;= 90,"Average", "Slow"))</f>
        <v>Slow</v>
      </c>
      <c r="T1938" t="str">
        <f>IF(Table1[[#This Row],[Price2]]&lt;500000,"Affordable",IF(Table1[[#This Row],[Price2]]&lt;1000000,"Mid range","Luxury"))</f>
        <v>Luxury</v>
      </c>
    </row>
    <row r="1939" spans="1:20" x14ac:dyDescent="0.35">
      <c r="A1939" s="3">
        <v>1001321</v>
      </c>
      <c r="B1939" s="2" t="s">
        <v>27</v>
      </c>
      <c r="C1939">
        <v>57304</v>
      </c>
      <c r="D1939" s="2" t="s">
        <v>35</v>
      </c>
      <c r="E1939">
        <v>6</v>
      </c>
      <c r="F1939">
        <v>4</v>
      </c>
      <c r="G1939" s="4">
        <f>VALUE(SUBSTITUTE(SUBSTITUTE(Table1[[#This Row],[Price]],"$",""),",",""))</f>
        <v>1001321</v>
      </c>
      <c r="H1939" s="1">
        <f>Table1[[#This Row],[Price2]]/Table1[[#This Row],[Area]]</f>
        <v>534.32283884738524</v>
      </c>
      <c r="I1939">
        <v>1874</v>
      </c>
      <c r="J1939">
        <v>1993</v>
      </c>
      <c r="K1939">
        <v>88</v>
      </c>
      <c r="L1939" t="s">
        <v>52</v>
      </c>
      <c r="M1939" t="s">
        <v>2452</v>
      </c>
      <c r="N1939" s="2" t="s">
        <v>3033</v>
      </c>
      <c r="O1939" t="s">
        <v>3034</v>
      </c>
      <c r="P1939" t="s">
        <v>21</v>
      </c>
      <c r="Q1939">
        <v>534.32283884738524</v>
      </c>
      <c r="R1939">
        <f ca="1">YEAR(TODAY())-Table1[[#This Row],[Year Built]]</f>
        <v>33</v>
      </c>
      <c r="S1939" t="str">
        <f>IF(Table1[[#This Row],[Days on Market]] &lt; 30,"Fast",IF(Table1[[#This Row],[Days on Market]]&lt;= 90,"Average", "Slow"))</f>
        <v>Average</v>
      </c>
      <c r="T1939" t="str">
        <f>IF(Table1[[#This Row],[Price2]]&lt;500000,"Affordable",IF(Table1[[#This Row],[Price2]]&lt;1000000,"Mid range","Luxury"))</f>
        <v>Luxury</v>
      </c>
    </row>
    <row r="1940" spans="1:20" x14ac:dyDescent="0.35">
      <c r="A1940" s="3">
        <v>1001401</v>
      </c>
      <c r="B1940" s="2" t="s">
        <v>34</v>
      </c>
      <c r="C1940">
        <v>42599</v>
      </c>
      <c r="D1940" s="2" t="s">
        <v>23</v>
      </c>
      <c r="E1940">
        <v>2</v>
      </c>
      <c r="F1940">
        <v>1</v>
      </c>
      <c r="G1940" s="4">
        <f>VALUE(SUBSTITUTE(SUBSTITUTE(Table1[[#This Row],[Price]],"$",""),",",""))</f>
        <v>1001401</v>
      </c>
      <c r="H1940" s="1">
        <f>Table1[[#This Row],[Price2]]/Table1[[#This Row],[Area]]</f>
        <v>262.83490813648297</v>
      </c>
      <c r="I1940">
        <v>3810</v>
      </c>
      <c r="J1940">
        <v>1967</v>
      </c>
      <c r="K1940">
        <v>29</v>
      </c>
      <c r="L1940" t="s">
        <v>30</v>
      </c>
      <c r="M1940" t="s">
        <v>1072</v>
      </c>
      <c r="N1940" s="2" t="s">
        <v>3035</v>
      </c>
      <c r="O1940" t="s">
        <v>3036</v>
      </c>
      <c r="P1940" t="s">
        <v>16</v>
      </c>
      <c r="Q1940">
        <v>262.83490813648297</v>
      </c>
      <c r="R1940">
        <f ca="1">YEAR(TODAY())-Table1[[#This Row],[Year Built]]</f>
        <v>59</v>
      </c>
      <c r="S1940" t="str">
        <f>IF(Table1[[#This Row],[Days on Market]] &lt; 30,"Fast",IF(Table1[[#This Row],[Days on Market]]&lt;= 90,"Average", "Slow"))</f>
        <v>Fast</v>
      </c>
      <c r="T1940" t="str">
        <f>IF(Table1[[#This Row],[Price2]]&lt;500000,"Affordable",IF(Table1[[#This Row],[Price2]]&lt;1000000,"Mid range","Luxury"))</f>
        <v>Luxury</v>
      </c>
    </row>
    <row r="1941" spans="1:20" x14ac:dyDescent="0.35">
      <c r="A1941" s="3">
        <v>1001958</v>
      </c>
      <c r="B1941" s="2" t="s">
        <v>34</v>
      </c>
      <c r="C1941">
        <v>10311</v>
      </c>
      <c r="D1941" s="2" t="s">
        <v>29</v>
      </c>
      <c r="E1941">
        <v>5</v>
      </c>
      <c r="F1941">
        <v>1</v>
      </c>
      <c r="G1941" s="4">
        <f>VALUE(SUBSTITUTE(SUBSTITUTE(Table1[[#This Row],[Price]],"$",""),",",""))</f>
        <v>1001958</v>
      </c>
      <c r="H1941" s="1">
        <f>Table1[[#This Row],[Price2]]/Table1[[#This Row],[Area]]</f>
        <v>507.32050632911393</v>
      </c>
      <c r="I1941">
        <v>1975</v>
      </c>
      <c r="J1941">
        <v>1981</v>
      </c>
      <c r="K1941">
        <v>60</v>
      </c>
      <c r="L1941" t="s">
        <v>14</v>
      </c>
      <c r="M1941" t="s">
        <v>530</v>
      </c>
      <c r="N1941" s="2" t="s">
        <v>3033</v>
      </c>
      <c r="O1941" t="s">
        <v>3034</v>
      </c>
      <c r="P1941" t="s">
        <v>16</v>
      </c>
      <c r="Q1941">
        <v>507.32050632911393</v>
      </c>
      <c r="R1941">
        <f ca="1">YEAR(TODAY())-Table1[[#This Row],[Year Built]]</f>
        <v>45</v>
      </c>
      <c r="S1941" t="str">
        <f>IF(Table1[[#This Row],[Days on Market]] &lt; 30,"Fast",IF(Table1[[#This Row],[Days on Market]]&lt;= 90,"Average", "Slow"))</f>
        <v>Average</v>
      </c>
      <c r="T1941" t="str">
        <f>IF(Table1[[#This Row],[Price2]]&lt;500000,"Affordable",IF(Table1[[#This Row],[Price2]]&lt;1000000,"Mid range","Luxury"))</f>
        <v>Luxury</v>
      </c>
    </row>
    <row r="1942" spans="1:20" x14ac:dyDescent="0.35">
      <c r="A1942" s="3">
        <v>1002939</v>
      </c>
      <c r="B1942" s="2" t="s">
        <v>17</v>
      </c>
      <c r="C1942">
        <v>64140</v>
      </c>
      <c r="D1942" s="2" t="s">
        <v>13</v>
      </c>
      <c r="E1942">
        <v>3</v>
      </c>
      <c r="F1942">
        <v>3</v>
      </c>
      <c r="G1942" s="4">
        <f>VALUE(SUBSTITUTE(SUBSTITUTE(Table1[[#This Row],[Price]],"$",""),",",""))</f>
        <v>1002939</v>
      </c>
      <c r="H1942" s="1">
        <f>Table1[[#This Row],[Price2]]/Table1[[#This Row],[Area]]</f>
        <v>251.30017539463793</v>
      </c>
      <c r="I1942">
        <v>3991</v>
      </c>
      <c r="J1942">
        <v>1987</v>
      </c>
      <c r="K1942">
        <v>102</v>
      </c>
      <c r="L1942" t="s">
        <v>30</v>
      </c>
      <c r="M1942" t="s">
        <v>2417</v>
      </c>
      <c r="N1942" s="2" t="s">
        <v>3029</v>
      </c>
      <c r="O1942" t="s">
        <v>3030</v>
      </c>
      <c r="P1942" t="s">
        <v>21</v>
      </c>
      <c r="Q1942">
        <v>251.30017539463793</v>
      </c>
      <c r="R1942">
        <f ca="1">YEAR(TODAY())-Table1[[#This Row],[Year Built]]</f>
        <v>39</v>
      </c>
      <c r="S1942" t="str">
        <f>IF(Table1[[#This Row],[Days on Market]] &lt; 30,"Fast",IF(Table1[[#This Row],[Days on Market]]&lt;= 90,"Average", "Slow"))</f>
        <v>Slow</v>
      </c>
      <c r="T1942" t="str">
        <f>IF(Table1[[#This Row],[Price2]]&lt;500000,"Affordable",IF(Table1[[#This Row],[Price2]]&lt;1000000,"Mid range","Luxury"))</f>
        <v>Luxury</v>
      </c>
    </row>
    <row r="1943" spans="1:20" x14ac:dyDescent="0.35">
      <c r="A1943" s="3">
        <v>1003420</v>
      </c>
      <c r="B1943" s="2" t="s">
        <v>17</v>
      </c>
      <c r="C1943">
        <v>32190</v>
      </c>
      <c r="D1943" s="2" t="s">
        <v>18</v>
      </c>
      <c r="E1943">
        <v>6</v>
      </c>
      <c r="F1943">
        <v>3</v>
      </c>
      <c r="G1943" s="4">
        <f>VALUE(SUBSTITUTE(SUBSTITUTE(Table1[[#This Row],[Price]],"$",""),",",""))</f>
        <v>1003420</v>
      </c>
      <c r="H1943" s="1">
        <f>Table1[[#This Row],[Price2]]/Table1[[#This Row],[Area]]</f>
        <v>459.65185524507558</v>
      </c>
      <c r="I1943">
        <v>2183</v>
      </c>
      <c r="J1943">
        <v>1975</v>
      </c>
      <c r="K1943">
        <v>102</v>
      </c>
      <c r="L1943" t="s">
        <v>30</v>
      </c>
      <c r="M1943" t="s">
        <v>1173</v>
      </c>
      <c r="N1943" s="2" t="s">
        <v>3033</v>
      </c>
      <c r="O1943" t="s">
        <v>3034</v>
      </c>
      <c r="P1943" t="s">
        <v>26</v>
      </c>
      <c r="Q1943">
        <v>459.65185524507558</v>
      </c>
      <c r="R1943">
        <f ca="1">YEAR(TODAY())-Table1[[#This Row],[Year Built]]</f>
        <v>51</v>
      </c>
      <c r="S1943" t="str">
        <f>IF(Table1[[#This Row],[Days on Market]] &lt; 30,"Fast",IF(Table1[[#This Row],[Days on Market]]&lt;= 90,"Average", "Slow"))</f>
        <v>Slow</v>
      </c>
      <c r="T1943" t="str">
        <f>IF(Table1[[#This Row],[Price2]]&lt;500000,"Affordable",IF(Table1[[#This Row],[Price2]]&lt;1000000,"Mid range","Luxury"))</f>
        <v>Luxury</v>
      </c>
    </row>
    <row r="1944" spans="1:20" x14ac:dyDescent="0.35">
      <c r="A1944" s="3">
        <v>1003604</v>
      </c>
      <c r="B1944" s="2" t="s">
        <v>34</v>
      </c>
      <c r="C1944">
        <v>29378</v>
      </c>
      <c r="D1944" s="2" t="s">
        <v>13</v>
      </c>
      <c r="E1944">
        <v>2</v>
      </c>
      <c r="F1944">
        <v>1</v>
      </c>
      <c r="G1944" s="4">
        <f>VALUE(SUBSTITUTE(SUBSTITUTE(Table1[[#This Row],[Price]],"$",""),",",""))</f>
        <v>1003604</v>
      </c>
      <c r="H1944" s="1">
        <f>Table1[[#This Row],[Price2]]/Table1[[#This Row],[Area]]</f>
        <v>276.24662813102117</v>
      </c>
      <c r="I1944">
        <v>3633</v>
      </c>
      <c r="J1944">
        <v>1953</v>
      </c>
      <c r="K1944">
        <v>108</v>
      </c>
      <c r="L1944" t="s">
        <v>52</v>
      </c>
      <c r="M1944" t="s">
        <v>962</v>
      </c>
      <c r="N1944" s="2" t="s">
        <v>3033</v>
      </c>
      <c r="O1944" t="s">
        <v>3034</v>
      </c>
      <c r="P1944" t="s">
        <v>16</v>
      </c>
      <c r="Q1944">
        <v>276.24662813102117</v>
      </c>
      <c r="R1944">
        <f ca="1">YEAR(TODAY())-Table1[[#This Row],[Year Built]]</f>
        <v>73</v>
      </c>
      <c r="S1944" t="str">
        <f>IF(Table1[[#This Row],[Days on Market]] &lt; 30,"Fast",IF(Table1[[#This Row],[Days on Market]]&lt;= 90,"Average", "Slow"))</f>
        <v>Slow</v>
      </c>
      <c r="T1944" t="str">
        <f>IF(Table1[[#This Row],[Price2]]&lt;500000,"Affordable",IF(Table1[[#This Row],[Price2]]&lt;1000000,"Mid range","Luxury"))</f>
        <v>Luxury</v>
      </c>
    </row>
    <row r="1945" spans="1:20" x14ac:dyDescent="0.35">
      <c r="A1945" s="3">
        <v>1003613</v>
      </c>
      <c r="B1945" s="2" t="s">
        <v>22</v>
      </c>
      <c r="C1945">
        <v>13327</v>
      </c>
      <c r="D1945" s="2" t="s">
        <v>13</v>
      </c>
      <c r="E1945">
        <v>6</v>
      </c>
      <c r="F1945">
        <v>1</v>
      </c>
      <c r="G1945" s="4">
        <f>VALUE(SUBSTITUTE(SUBSTITUTE(Table1[[#This Row],[Price]],"$",""),",",""))</f>
        <v>1003613</v>
      </c>
      <c r="H1945" s="1">
        <f>Table1[[#This Row],[Price2]]/Table1[[#This Row],[Area]]</f>
        <v>958.56064947468963</v>
      </c>
      <c r="I1945">
        <v>1047</v>
      </c>
      <c r="J1945">
        <v>1954</v>
      </c>
      <c r="K1945">
        <v>60</v>
      </c>
      <c r="L1945" t="s">
        <v>40</v>
      </c>
      <c r="M1945" t="s">
        <v>3006</v>
      </c>
      <c r="N1945" s="2" t="s">
        <v>3031</v>
      </c>
      <c r="O1945" t="s">
        <v>3032</v>
      </c>
      <c r="P1945" t="s">
        <v>21</v>
      </c>
      <c r="Q1945">
        <v>958.56064947468963</v>
      </c>
      <c r="R1945">
        <f ca="1">YEAR(TODAY())-Table1[[#This Row],[Year Built]]</f>
        <v>72</v>
      </c>
      <c r="S1945" t="str">
        <f>IF(Table1[[#This Row],[Days on Market]] &lt; 30,"Fast",IF(Table1[[#This Row],[Days on Market]]&lt;= 90,"Average", "Slow"))</f>
        <v>Average</v>
      </c>
      <c r="T1945" t="str">
        <f>IF(Table1[[#This Row],[Price2]]&lt;500000,"Affordable",IF(Table1[[#This Row],[Price2]]&lt;1000000,"Mid range","Luxury"))</f>
        <v>Luxury</v>
      </c>
    </row>
    <row r="1946" spans="1:20" x14ac:dyDescent="0.35">
      <c r="A1946" s="3">
        <v>1005631</v>
      </c>
      <c r="B1946" s="2" t="s">
        <v>34</v>
      </c>
      <c r="C1946">
        <v>60168</v>
      </c>
      <c r="D1946" s="2" t="s">
        <v>18</v>
      </c>
      <c r="E1946">
        <v>2</v>
      </c>
      <c r="F1946">
        <v>3</v>
      </c>
      <c r="G1946" s="4">
        <f>VALUE(SUBSTITUTE(SUBSTITUTE(Table1[[#This Row],[Price]],"$",""),",",""))</f>
        <v>1005631</v>
      </c>
      <c r="H1946" s="1">
        <f>Table1[[#This Row],[Price2]]/Table1[[#This Row],[Area]]</f>
        <v>269.17317987152035</v>
      </c>
      <c r="I1946">
        <v>3736</v>
      </c>
      <c r="J1946">
        <v>2007</v>
      </c>
      <c r="K1946">
        <v>57</v>
      </c>
      <c r="L1946" t="s">
        <v>19</v>
      </c>
      <c r="M1946" t="s">
        <v>974</v>
      </c>
      <c r="N1946" s="2" t="s">
        <v>3033</v>
      </c>
      <c r="O1946" t="s">
        <v>3034</v>
      </c>
      <c r="P1946" t="s">
        <v>21</v>
      </c>
      <c r="Q1946">
        <v>269.17317987152035</v>
      </c>
      <c r="R1946">
        <f ca="1">YEAR(TODAY())-Table1[[#This Row],[Year Built]]</f>
        <v>19</v>
      </c>
      <c r="S1946" t="str">
        <f>IF(Table1[[#This Row],[Days on Market]] &lt; 30,"Fast",IF(Table1[[#This Row],[Days on Market]]&lt;= 90,"Average", "Slow"))</f>
        <v>Average</v>
      </c>
      <c r="T1946" t="str">
        <f>IF(Table1[[#This Row],[Price2]]&lt;500000,"Affordable",IF(Table1[[#This Row],[Price2]]&lt;1000000,"Mid range","Luxury"))</f>
        <v>Luxury</v>
      </c>
    </row>
    <row r="1947" spans="1:20" x14ac:dyDescent="0.35">
      <c r="A1947" s="3">
        <v>1008190</v>
      </c>
      <c r="B1947" s="2" t="s">
        <v>22</v>
      </c>
      <c r="C1947">
        <v>96442</v>
      </c>
      <c r="D1947" s="2" t="s">
        <v>18</v>
      </c>
      <c r="E1947">
        <v>5</v>
      </c>
      <c r="F1947">
        <v>4</v>
      </c>
      <c r="G1947" s="4">
        <f>VALUE(SUBSTITUTE(SUBSTITUTE(Table1[[#This Row],[Price]],"$",""),",",""))</f>
        <v>1008190</v>
      </c>
      <c r="H1947" s="1">
        <f>Table1[[#This Row],[Price2]]/Table1[[#This Row],[Area]]</f>
        <v>317.14061025479708</v>
      </c>
      <c r="I1947">
        <v>3179</v>
      </c>
      <c r="J1947">
        <v>1976</v>
      </c>
      <c r="K1947">
        <v>18</v>
      </c>
      <c r="L1947" t="s">
        <v>52</v>
      </c>
      <c r="M1947" t="s">
        <v>2551</v>
      </c>
      <c r="N1947" s="2" t="s">
        <v>3031</v>
      </c>
      <c r="O1947" t="s">
        <v>3032</v>
      </c>
      <c r="P1947" t="s">
        <v>26</v>
      </c>
      <c r="Q1947">
        <v>317.14061025479708</v>
      </c>
      <c r="R1947">
        <f ca="1">YEAR(TODAY())-Table1[[#This Row],[Year Built]]</f>
        <v>50</v>
      </c>
      <c r="S1947" t="str">
        <f>IF(Table1[[#This Row],[Days on Market]] &lt; 30,"Fast",IF(Table1[[#This Row],[Days on Market]]&lt;= 90,"Average", "Slow"))</f>
        <v>Fast</v>
      </c>
      <c r="T1947" t="str">
        <f>IF(Table1[[#This Row],[Price2]]&lt;500000,"Affordable",IF(Table1[[#This Row],[Price2]]&lt;1000000,"Mid range","Luxury"))</f>
        <v>Luxury</v>
      </c>
    </row>
    <row r="1948" spans="1:20" x14ac:dyDescent="0.35">
      <c r="A1948" s="3">
        <v>1008405</v>
      </c>
      <c r="B1948" s="2" t="s">
        <v>12</v>
      </c>
      <c r="C1948">
        <v>41350</v>
      </c>
      <c r="D1948" s="2" t="s">
        <v>35</v>
      </c>
      <c r="E1948">
        <v>5</v>
      </c>
      <c r="F1948">
        <v>3</v>
      </c>
      <c r="G1948" s="4">
        <f>VALUE(SUBSTITUTE(SUBSTITUTE(Table1[[#This Row],[Price]],"$",""),",",""))</f>
        <v>1008405</v>
      </c>
      <c r="H1948" s="1">
        <f>Table1[[#This Row],[Price2]]/Table1[[#This Row],[Area]]</f>
        <v>264.11864850707178</v>
      </c>
      <c r="I1948">
        <v>3818</v>
      </c>
      <c r="J1948">
        <v>1961</v>
      </c>
      <c r="K1948">
        <v>32</v>
      </c>
      <c r="L1948" t="s">
        <v>52</v>
      </c>
      <c r="M1948" t="s">
        <v>2812</v>
      </c>
      <c r="N1948" s="2" t="s">
        <v>3031</v>
      </c>
      <c r="O1948" t="s">
        <v>3032</v>
      </c>
      <c r="P1948" t="s">
        <v>16</v>
      </c>
      <c r="Q1948">
        <v>264.11864850707178</v>
      </c>
      <c r="R1948">
        <f ca="1">YEAR(TODAY())-Table1[[#This Row],[Year Built]]</f>
        <v>65</v>
      </c>
      <c r="S1948" t="str">
        <f>IF(Table1[[#This Row],[Days on Market]] &lt; 30,"Fast",IF(Table1[[#This Row],[Days on Market]]&lt;= 90,"Average", "Slow"))</f>
        <v>Average</v>
      </c>
      <c r="T1948" t="str">
        <f>IF(Table1[[#This Row],[Price2]]&lt;500000,"Affordable",IF(Table1[[#This Row],[Price2]]&lt;1000000,"Mid range","Luxury"))</f>
        <v>Luxury</v>
      </c>
    </row>
    <row r="1949" spans="1:20" x14ac:dyDescent="0.35">
      <c r="A1949" s="3">
        <v>1008831</v>
      </c>
      <c r="B1949" s="2" t="s">
        <v>34</v>
      </c>
      <c r="C1949">
        <v>81827</v>
      </c>
      <c r="D1949" s="2" t="s">
        <v>23</v>
      </c>
      <c r="E1949">
        <v>3</v>
      </c>
      <c r="F1949">
        <v>1</v>
      </c>
      <c r="G1949" s="4">
        <f>VALUE(SUBSTITUTE(SUBSTITUTE(Table1[[#This Row],[Price]],"$",""),",",""))</f>
        <v>1008831</v>
      </c>
      <c r="H1949" s="1">
        <f>Table1[[#This Row],[Price2]]/Table1[[#This Row],[Area]]</f>
        <v>253.79396226415093</v>
      </c>
      <c r="I1949">
        <v>3975</v>
      </c>
      <c r="J1949">
        <v>1963</v>
      </c>
      <c r="K1949">
        <v>24</v>
      </c>
      <c r="L1949" t="s">
        <v>40</v>
      </c>
      <c r="M1949" t="s">
        <v>862</v>
      </c>
      <c r="N1949" s="2" t="s">
        <v>3031</v>
      </c>
      <c r="O1949" t="s">
        <v>3032</v>
      </c>
      <c r="P1949" t="s">
        <v>16</v>
      </c>
      <c r="Q1949">
        <v>253.79396226415093</v>
      </c>
      <c r="R1949">
        <f ca="1">YEAR(TODAY())-Table1[[#This Row],[Year Built]]</f>
        <v>63</v>
      </c>
      <c r="S1949" t="str">
        <f>IF(Table1[[#This Row],[Days on Market]] &lt; 30,"Fast",IF(Table1[[#This Row],[Days on Market]]&lt;= 90,"Average", "Slow"))</f>
        <v>Fast</v>
      </c>
      <c r="T1949" t="str">
        <f>IF(Table1[[#This Row],[Price2]]&lt;500000,"Affordable",IF(Table1[[#This Row],[Price2]]&lt;1000000,"Mid range","Luxury"))</f>
        <v>Luxury</v>
      </c>
    </row>
    <row r="1950" spans="1:20" x14ac:dyDescent="0.35">
      <c r="A1950" s="3">
        <v>1009011</v>
      </c>
      <c r="B1950" s="2" t="s">
        <v>34</v>
      </c>
      <c r="C1950">
        <v>92333</v>
      </c>
      <c r="D1950" s="2" t="s">
        <v>13</v>
      </c>
      <c r="E1950">
        <v>6</v>
      </c>
      <c r="F1950">
        <v>3</v>
      </c>
      <c r="G1950" s="4">
        <f>VALUE(SUBSTITUTE(SUBSTITUTE(Table1[[#This Row],[Price]],"$",""),",",""))</f>
        <v>1009011</v>
      </c>
      <c r="H1950" s="1">
        <f>Table1[[#This Row],[Price2]]/Table1[[#This Row],[Area]]</f>
        <v>1591.5</v>
      </c>
      <c r="I1950">
        <v>634</v>
      </c>
      <c r="J1950">
        <v>2020</v>
      </c>
      <c r="K1950">
        <v>104</v>
      </c>
      <c r="L1950" t="s">
        <v>30</v>
      </c>
      <c r="M1950" t="s">
        <v>1550</v>
      </c>
      <c r="N1950" s="2" t="s">
        <v>3029</v>
      </c>
      <c r="O1950" t="s">
        <v>3030</v>
      </c>
      <c r="P1950" t="s">
        <v>16</v>
      </c>
      <c r="Q1950">
        <v>1591.5</v>
      </c>
      <c r="R1950">
        <f ca="1">YEAR(TODAY())-Table1[[#This Row],[Year Built]]</f>
        <v>6</v>
      </c>
      <c r="S1950" t="str">
        <f>IF(Table1[[#This Row],[Days on Market]] &lt; 30,"Fast",IF(Table1[[#This Row],[Days on Market]]&lt;= 90,"Average", "Slow"))</f>
        <v>Slow</v>
      </c>
      <c r="T1950" t="str">
        <f>IF(Table1[[#This Row],[Price2]]&lt;500000,"Affordable",IF(Table1[[#This Row],[Price2]]&lt;1000000,"Mid range","Luxury"))</f>
        <v>Luxury</v>
      </c>
    </row>
    <row r="1951" spans="1:20" x14ac:dyDescent="0.35">
      <c r="A1951" s="3">
        <v>1009530</v>
      </c>
      <c r="B1951" s="2" t="s">
        <v>34</v>
      </c>
      <c r="C1951">
        <v>56080</v>
      </c>
      <c r="D1951" s="2" t="s">
        <v>18</v>
      </c>
      <c r="E1951">
        <v>5</v>
      </c>
      <c r="F1951">
        <v>1</v>
      </c>
      <c r="G1951" s="4">
        <f>VALUE(SUBSTITUTE(SUBSTITUTE(Table1[[#This Row],[Price]],"$",""),",",""))</f>
        <v>1009530</v>
      </c>
      <c r="H1951" s="1">
        <f>Table1[[#This Row],[Price2]]/Table1[[#This Row],[Area]]</f>
        <v>327.45053519299381</v>
      </c>
      <c r="I1951">
        <v>3083</v>
      </c>
      <c r="J1951">
        <v>1966</v>
      </c>
      <c r="K1951">
        <v>67</v>
      </c>
      <c r="L1951" t="s">
        <v>30</v>
      </c>
      <c r="M1951" t="s">
        <v>502</v>
      </c>
      <c r="N1951" s="2" t="s">
        <v>3035</v>
      </c>
      <c r="O1951" t="s">
        <v>3036</v>
      </c>
      <c r="P1951" t="s">
        <v>16</v>
      </c>
      <c r="Q1951">
        <v>327.45053519299381</v>
      </c>
      <c r="R1951">
        <f ca="1">YEAR(TODAY())-Table1[[#This Row],[Year Built]]</f>
        <v>60</v>
      </c>
      <c r="S1951" t="str">
        <f>IF(Table1[[#This Row],[Days on Market]] &lt; 30,"Fast",IF(Table1[[#This Row],[Days on Market]]&lt;= 90,"Average", "Slow"))</f>
        <v>Average</v>
      </c>
      <c r="T1951" t="str">
        <f>IF(Table1[[#This Row],[Price2]]&lt;500000,"Affordable",IF(Table1[[#This Row],[Price2]]&lt;1000000,"Mid range","Luxury"))</f>
        <v>Luxury</v>
      </c>
    </row>
    <row r="1952" spans="1:20" x14ac:dyDescent="0.35">
      <c r="A1952" s="3">
        <v>1009558</v>
      </c>
      <c r="B1952" s="2" t="s">
        <v>22</v>
      </c>
      <c r="C1952">
        <v>86748</v>
      </c>
      <c r="D1952" s="2" t="s">
        <v>29</v>
      </c>
      <c r="E1952">
        <v>4</v>
      </c>
      <c r="F1952">
        <v>2</v>
      </c>
      <c r="G1952" s="4">
        <f>VALUE(SUBSTITUTE(SUBSTITUTE(Table1[[#This Row],[Price]],"$",""),",",""))</f>
        <v>1009558</v>
      </c>
      <c r="H1952" s="1">
        <f>Table1[[#This Row],[Price2]]/Table1[[#This Row],[Area]]</f>
        <v>255.97312373225151</v>
      </c>
      <c r="I1952">
        <v>3944</v>
      </c>
      <c r="J1952">
        <v>1983</v>
      </c>
      <c r="K1952">
        <v>27</v>
      </c>
      <c r="L1952" t="s">
        <v>14</v>
      </c>
      <c r="M1952" t="s">
        <v>140</v>
      </c>
      <c r="N1952" s="2" t="s">
        <v>3033</v>
      </c>
      <c r="O1952" t="s">
        <v>3034</v>
      </c>
      <c r="P1952" t="s">
        <v>21</v>
      </c>
      <c r="Q1952">
        <v>255.97312373225151</v>
      </c>
      <c r="R1952">
        <f ca="1">YEAR(TODAY())-Table1[[#This Row],[Year Built]]</f>
        <v>43</v>
      </c>
      <c r="S1952" t="str">
        <f>IF(Table1[[#This Row],[Days on Market]] &lt; 30,"Fast",IF(Table1[[#This Row],[Days on Market]]&lt;= 90,"Average", "Slow"))</f>
        <v>Fast</v>
      </c>
      <c r="T1952" t="str">
        <f>IF(Table1[[#This Row],[Price2]]&lt;500000,"Affordable",IF(Table1[[#This Row],[Price2]]&lt;1000000,"Mid range","Luxury"))</f>
        <v>Luxury</v>
      </c>
    </row>
    <row r="1953" spans="1:20" x14ac:dyDescent="0.35">
      <c r="A1953" s="3">
        <v>1010631</v>
      </c>
      <c r="B1953" s="2" t="s">
        <v>27</v>
      </c>
      <c r="C1953">
        <v>87356</v>
      </c>
      <c r="D1953" s="2" t="s">
        <v>29</v>
      </c>
      <c r="E1953">
        <v>6</v>
      </c>
      <c r="F1953">
        <v>1</v>
      </c>
      <c r="G1953" s="4">
        <f>VALUE(SUBSTITUTE(SUBSTITUTE(Table1[[#This Row],[Price]],"$",""),",",""))</f>
        <v>1010631</v>
      </c>
      <c r="H1953" s="1">
        <f>Table1[[#This Row],[Price2]]/Table1[[#This Row],[Area]]</f>
        <v>1013.6720160481444</v>
      </c>
      <c r="I1953">
        <v>997</v>
      </c>
      <c r="J1953">
        <v>2003</v>
      </c>
      <c r="K1953">
        <v>73</v>
      </c>
      <c r="L1953" t="s">
        <v>14</v>
      </c>
      <c r="M1953" t="s">
        <v>2191</v>
      </c>
      <c r="N1953" s="2" t="s">
        <v>3031</v>
      </c>
      <c r="O1953" t="s">
        <v>3032</v>
      </c>
      <c r="P1953" t="s">
        <v>21</v>
      </c>
      <c r="Q1953">
        <v>1013.6720160481444</v>
      </c>
      <c r="R1953">
        <f ca="1">YEAR(TODAY())-Table1[[#This Row],[Year Built]]</f>
        <v>23</v>
      </c>
      <c r="S1953" t="str">
        <f>IF(Table1[[#This Row],[Days on Market]] &lt; 30,"Fast",IF(Table1[[#This Row],[Days on Market]]&lt;= 90,"Average", "Slow"))</f>
        <v>Average</v>
      </c>
      <c r="T1953" t="str">
        <f>IF(Table1[[#This Row],[Price2]]&lt;500000,"Affordable",IF(Table1[[#This Row],[Price2]]&lt;1000000,"Mid range","Luxury"))</f>
        <v>Luxury</v>
      </c>
    </row>
    <row r="1954" spans="1:20" x14ac:dyDescent="0.35">
      <c r="A1954" s="3">
        <v>1011604</v>
      </c>
      <c r="B1954" s="2" t="s">
        <v>17</v>
      </c>
      <c r="C1954">
        <v>50137</v>
      </c>
      <c r="D1954" s="2" t="s">
        <v>18</v>
      </c>
      <c r="E1954">
        <v>2</v>
      </c>
      <c r="F1954">
        <v>4</v>
      </c>
      <c r="G1954" s="4">
        <f>VALUE(SUBSTITUTE(SUBSTITUTE(Table1[[#This Row],[Price]],"$",""),",",""))</f>
        <v>1011604</v>
      </c>
      <c r="H1954" s="1">
        <f>Table1[[#This Row],[Price2]]/Table1[[#This Row],[Area]]</f>
        <v>256.68713524486174</v>
      </c>
      <c r="I1954">
        <v>3941</v>
      </c>
      <c r="J1954">
        <v>1955</v>
      </c>
      <c r="K1954">
        <v>72</v>
      </c>
      <c r="L1954" t="s">
        <v>40</v>
      </c>
      <c r="M1954" t="s">
        <v>1576</v>
      </c>
      <c r="N1954" s="2" t="s">
        <v>3035</v>
      </c>
      <c r="O1954" t="s">
        <v>3036</v>
      </c>
      <c r="P1954" t="s">
        <v>16</v>
      </c>
      <c r="Q1954">
        <v>256.68713524486174</v>
      </c>
      <c r="R1954">
        <f ca="1">YEAR(TODAY())-Table1[[#This Row],[Year Built]]</f>
        <v>71</v>
      </c>
      <c r="S1954" t="str">
        <f>IF(Table1[[#This Row],[Days on Market]] &lt; 30,"Fast",IF(Table1[[#This Row],[Days on Market]]&lt;= 90,"Average", "Slow"))</f>
        <v>Average</v>
      </c>
      <c r="T1954" t="str">
        <f>IF(Table1[[#This Row],[Price2]]&lt;500000,"Affordable",IF(Table1[[#This Row],[Price2]]&lt;1000000,"Mid range","Luxury"))</f>
        <v>Luxury</v>
      </c>
    </row>
    <row r="1955" spans="1:20" x14ac:dyDescent="0.35">
      <c r="A1955" s="3">
        <v>1012565</v>
      </c>
      <c r="B1955" s="2" t="s">
        <v>17</v>
      </c>
      <c r="C1955">
        <v>15796</v>
      </c>
      <c r="D1955" s="2" t="s">
        <v>35</v>
      </c>
      <c r="E1955">
        <v>6</v>
      </c>
      <c r="F1955">
        <v>4</v>
      </c>
      <c r="G1955" s="4">
        <f>VALUE(SUBSTITUTE(SUBSTITUTE(Table1[[#This Row],[Price]],"$",""),",",""))</f>
        <v>1012565</v>
      </c>
      <c r="H1955" s="1">
        <f>Table1[[#This Row],[Price2]]/Table1[[#This Row],[Area]]</f>
        <v>1049.2901554404145</v>
      </c>
      <c r="I1955">
        <v>965</v>
      </c>
      <c r="J1955">
        <v>1970</v>
      </c>
      <c r="K1955">
        <v>95</v>
      </c>
      <c r="L1955" t="s">
        <v>30</v>
      </c>
      <c r="M1955" t="s">
        <v>274</v>
      </c>
      <c r="N1955" s="2" t="s">
        <v>3035</v>
      </c>
      <c r="O1955" t="s">
        <v>3036</v>
      </c>
      <c r="P1955" t="s">
        <v>16</v>
      </c>
      <c r="Q1955">
        <v>1049.2901554404145</v>
      </c>
      <c r="R1955">
        <f ca="1">YEAR(TODAY())-Table1[[#This Row],[Year Built]]</f>
        <v>56</v>
      </c>
      <c r="S1955" t="str">
        <f>IF(Table1[[#This Row],[Days on Market]] &lt; 30,"Fast",IF(Table1[[#This Row],[Days on Market]]&lt;= 90,"Average", "Slow"))</f>
        <v>Slow</v>
      </c>
      <c r="T1955" t="str">
        <f>IF(Table1[[#This Row],[Price2]]&lt;500000,"Affordable",IF(Table1[[#This Row],[Price2]]&lt;1000000,"Mid range","Luxury"))</f>
        <v>Luxury</v>
      </c>
    </row>
    <row r="1956" spans="1:20" x14ac:dyDescent="0.35">
      <c r="A1956" s="3">
        <v>1012634</v>
      </c>
      <c r="B1956" s="2" t="s">
        <v>22</v>
      </c>
      <c r="C1956">
        <v>16022</v>
      </c>
      <c r="D1956" s="2" t="s">
        <v>13</v>
      </c>
      <c r="E1956">
        <v>3</v>
      </c>
      <c r="F1956">
        <v>4</v>
      </c>
      <c r="G1956" s="4">
        <f>VALUE(SUBSTITUTE(SUBSTITUTE(Table1[[#This Row],[Price]],"$",""),",",""))</f>
        <v>1012634</v>
      </c>
      <c r="H1956" s="1">
        <f>Table1[[#This Row],[Price2]]/Table1[[#This Row],[Area]]</f>
        <v>314.0924317617866</v>
      </c>
      <c r="I1956">
        <v>3224</v>
      </c>
      <c r="J1956">
        <v>1952</v>
      </c>
      <c r="K1956">
        <v>22</v>
      </c>
      <c r="L1956" t="s">
        <v>40</v>
      </c>
      <c r="M1956" t="s">
        <v>2169</v>
      </c>
      <c r="N1956" s="2" t="s">
        <v>3035</v>
      </c>
      <c r="O1956" t="s">
        <v>3036</v>
      </c>
      <c r="P1956" t="s">
        <v>21</v>
      </c>
      <c r="Q1956">
        <v>314.0924317617866</v>
      </c>
      <c r="R1956">
        <f ca="1">YEAR(TODAY())-Table1[[#This Row],[Year Built]]</f>
        <v>74</v>
      </c>
      <c r="S1956" t="str">
        <f>IF(Table1[[#This Row],[Days on Market]] &lt; 30,"Fast",IF(Table1[[#This Row],[Days on Market]]&lt;= 90,"Average", "Slow"))</f>
        <v>Fast</v>
      </c>
      <c r="T1956" t="str">
        <f>IF(Table1[[#This Row],[Price2]]&lt;500000,"Affordable",IF(Table1[[#This Row],[Price2]]&lt;1000000,"Mid range","Luxury"))</f>
        <v>Luxury</v>
      </c>
    </row>
    <row r="1957" spans="1:20" x14ac:dyDescent="0.35">
      <c r="A1957" s="3">
        <v>1012826</v>
      </c>
      <c r="B1957" s="2" t="s">
        <v>27</v>
      </c>
      <c r="C1957">
        <v>46718</v>
      </c>
      <c r="D1957" s="2" t="s">
        <v>29</v>
      </c>
      <c r="E1957">
        <v>4</v>
      </c>
      <c r="F1957">
        <v>1</v>
      </c>
      <c r="G1957" s="4">
        <f>VALUE(SUBSTITUTE(SUBSTITUTE(Table1[[#This Row],[Price]],"$",""),",",""))</f>
        <v>1012826</v>
      </c>
      <c r="H1957" s="1">
        <f>Table1[[#This Row],[Price2]]/Table1[[#This Row],[Area]]</f>
        <v>306.17472793228535</v>
      </c>
      <c r="I1957">
        <v>3308</v>
      </c>
      <c r="J1957">
        <v>1961</v>
      </c>
      <c r="K1957">
        <v>42</v>
      </c>
      <c r="L1957" t="s">
        <v>30</v>
      </c>
      <c r="M1957" t="s">
        <v>1434</v>
      </c>
      <c r="N1957" s="2" t="s">
        <v>3033</v>
      </c>
      <c r="O1957" t="s">
        <v>3034</v>
      </c>
      <c r="P1957" t="s">
        <v>26</v>
      </c>
      <c r="Q1957">
        <v>306.17472793228535</v>
      </c>
      <c r="R1957">
        <f ca="1">YEAR(TODAY())-Table1[[#This Row],[Year Built]]</f>
        <v>65</v>
      </c>
      <c r="S1957" t="str">
        <f>IF(Table1[[#This Row],[Days on Market]] &lt; 30,"Fast",IF(Table1[[#This Row],[Days on Market]]&lt;= 90,"Average", "Slow"))</f>
        <v>Average</v>
      </c>
      <c r="T1957" t="str">
        <f>IF(Table1[[#This Row],[Price2]]&lt;500000,"Affordable",IF(Table1[[#This Row],[Price2]]&lt;1000000,"Mid range","Luxury"))</f>
        <v>Luxury</v>
      </c>
    </row>
    <row r="1958" spans="1:20" x14ac:dyDescent="0.35">
      <c r="A1958" s="3">
        <v>1012943</v>
      </c>
      <c r="B1958" s="2" t="s">
        <v>22</v>
      </c>
      <c r="C1958">
        <v>60641</v>
      </c>
      <c r="D1958" s="2" t="s">
        <v>13</v>
      </c>
      <c r="E1958">
        <v>1</v>
      </c>
      <c r="F1958">
        <v>3</v>
      </c>
      <c r="G1958" s="4">
        <f>VALUE(SUBSTITUTE(SUBSTITUTE(Table1[[#This Row],[Price]],"$",""),",",""))</f>
        <v>1012943</v>
      </c>
      <c r="H1958" s="1">
        <f>Table1[[#This Row],[Price2]]/Table1[[#This Row],[Area]]</f>
        <v>476.45484477892757</v>
      </c>
      <c r="I1958">
        <v>2126</v>
      </c>
      <c r="J1958">
        <v>2017</v>
      </c>
      <c r="K1958">
        <v>18</v>
      </c>
      <c r="L1958" t="s">
        <v>52</v>
      </c>
      <c r="M1958" t="s">
        <v>2003</v>
      </c>
      <c r="N1958" s="2" t="s">
        <v>3031</v>
      </c>
      <c r="O1958" t="s">
        <v>3032</v>
      </c>
      <c r="P1958" t="s">
        <v>26</v>
      </c>
      <c r="Q1958">
        <v>476.45484477892757</v>
      </c>
      <c r="R1958">
        <f ca="1">YEAR(TODAY())-Table1[[#This Row],[Year Built]]</f>
        <v>9</v>
      </c>
      <c r="S1958" t="str">
        <f>IF(Table1[[#This Row],[Days on Market]] &lt; 30,"Fast",IF(Table1[[#This Row],[Days on Market]]&lt;= 90,"Average", "Slow"))</f>
        <v>Fast</v>
      </c>
      <c r="T1958" t="str">
        <f>IF(Table1[[#This Row],[Price2]]&lt;500000,"Affordable",IF(Table1[[#This Row],[Price2]]&lt;1000000,"Mid range","Luxury"))</f>
        <v>Luxury</v>
      </c>
    </row>
    <row r="1959" spans="1:20" x14ac:dyDescent="0.35">
      <c r="A1959" s="3">
        <v>1013184</v>
      </c>
      <c r="B1959" s="2" t="s">
        <v>12</v>
      </c>
      <c r="C1959">
        <v>84198</v>
      </c>
      <c r="D1959" s="2" t="s">
        <v>35</v>
      </c>
      <c r="E1959">
        <v>6</v>
      </c>
      <c r="F1959">
        <v>3</v>
      </c>
      <c r="G1959" s="4">
        <f>VALUE(SUBSTITUTE(SUBSTITUTE(Table1[[#This Row],[Price]],"$",""),",",""))</f>
        <v>1013184</v>
      </c>
      <c r="H1959" s="1">
        <f>Table1[[#This Row],[Price2]]/Table1[[#This Row],[Area]]</f>
        <v>501.080118694362</v>
      </c>
      <c r="I1959">
        <v>2022</v>
      </c>
      <c r="J1959">
        <v>1955</v>
      </c>
      <c r="K1959">
        <v>19</v>
      </c>
      <c r="L1959" t="s">
        <v>30</v>
      </c>
      <c r="M1959" t="s">
        <v>2036</v>
      </c>
      <c r="N1959" s="2" t="s">
        <v>3035</v>
      </c>
      <c r="O1959" t="s">
        <v>3036</v>
      </c>
      <c r="P1959" t="s">
        <v>26</v>
      </c>
      <c r="Q1959">
        <v>501.080118694362</v>
      </c>
      <c r="R1959">
        <f ca="1">YEAR(TODAY())-Table1[[#This Row],[Year Built]]</f>
        <v>71</v>
      </c>
      <c r="S1959" t="str">
        <f>IF(Table1[[#This Row],[Days on Market]] &lt; 30,"Fast",IF(Table1[[#This Row],[Days on Market]]&lt;= 90,"Average", "Slow"))</f>
        <v>Fast</v>
      </c>
      <c r="T1959" t="str">
        <f>IF(Table1[[#This Row],[Price2]]&lt;500000,"Affordable",IF(Table1[[#This Row],[Price2]]&lt;1000000,"Mid range","Luxury"))</f>
        <v>Luxury</v>
      </c>
    </row>
    <row r="1960" spans="1:20" x14ac:dyDescent="0.35">
      <c r="A1960" s="3">
        <v>1014410</v>
      </c>
      <c r="B1960" s="2" t="s">
        <v>22</v>
      </c>
      <c r="C1960">
        <v>57436</v>
      </c>
      <c r="D1960" s="2" t="s">
        <v>13</v>
      </c>
      <c r="E1960">
        <v>6</v>
      </c>
      <c r="F1960">
        <v>4</v>
      </c>
      <c r="G1960" s="4">
        <f>VALUE(SUBSTITUTE(SUBSTITUTE(Table1[[#This Row],[Price]],"$",""),",",""))</f>
        <v>1014410</v>
      </c>
      <c r="H1960" s="1">
        <f>Table1[[#This Row],[Price2]]/Table1[[#This Row],[Area]]</f>
        <v>405.76400000000001</v>
      </c>
      <c r="I1960">
        <v>2500</v>
      </c>
      <c r="J1960">
        <v>1987</v>
      </c>
      <c r="K1960">
        <v>28</v>
      </c>
      <c r="L1960" t="s">
        <v>14</v>
      </c>
      <c r="M1960" t="s">
        <v>783</v>
      </c>
      <c r="N1960" s="2" t="s">
        <v>3029</v>
      </c>
      <c r="O1960" t="s">
        <v>3030</v>
      </c>
      <c r="P1960" t="s">
        <v>16</v>
      </c>
      <c r="Q1960">
        <v>405.76400000000001</v>
      </c>
      <c r="R1960">
        <f ca="1">YEAR(TODAY())-Table1[[#This Row],[Year Built]]</f>
        <v>39</v>
      </c>
      <c r="S1960" t="str">
        <f>IF(Table1[[#This Row],[Days on Market]] &lt; 30,"Fast",IF(Table1[[#This Row],[Days on Market]]&lt;= 90,"Average", "Slow"))</f>
        <v>Fast</v>
      </c>
      <c r="T1960" t="str">
        <f>IF(Table1[[#This Row],[Price2]]&lt;500000,"Affordable",IF(Table1[[#This Row],[Price2]]&lt;1000000,"Mid range","Luxury"))</f>
        <v>Luxury</v>
      </c>
    </row>
    <row r="1961" spans="1:20" x14ac:dyDescent="0.35">
      <c r="A1961" s="3">
        <v>1014846</v>
      </c>
      <c r="B1961" s="2" t="s">
        <v>17</v>
      </c>
      <c r="C1961">
        <v>46903</v>
      </c>
      <c r="D1961" s="2" t="s">
        <v>35</v>
      </c>
      <c r="E1961">
        <v>5</v>
      </c>
      <c r="F1961">
        <v>2</v>
      </c>
      <c r="G1961" s="4">
        <f>VALUE(SUBSTITUTE(SUBSTITUTE(Table1[[#This Row],[Price]],"$",""),",",""))</f>
        <v>1014846</v>
      </c>
      <c r="H1961" s="1">
        <f>Table1[[#This Row],[Price2]]/Table1[[#This Row],[Area]]</f>
        <v>299.80679468242244</v>
      </c>
      <c r="I1961">
        <v>3385</v>
      </c>
      <c r="J1961">
        <v>2018</v>
      </c>
      <c r="K1961">
        <v>18</v>
      </c>
      <c r="L1961" t="s">
        <v>30</v>
      </c>
      <c r="M1961" t="s">
        <v>2125</v>
      </c>
      <c r="N1961" s="2" t="s">
        <v>3035</v>
      </c>
      <c r="O1961" t="s">
        <v>3036</v>
      </c>
      <c r="P1961" t="s">
        <v>21</v>
      </c>
      <c r="Q1961">
        <v>299.80679468242244</v>
      </c>
      <c r="R1961">
        <f ca="1">YEAR(TODAY())-Table1[[#This Row],[Year Built]]</f>
        <v>8</v>
      </c>
      <c r="S1961" t="str">
        <f>IF(Table1[[#This Row],[Days on Market]] &lt; 30,"Fast",IF(Table1[[#This Row],[Days on Market]]&lt;= 90,"Average", "Slow"))</f>
        <v>Fast</v>
      </c>
      <c r="T1961" t="str">
        <f>IF(Table1[[#This Row],[Price2]]&lt;500000,"Affordable",IF(Table1[[#This Row],[Price2]]&lt;1000000,"Mid range","Luxury"))</f>
        <v>Luxury</v>
      </c>
    </row>
    <row r="1962" spans="1:20" x14ac:dyDescent="0.35">
      <c r="A1962" s="3">
        <v>1015024</v>
      </c>
      <c r="B1962" s="2" t="s">
        <v>22</v>
      </c>
      <c r="C1962">
        <v>63825</v>
      </c>
      <c r="D1962" s="2" t="s">
        <v>18</v>
      </c>
      <c r="E1962">
        <v>3</v>
      </c>
      <c r="F1962">
        <v>3</v>
      </c>
      <c r="G1962" s="4">
        <f>VALUE(SUBSTITUTE(SUBSTITUTE(Table1[[#This Row],[Price]],"$",""),",",""))</f>
        <v>1015024</v>
      </c>
      <c r="H1962" s="1">
        <f>Table1[[#This Row],[Price2]]/Table1[[#This Row],[Area]]</f>
        <v>511.862834089763</v>
      </c>
      <c r="I1962">
        <v>1983</v>
      </c>
      <c r="J1962">
        <v>1998</v>
      </c>
      <c r="K1962">
        <v>81</v>
      </c>
      <c r="L1962" t="s">
        <v>19</v>
      </c>
      <c r="M1962" t="s">
        <v>1423</v>
      </c>
      <c r="N1962" s="2" t="s">
        <v>3029</v>
      </c>
      <c r="O1962" t="s">
        <v>3030</v>
      </c>
      <c r="P1962" t="s">
        <v>21</v>
      </c>
      <c r="Q1962">
        <v>511.862834089763</v>
      </c>
      <c r="R1962">
        <f ca="1">YEAR(TODAY())-Table1[[#This Row],[Year Built]]</f>
        <v>28</v>
      </c>
      <c r="S1962" t="str">
        <f>IF(Table1[[#This Row],[Days on Market]] &lt; 30,"Fast",IF(Table1[[#This Row],[Days on Market]]&lt;= 90,"Average", "Slow"))</f>
        <v>Average</v>
      </c>
      <c r="T1962" t="str">
        <f>IF(Table1[[#This Row],[Price2]]&lt;500000,"Affordable",IF(Table1[[#This Row],[Price2]]&lt;1000000,"Mid range","Luxury"))</f>
        <v>Luxury</v>
      </c>
    </row>
    <row r="1963" spans="1:20" x14ac:dyDescent="0.35">
      <c r="A1963" s="3">
        <v>1015628</v>
      </c>
      <c r="B1963" s="2" t="s">
        <v>34</v>
      </c>
      <c r="C1963">
        <v>24923</v>
      </c>
      <c r="D1963" s="2" t="s">
        <v>18</v>
      </c>
      <c r="E1963">
        <v>4</v>
      </c>
      <c r="F1963">
        <v>3</v>
      </c>
      <c r="G1963" s="4">
        <f>VALUE(SUBSTITUTE(SUBSTITUTE(Table1[[#This Row],[Price]],"$",""),",",""))</f>
        <v>1015628</v>
      </c>
      <c r="H1963" s="1">
        <f>Table1[[#This Row],[Price2]]/Table1[[#This Row],[Area]]</f>
        <v>276.21104161000818</v>
      </c>
      <c r="I1963">
        <v>3677</v>
      </c>
      <c r="J1963">
        <v>1955</v>
      </c>
      <c r="K1963">
        <v>88</v>
      </c>
      <c r="L1963" t="s">
        <v>19</v>
      </c>
      <c r="M1963" t="s">
        <v>834</v>
      </c>
      <c r="N1963" s="2" t="s">
        <v>3033</v>
      </c>
      <c r="O1963" t="s">
        <v>3034</v>
      </c>
      <c r="P1963" t="s">
        <v>16</v>
      </c>
      <c r="Q1963">
        <v>276.21104161000818</v>
      </c>
      <c r="R1963">
        <f ca="1">YEAR(TODAY())-Table1[[#This Row],[Year Built]]</f>
        <v>71</v>
      </c>
      <c r="S1963" t="str">
        <f>IF(Table1[[#This Row],[Days on Market]] &lt; 30,"Fast",IF(Table1[[#This Row],[Days on Market]]&lt;= 90,"Average", "Slow"))</f>
        <v>Average</v>
      </c>
      <c r="T1963" t="str">
        <f>IF(Table1[[#This Row],[Price2]]&lt;500000,"Affordable",IF(Table1[[#This Row],[Price2]]&lt;1000000,"Mid range","Luxury"))</f>
        <v>Luxury</v>
      </c>
    </row>
    <row r="1964" spans="1:20" x14ac:dyDescent="0.35">
      <c r="A1964" s="3">
        <v>1016112</v>
      </c>
      <c r="B1964" s="2" t="s">
        <v>17</v>
      </c>
      <c r="C1964">
        <v>20382</v>
      </c>
      <c r="D1964" s="2" t="s">
        <v>23</v>
      </c>
      <c r="E1964">
        <v>1</v>
      </c>
      <c r="F1964">
        <v>4</v>
      </c>
      <c r="G1964" s="4">
        <f>VALUE(SUBSTITUTE(SUBSTITUTE(Table1[[#This Row],[Price]],"$",""),",",""))</f>
        <v>1016112</v>
      </c>
      <c r="H1964" s="1">
        <f>Table1[[#This Row],[Price2]]/Table1[[#This Row],[Area]]</f>
        <v>517.89602446483184</v>
      </c>
      <c r="I1964">
        <v>1962</v>
      </c>
      <c r="J1964">
        <v>1982</v>
      </c>
      <c r="K1964">
        <v>56</v>
      </c>
      <c r="L1964" t="s">
        <v>19</v>
      </c>
      <c r="M1964" t="s">
        <v>1393</v>
      </c>
      <c r="N1964" s="2" t="s">
        <v>3027</v>
      </c>
      <c r="O1964" t="s">
        <v>3028</v>
      </c>
      <c r="P1964" t="s">
        <v>16</v>
      </c>
      <c r="Q1964">
        <v>517.89602446483184</v>
      </c>
      <c r="R1964">
        <f ca="1">YEAR(TODAY())-Table1[[#This Row],[Year Built]]</f>
        <v>44</v>
      </c>
      <c r="S1964" t="str">
        <f>IF(Table1[[#This Row],[Days on Market]] &lt; 30,"Fast",IF(Table1[[#This Row],[Days on Market]]&lt;= 90,"Average", "Slow"))</f>
        <v>Average</v>
      </c>
      <c r="T1964" t="str">
        <f>IF(Table1[[#This Row],[Price2]]&lt;500000,"Affordable",IF(Table1[[#This Row],[Price2]]&lt;1000000,"Mid range","Luxury"))</f>
        <v>Luxury</v>
      </c>
    </row>
    <row r="1965" spans="1:20" x14ac:dyDescent="0.35">
      <c r="A1965" s="3">
        <v>1016919</v>
      </c>
      <c r="B1965" s="2" t="s">
        <v>22</v>
      </c>
      <c r="C1965">
        <v>45702</v>
      </c>
      <c r="D1965" s="2" t="s">
        <v>35</v>
      </c>
      <c r="E1965">
        <v>1</v>
      </c>
      <c r="F1965">
        <v>3</v>
      </c>
      <c r="G1965" s="4">
        <f>VALUE(SUBSTITUTE(SUBSTITUTE(Table1[[#This Row],[Price]],"$",""),",",""))</f>
        <v>1016919</v>
      </c>
      <c r="H1965" s="1">
        <f>Table1[[#This Row],[Price2]]/Table1[[#This Row],[Area]]</f>
        <v>377.19547477744806</v>
      </c>
      <c r="I1965">
        <v>2696</v>
      </c>
      <c r="J1965">
        <v>1957</v>
      </c>
      <c r="K1965">
        <v>7</v>
      </c>
      <c r="L1965" t="s">
        <v>19</v>
      </c>
      <c r="M1965" t="s">
        <v>806</v>
      </c>
      <c r="N1965" s="2" t="s">
        <v>3027</v>
      </c>
      <c r="O1965" t="s">
        <v>3028</v>
      </c>
      <c r="P1965" t="s">
        <v>16</v>
      </c>
      <c r="Q1965">
        <v>377.19547477744806</v>
      </c>
      <c r="R1965">
        <f ca="1">YEAR(TODAY())-Table1[[#This Row],[Year Built]]</f>
        <v>69</v>
      </c>
      <c r="S1965" t="str">
        <f>IF(Table1[[#This Row],[Days on Market]] &lt; 30,"Fast",IF(Table1[[#This Row],[Days on Market]]&lt;= 90,"Average", "Slow"))</f>
        <v>Fast</v>
      </c>
      <c r="T1965" t="str">
        <f>IF(Table1[[#This Row],[Price2]]&lt;500000,"Affordable",IF(Table1[[#This Row],[Price2]]&lt;1000000,"Mid range","Luxury"))</f>
        <v>Luxury</v>
      </c>
    </row>
    <row r="1966" spans="1:20" x14ac:dyDescent="0.35">
      <c r="A1966" s="3">
        <v>1017089</v>
      </c>
      <c r="B1966" s="2" t="s">
        <v>12</v>
      </c>
      <c r="C1966">
        <v>32625</v>
      </c>
      <c r="D1966" s="2" t="s">
        <v>29</v>
      </c>
      <c r="E1966">
        <v>1</v>
      </c>
      <c r="F1966">
        <v>4</v>
      </c>
      <c r="G1966" s="4">
        <f>VALUE(SUBSTITUTE(SUBSTITUTE(Table1[[#This Row],[Price]],"$",""),",",""))</f>
        <v>1017089</v>
      </c>
      <c r="H1966" s="1">
        <f>Table1[[#This Row],[Price2]]/Table1[[#This Row],[Area]]</f>
        <v>289.76894586894588</v>
      </c>
      <c r="I1966">
        <v>3510</v>
      </c>
      <c r="J1966">
        <v>2012</v>
      </c>
      <c r="K1966">
        <v>116</v>
      </c>
      <c r="L1966" t="s">
        <v>30</v>
      </c>
      <c r="M1966" t="s">
        <v>1965</v>
      </c>
      <c r="N1966" s="2" t="s">
        <v>3033</v>
      </c>
      <c r="O1966" t="s">
        <v>3034</v>
      </c>
      <c r="P1966" t="s">
        <v>26</v>
      </c>
      <c r="Q1966">
        <v>289.76894586894588</v>
      </c>
      <c r="R1966">
        <f ca="1">YEAR(TODAY())-Table1[[#This Row],[Year Built]]</f>
        <v>14</v>
      </c>
      <c r="S1966" t="str">
        <f>IF(Table1[[#This Row],[Days on Market]] &lt; 30,"Fast",IF(Table1[[#This Row],[Days on Market]]&lt;= 90,"Average", "Slow"))</f>
        <v>Slow</v>
      </c>
      <c r="T1966" t="str">
        <f>IF(Table1[[#This Row],[Price2]]&lt;500000,"Affordable",IF(Table1[[#This Row],[Price2]]&lt;1000000,"Mid range","Luxury"))</f>
        <v>Luxury</v>
      </c>
    </row>
    <row r="1967" spans="1:20" x14ac:dyDescent="0.35">
      <c r="A1967" s="3">
        <v>1017616</v>
      </c>
      <c r="B1967" s="2" t="s">
        <v>22</v>
      </c>
      <c r="C1967">
        <v>85987</v>
      </c>
      <c r="D1967" s="2" t="s">
        <v>35</v>
      </c>
      <c r="E1967">
        <v>2</v>
      </c>
      <c r="F1967">
        <v>2</v>
      </c>
      <c r="G1967" s="4">
        <f>VALUE(SUBSTITUTE(SUBSTITUTE(Table1[[#This Row],[Price]],"$",""),",",""))</f>
        <v>1017616</v>
      </c>
      <c r="H1967" s="1">
        <f>Table1[[#This Row],[Price2]]/Table1[[#This Row],[Area]]</f>
        <v>628.54601605929588</v>
      </c>
      <c r="I1967">
        <v>1619</v>
      </c>
      <c r="J1967">
        <v>1990</v>
      </c>
      <c r="K1967">
        <v>2</v>
      </c>
      <c r="L1967" t="s">
        <v>19</v>
      </c>
      <c r="M1967" t="s">
        <v>873</v>
      </c>
      <c r="N1967" s="2" t="s">
        <v>3033</v>
      </c>
      <c r="O1967" t="s">
        <v>3034</v>
      </c>
      <c r="P1967" t="s">
        <v>26</v>
      </c>
      <c r="Q1967">
        <v>628.54601605929588</v>
      </c>
      <c r="R1967">
        <f ca="1">YEAR(TODAY())-Table1[[#This Row],[Year Built]]</f>
        <v>36</v>
      </c>
      <c r="S1967" t="str">
        <f>IF(Table1[[#This Row],[Days on Market]] &lt; 30,"Fast",IF(Table1[[#This Row],[Days on Market]]&lt;= 90,"Average", "Slow"))</f>
        <v>Fast</v>
      </c>
      <c r="T1967" t="str">
        <f>IF(Table1[[#This Row],[Price2]]&lt;500000,"Affordable",IF(Table1[[#This Row],[Price2]]&lt;1000000,"Mid range","Luxury"))</f>
        <v>Luxury</v>
      </c>
    </row>
    <row r="1968" spans="1:20" x14ac:dyDescent="0.35">
      <c r="A1968" s="3">
        <v>1018590</v>
      </c>
      <c r="B1968" s="2" t="s">
        <v>22</v>
      </c>
      <c r="C1968">
        <v>36321</v>
      </c>
      <c r="D1968" s="2" t="s">
        <v>13</v>
      </c>
      <c r="E1968">
        <v>2</v>
      </c>
      <c r="F1968">
        <v>2</v>
      </c>
      <c r="G1968" s="4">
        <f>VALUE(SUBSTITUTE(SUBSTITUTE(Table1[[#This Row],[Price]],"$",""),",",""))</f>
        <v>1018590</v>
      </c>
      <c r="H1968" s="1">
        <f>Table1[[#This Row],[Price2]]/Table1[[#This Row],[Area]]</f>
        <v>261.31092868137506</v>
      </c>
      <c r="I1968">
        <v>3898</v>
      </c>
      <c r="J1968">
        <v>1987</v>
      </c>
      <c r="K1968">
        <v>88</v>
      </c>
      <c r="L1968" t="s">
        <v>19</v>
      </c>
      <c r="M1968" t="s">
        <v>2756</v>
      </c>
      <c r="N1968" s="2" t="s">
        <v>3027</v>
      </c>
      <c r="O1968" t="s">
        <v>3028</v>
      </c>
      <c r="P1968" t="s">
        <v>16</v>
      </c>
      <c r="Q1968">
        <v>261.31092868137506</v>
      </c>
      <c r="R1968">
        <f ca="1">YEAR(TODAY())-Table1[[#This Row],[Year Built]]</f>
        <v>39</v>
      </c>
      <c r="S1968" t="str">
        <f>IF(Table1[[#This Row],[Days on Market]] &lt; 30,"Fast",IF(Table1[[#This Row],[Days on Market]]&lt;= 90,"Average", "Slow"))</f>
        <v>Average</v>
      </c>
      <c r="T1968" t="str">
        <f>IF(Table1[[#This Row],[Price2]]&lt;500000,"Affordable",IF(Table1[[#This Row],[Price2]]&lt;1000000,"Mid range","Luxury"))</f>
        <v>Luxury</v>
      </c>
    </row>
    <row r="1969" spans="1:20" x14ac:dyDescent="0.35">
      <c r="A1969" s="3">
        <v>1019191</v>
      </c>
      <c r="B1969" s="2" t="s">
        <v>17</v>
      </c>
      <c r="C1969">
        <v>39464</v>
      </c>
      <c r="D1969" s="2" t="s">
        <v>13</v>
      </c>
      <c r="E1969">
        <v>5</v>
      </c>
      <c r="F1969">
        <v>2</v>
      </c>
      <c r="G1969" s="4">
        <f>VALUE(SUBSTITUTE(SUBSTITUTE(Table1[[#This Row],[Price]],"$",""),",",""))</f>
        <v>1019191</v>
      </c>
      <c r="H1969" s="1">
        <f>Table1[[#This Row],[Price2]]/Table1[[#This Row],[Area]]</f>
        <v>894.81211589113252</v>
      </c>
      <c r="I1969">
        <v>1139</v>
      </c>
      <c r="J1969">
        <v>1982</v>
      </c>
      <c r="K1969">
        <v>11</v>
      </c>
      <c r="L1969" t="s">
        <v>40</v>
      </c>
      <c r="M1969" t="s">
        <v>1784</v>
      </c>
      <c r="N1969" s="2" t="s">
        <v>3031</v>
      </c>
      <c r="O1969" t="s">
        <v>3032</v>
      </c>
      <c r="P1969" t="s">
        <v>21</v>
      </c>
      <c r="Q1969">
        <v>894.81211589113252</v>
      </c>
      <c r="R1969">
        <f ca="1">YEAR(TODAY())-Table1[[#This Row],[Year Built]]</f>
        <v>44</v>
      </c>
      <c r="S1969" t="str">
        <f>IF(Table1[[#This Row],[Days on Market]] &lt; 30,"Fast",IF(Table1[[#This Row],[Days on Market]]&lt;= 90,"Average", "Slow"))</f>
        <v>Fast</v>
      </c>
      <c r="T1969" t="str">
        <f>IF(Table1[[#This Row],[Price2]]&lt;500000,"Affordable",IF(Table1[[#This Row],[Price2]]&lt;1000000,"Mid range","Luxury"))</f>
        <v>Luxury</v>
      </c>
    </row>
    <row r="1970" spans="1:20" x14ac:dyDescent="0.35">
      <c r="A1970" s="3">
        <v>1020354</v>
      </c>
      <c r="B1970" s="2" t="s">
        <v>34</v>
      </c>
      <c r="C1970">
        <v>11212</v>
      </c>
      <c r="D1970" s="2" t="s">
        <v>29</v>
      </c>
      <c r="E1970">
        <v>5</v>
      </c>
      <c r="F1970">
        <v>1</v>
      </c>
      <c r="G1970" s="4">
        <f>VALUE(SUBSTITUTE(SUBSTITUTE(Table1[[#This Row],[Price]],"$",""),",",""))</f>
        <v>1020354</v>
      </c>
      <c r="H1970" s="1">
        <f>Table1[[#This Row],[Price2]]/Table1[[#This Row],[Area]]</f>
        <v>293.20517241379309</v>
      </c>
      <c r="I1970">
        <v>3480</v>
      </c>
      <c r="J1970">
        <v>1969</v>
      </c>
      <c r="K1970">
        <v>47</v>
      </c>
      <c r="L1970" t="s">
        <v>40</v>
      </c>
      <c r="M1970" t="s">
        <v>2591</v>
      </c>
      <c r="N1970" s="2" t="s">
        <v>3031</v>
      </c>
      <c r="O1970" t="s">
        <v>3032</v>
      </c>
      <c r="P1970" t="s">
        <v>26</v>
      </c>
      <c r="Q1970">
        <v>293.20517241379309</v>
      </c>
      <c r="R1970">
        <f ca="1">YEAR(TODAY())-Table1[[#This Row],[Year Built]]</f>
        <v>57</v>
      </c>
      <c r="S1970" t="str">
        <f>IF(Table1[[#This Row],[Days on Market]] &lt; 30,"Fast",IF(Table1[[#This Row],[Days on Market]]&lt;= 90,"Average", "Slow"))</f>
        <v>Average</v>
      </c>
      <c r="T1970" t="str">
        <f>IF(Table1[[#This Row],[Price2]]&lt;500000,"Affordable",IF(Table1[[#This Row],[Price2]]&lt;1000000,"Mid range","Luxury"))</f>
        <v>Luxury</v>
      </c>
    </row>
    <row r="1971" spans="1:20" x14ac:dyDescent="0.35">
      <c r="A1971" s="3">
        <v>1020459</v>
      </c>
      <c r="B1971" s="2" t="s">
        <v>22</v>
      </c>
      <c r="C1971">
        <v>48167</v>
      </c>
      <c r="D1971" s="2" t="s">
        <v>29</v>
      </c>
      <c r="E1971">
        <v>3</v>
      </c>
      <c r="F1971">
        <v>2</v>
      </c>
      <c r="G1971" s="4">
        <f>VALUE(SUBSTITUTE(SUBSTITUTE(Table1[[#This Row],[Price]],"$",""),",",""))</f>
        <v>1020459</v>
      </c>
      <c r="H1971" s="1">
        <f>Table1[[#This Row],[Price2]]/Table1[[#This Row],[Area]]</f>
        <v>265.19204781704781</v>
      </c>
      <c r="I1971">
        <v>3848</v>
      </c>
      <c r="J1971">
        <v>1986</v>
      </c>
      <c r="K1971">
        <v>24</v>
      </c>
      <c r="L1971" t="s">
        <v>19</v>
      </c>
      <c r="M1971" t="s">
        <v>1322</v>
      </c>
      <c r="N1971" s="2" t="s">
        <v>3035</v>
      </c>
      <c r="O1971" t="s">
        <v>3036</v>
      </c>
      <c r="P1971" t="s">
        <v>16</v>
      </c>
      <c r="Q1971">
        <v>265.19204781704781</v>
      </c>
      <c r="R1971">
        <f ca="1">YEAR(TODAY())-Table1[[#This Row],[Year Built]]</f>
        <v>40</v>
      </c>
      <c r="S1971" t="str">
        <f>IF(Table1[[#This Row],[Days on Market]] &lt; 30,"Fast",IF(Table1[[#This Row],[Days on Market]]&lt;= 90,"Average", "Slow"))</f>
        <v>Fast</v>
      </c>
      <c r="T1971" t="str">
        <f>IF(Table1[[#This Row],[Price2]]&lt;500000,"Affordable",IF(Table1[[#This Row],[Price2]]&lt;1000000,"Mid range","Luxury"))</f>
        <v>Luxury</v>
      </c>
    </row>
    <row r="1972" spans="1:20" x14ac:dyDescent="0.35">
      <c r="A1972" s="3">
        <v>1020669</v>
      </c>
      <c r="B1972" s="2" t="s">
        <v>12</v>
      </c>
      <c r="C1972">
        <v>38046</v>
      </c>
      <c r="D1972" s="2" t="s">
        <v>18</v>
      </c>
      <c r="E1972">
        <v>1</v>
      </c>
      <c r="F1972">
        <v>2</v>
      </c>
      <c r="G1972" s="4">
        <f>VALUE(SUBSTITUTE(SUBSTITUTE(Table1[[#This Row],[Price]],"$",""),",",""))</f>
        <v>1020669</v>
      </c>
      <c r="H1972" s="1">
        <f>Table1[[#This Row],[Price2]]/Table1[[#This Row],[Area]]</f>
        <v>333.8792934249264</v>
      </c>
      <c r="I1972">
        <v>3057</v>
      </c>
      <c r="J1972">
        <v>1952</v>
      </c>
      <c r="K1972">
        <v>78</v>
      </c>
      <c r="L1972" t="s">
        <v>52</v>
      </c>
      <c r="M1972" t="s">
        <v>1864</v>
      </c>
      <c r="N1972" s="2" t="s">
        <v>3033</v>
      </c>
      <c r="O1972" t="s">
        <v>3034</v>
      </c>
      <c r="P1972" t="s">
        <v>21</v>
      </c>
      <c r="Q1972">
        <v>333.8792934249264</v>
      </c>
      <c r="R1972">
        <f ca="1">YEAR(TODAY())-Table1[[#This Row],[Year Built]]</f>
        <v>74</v>
      </c>
      <c r="S1972" t="str">
        <f>IF(Table1[[#This Row],[Days on Market]] &lt; 30,"Fast",IF(Table1[[#This Row],[Days on Market]]&lt;= 90,"Average", "Slow"))</f>
        <v>Average</v>
      </c>
      <c r="T1972" t="str">
        <f>IF(Table1[[#This Row],[Price2]]&lt;500000,"Affordable",IF(Table1[[#This Row],[Price2]]&lt;1000000,"Mid range","Luxury"))</f>
        <v>Luxury</v>
      </c>
    </row>
    <row r="1973" spans="1:20" x14ac:dyDescent="0.35">
      <c r="A1973" s="3">
        <v>1021565</v>
      </c>
      <c r="B1973" s="2" t="s">
        <v>34</v>
      </c>
      <c r="C1973">
        <v>20864</v>
      </c>
      <c r="D1973" s="2" t="s">
        <v>23</v>
      </c>
      <c r="E1973">
        <v>1</v>
      </c>
      <c r="F1973">
        <v>2</v>
      </c>
      <c r="G1973" s="4">
        <f>VALUE(SUBSTITUTE(SUBSTITUTE(Table1[[#This Row],[Price]],"$",""),",",""))</f>
        <v>1021565</v>
      </c>
      <c r="H1973" s="1">
        <f>Table1[[#This Row],[Price2]]/Table1[[#This Row],[Area]]</f>
        <v>984.16666666666663</v>
      </c>
      <c r="I1973">
        <v>1038</v>
      </c>
      <c r="J1973">
        <v>1999</v>
      </c>
      <c r="K1973">
        <v>23</v>
      </c>
      <c r="L1973" t="s">
        <v>40</v>
      </c>
      <c r="M1973" t="s">
        <v>2839</v>
      </c>
      <c r="N1973" s="2" t="s">
        <v>3029</v>
      </c>
      <c r="O1973" t="s">
        <v>3030</v>
      </c>
      <c r="P1973" t="s">
        <v>26</v>
      </c>
      <c r="Q1973">
        <v>984.16666666666663</v>
      </c>
      <c r="R1973">
        <f ca="1">YEAR(TODAY())-Table1[[#This Row],[Year Built]]</f>
        <v>27</v>
      </c>
      <c r="S1973" t="str">
        <f>IF(Table1[[#This Row],[Days on Market]] &lt; 30,"Fast",IF(Table1[[#This Row],[Days on Market]]&lt;= 90,"Average", "Slow"))</f>
        <v>Fast</v>
      </c>
      <c r="T1973" t="str">
        <f>IF(Table1[[#This Row],[Price2]]&lt;500000,"Affordable",IF(Table1[[#This Row],[Price2]]&lt;1000000,"Mid range","Luxury"))</f>
        <v>Luxury</v>
      </c>
    </row>
    <row r="1974" spans="1:20" x14ac:dyDescent="0.35">
      <c r="A1974" s="3">
        <v>1021673</v>
      </c>
      <c r="B1974" s="2" t="s">
        <v>34</v>
      </c>
      <c r="C1974">
        <v>78745</v>
      </c>
      <c r="D1974" s="2" t="s">
        <v>35</v>
      </c>
      <c r="E1974">
        <v>4</v>
      </c>
      <c r="F1974">
        <v>2</v>
      </c>
      <c r="G1974" s="4">
        <f>VALUE(SUBSTITUTE(SUBSTITUTE(Table1[[#This Row],[Price]],"$",""),",",""))</f>
        <v>1021673</v>
      </c>
      <c r="H1974" s="1">
        <f>Table1[[#This Row],[Price2]]/Table1[[#This Row],[Area]]</f>
        <v>338.4143756210666</v>
      </c>
      <c r="I1974">
        <v>3019</v>
      </c>
      <c r="J1974">
        <v>1969</v>
      </c>
      <c r="K1974">
        <v>57</v>
      </c>
      <c r="L1974" t="s">
        <v>40</v>
      </c>
      <c r="M1974" t="s">
        <v>181</v>
      </c>
      <c r="N1974" s="2" t="s">
        <v>3031</v>
      </c>
      <c r="O1974" t="s">
        <v>3032</v>
      </c>
      <c r="P1974" t="s">
        <v>21</v>
      </c>
      <c r="Q1974">
        <v>338.4143756210666</v>
      </c>
      <c r="R1974">
        <f ca="1">YEAR(TODAY())-Table1[[#This Row],[Year Built]]</f>
        <v>57</v>
      </c>
      <c r="S1974" t="str">
        <f>IF(Table1[[#This Row],[Days on Market]] &lt; 30,"Fast",IF(Table1[[#This Row],[Days on Market]]&lt;= 90,"Average", "Slow"))</f>
        <v>Average</v>
      </c>
      <c r="T1974" t="str">
        <f>IF(Table1[[#This Row],[Price2]]&lt;500000,"Affordable",IF(Table1[[#This Row],[Price2]]&lt;1000000,"Mid range","Luxury"))</f>
        <v>Luxury</v>
      </c>
    </row>
    <row r="1975" spans="1:20" x14ac:dyDescent="0.35">
      <c r="A1975" s="3">
        <v>1022305</v>
      </c>
      <c r="B1975" s="2" t="s">
        <v>22</v>
      </c>
      <c r="C1975">
        <v>72193</v>
      </c>
      <c r="D1975" s="2" t="s">
        <v>13</v>
      </c>
      <c r="E1975">
        <v>2</v>
      </c>
      <c r="F1975">
        <v>2</v>
      </c>
      <c r="G1975" s="4">
        <f>VALUE(SUBSTITUTE(SUBSTITUTE(Table1[[#This Row],[Price]],"$",""),",",""))</f>
        <v>1022305</v>
      </c>
      <c r="H1975" s="1">
        <f>Table1[[#This Row],[Price2]]/Table1[[#This Row],[Area]]</f>
        <v>456.18250780901383</v>
      </c>
      <c r="I1975">
        <v>2241</v>
      </c>
      <c r="J1975">
        <v>1967</v>
      </c>
      <c r="K1975">
        <v>32</v>
      </c>
      <c r="L1975" t="s">
        <v>19</v>
      </c>
      <c r="M1975" t="s">
        <v>1725</v>
      </c>
      <c r="N1975" s="2" t="s">
        <v>3035</v>
      </c>
      <c r="O1975" t="s">
        <v>3036</v>
      </c>
      <c r="P1975" t="s">
        <v>16</v>
      </c>
      <c r="Q1975">
        <v>456.18250780901383</v>
      </c>
      <c r="R1975">
        <f ca="1">YEAR(TODAY())-Table1[[#This Row],[Year Built]]</f>
        <v>59</v>
      </c>
      <c r="S1975" t="str">
        <f>IF(Table1[[#This Row],[Days on Market]] &lt; 30,"Fast",IF(Table1[[#This Row],[Days on Market]]&lt;= 90,"Average", "Slow"))</f>
        <v>Average</v>
      </c>
      <c r="T1975" t="str">
        <f>IF(Table1[[#This Row],[Price2]]&lt;500000,"Affordable",IF(Table1[[#This Row],[Price2]]&lt;1000000,"Mid range","Luxury"))</f>
        <v>Luxury</v>
      </c>
    </row>
    <row r="1976" spans="1:20" x14ac:dyDescent="0.35">
      <c r="A1976" s="3">
        <v>1022516</v>
      </c>
      <c r="B1976" s="2" t="s">
        <v>27</v>
      </c>
      <c r="C1976">
        <v>17336</v>
      </c>
      <c r="D1976" s="2" t="s">
        <v>29</v>
      </c>
      <c r="E1976">
        <v>3</v>
      </c>
      <c r="F1976">
        <v>4</v>
      </c>
      <c r="G1976" s="4">
        <f>VALUE(SUBSTITUTE(SUBSTITUTE(Table1[[#This Row],[Price]],"$",""),",",""))</f>
        <v>1022516</v>
      </c>
      <c r="H1976" s="1">
        <f>Table1[[#This Row],[Price2]]/Table1[[#This Row],[Area]]</f>
        <v>1228.9855769230769</v>
      </c>
      <c r="I1976">
        <v>832</v>
      </c>
      <c r="J1976">
        <v>1973</v>
      </c>
      <c r="K1976">
        <v>58</v>
      </c>
      <c r="L1976" t="s">
        <v>52</v>
      </c>
      <c r="M1976" t="s">
        <v>2224</v>
      </c>
      <c r="N1976" s="2" t="s">
        <v>3035</v>
      </c>
      <c r="O1976" t="s">
        <v>3036</v>
      </c>
      <c r="P1976" t="s">
        <v>26</v>
      </c>
      <c r="Q1976">
        <v>1228.9855769230769</v>
      </c>
      <c r="R1976">
        <f ca="1">YEAR(TODAY())-Table1[[#This Row],[Year Built]]</f>
        <v>53</v>
      </c>
      <c r="S1976" t="str">
        <f>IF(Table1[[#This Row],[Days on Market]] &lt; 30,"Fast",IF(Table1[[#This Row],[Days on Market]]&lt;= 90,"Average", "Slow"))</f>
        <v>Average</v>
      </c>
      <c r="T1976" t="str">
        <f>IF(Table1[[#This Row],[Price2]]&lt;500000,"Affordable",IF(Table1[[#This Row],[Price2]]&lt;1000000,"Mid range","Luxury"))</f>
        <v>Luxury</v>
      </c>
    </row>
    <row r="1977" spans="1:20" x14ac:dyDescent="0.35">
      <c r="A1977" s="3">
        <v>1022640</v>
      </c>
      <c r="B1977" s="2" t="s">
        <v>27</v>
      </c>
      <c r="C1977">
        <v>16519</v>
      </c>
      <c r="D1977" s="2" t="s">
        <v>18</v>
      </c>
      <c r="E1977">
        <v>4</v>
      </c>
      <c r="F1977">
        <v>1</v>
      </c>
      <c r="G1977" s="4">
        <f>VALUE(SUBSTITUTE(SUBSTITUTE(Table1[[#This Row],[Price]],"$",""),",",""))</f>
        <v>1022640</v>
      </c>
      <c r="H1977" s="1">
        <f>Table1[[#This Row],[Price2]]/Table1[[#This Row],[Area]]</f>
        <v>328.92891605017689</v>
      </c>
      <c r="I1977">
        <v>3109</v>
      </c>
      <c r="J1977">
        <v>1985</v>
      </c>
      <c r="K1977">
        <v>46</v>
      </c>
      <c r="L1977" t="s">
        <v>30</v>
      </c>
      <c r="M1977" t="s">
        <v>1877</v>
      </c>
      <c r="N1977" s="2" t="s">
        <v>3033</v>
      </c>
      <c r="O1977" t="s">
        <v>3034</v>
      </c>
      <c r="P1977" t="s">
        <v>26</v>
      </c>
      <c r="Q1977">
        <v>328.92891605017689</v>
      </c>
      <c r="R1977">
        <f ca="1">YEAR(TODAY())-Table1[[#This Row],[Year Built]]</f>
        <v>41</v>
      </c>
      <c r="S1977" t="str">
        <f>IF(Table1[[#This Row],[Days on Market]] &lt; 30,"Fast",IF(Table1[[#This Row],[Days on Market]]&lt;= 90,"Average", "Slow"))</f>
        <v>Average</v>
      </c>
      <c r="T1977" t="str">
        <f>IF(Table1[[#This Row],[Price2]]&lt;500000,"Affordable",IF(Table1[[#This Row],[Price2]]&lt;1000000,"Mid range","Luxury"))</f>
        <v>Luxury</v>
      </c>
    </row>
    <row r="1978" spans="1:20" x14ac:dyDescent="0.35">
      <c r="A1978" s="3">
        <v>1023977</v>
      </c>
      <c r="B1978" s="2" t="s">
        <v>34</v>
      </c>
      <c r="C1978">
        <v>27440</v>
      </c>
      <c r="D1978" s="2" t="s">
        <v>23</v>
      </c>
      <c r="E1978">
        <v>3</v>
      </c>
      <c r="F1978">
        <v>1</v>
      </c>
      <c r="G1978" s="4">
        <f>VALUE(SUBSTITUTE(SUBSTITUTE(Table1[[#This Row],[Price]],"$",""),",",""))</f>
        <v>1023977</v>
      </c>
      <c r="H1978" s="1">
        <f>Table1[[#This Row],[Price2]]/Table1[[#This Row],[Area]]</f>
        <v>608.7853745541023</v>
      </c>
      <c r="I1978">
        <v>1682</v>
      </c>
      <c r="J1978">
        <v>1981</v>
      </c>
      <c r="K1978">
        <v>34</v>
      </c>
      <c r="L1978" t="s">
        <v>14</v>
      </c>
      <c r="M1978" t="s">
        <v>1564</v>
      </c>
      <c r="N1978" s="2" t="s">
        <v>3033</v>
      </c>
      <c r="O1978" t="s">
        <v>3034</v>
      </c>
      <c r="P1978" t="s">
        <v>26</v>
      </c>
      <c r="Q1978">
        <v>608.7853745541023</v>
      </c>
      <c r="R1978">
        <f ca="1">YEAR(TODAY())-Table1[[#This Row],[Year Built]]</f>
        <v>45</v>
      </c>
      <c r="S1978" t="str">
        <f>IF(Table1[[#This Row],[Days on Market]] &lt; 30,"Fast",IF(Table1[[#This Row],[Days on Market]]&lt;= 90,"Average", "Slow"))</f>
        <v>Average</v>
      </c>
      <c r="T1978" t="str">
        <f>IF(Table1[[#This Row],[Price2]]&lt;500000,"Affordable",IF(Table1[[#This Row],[Price2]]&lt;1000000,"Mid range","Luxury"))</f>
        <v>Luxury</v>
      </c>
    </row>
    <row r="1979" spans="1:20" x14ac:dyDescent="0.35">
      <c r="A1979" s="3">
        <v>1024477</v>
      </c>
      <c r="B1979" s="2" t="s">
        <v>17</v>
      </c>
      <c r="C1979">
        <v>41345</v>
      </c>
      <c r="D1979" s="2" t="s">
        <v>23</v>
      </c>
      <c r="E1979">
        <v>2</v>
      </c>
      <c r="F1979">
        <v>2</v>
      </c>
      <c r="G1979" s="4">
        <f>VALUE(SUBSTITUTE(SUBSTITUTE(Table1[[#This Row],[Price]],"$",""),",",""))</f>
        <v>1024477</v>
      </c>
      <c r="H1979" s="1">
        <f>Table1[[#This Row],[Price2]]/Table1[[#This Row],[Area]]</f>
        <v>473.85615171137835</v>
      </c>
      <c r="I1979">
        <v>2162</v>
      </c>
      <c r="J1979">
        <v>1977</v>
      </c>
      <c r="K1979">
        <v>13</v>
      </c>
      <c r="L1979" t="s">
        <v>40</v>
      </c>
      <c r="M1979" t="s">
        <v>2720</v>
      </c>
      <c r="N1979" s="2" t="s">
        <v>3035</v>
      </c>
      <c r="O1979" t="s">
        <v>3036</v>
      </c>
      <c r="P1979" t="s">
        <v>16</v>
      </c>
      <c r="Q1979">
        <v>473.85615171137835</v>
      </c>
      <c r="R1979">
        <f ca="1">YEAR(TODAY())-Table1[[#This Row],[Year Built]]</f>
        <v>49</v>
      </c>
      <c r="S1979" t="str">
        <f>IF(Table1[[#This Row],[Days on Market]] &lt; 30,"Fast",IF(Table1[[#This Row],[Days on Market]]&lt;= 90,"Average", "Slow"))</f>
        <v>Fast</v>
      </c>
      <c r="T1979" t="str">
        <f>IF(Table1[[#This Row],[Price2]]&lt;500000,"Affordable",IF(Table1[[#This Row],[Price2]]&lt;1000000,"Mid range","Luxury"))</f>
        <v>Luxury</v>
      </c>
    </row>
    <row r="1980" spans="1:20" x14ac:dyDescent="0.35">
      <c r="A1980" s="3">
        <v>1024884</v>
      </c>
      <c r="B1980" s="2" t="s">
        <v>17</v>
      </c>
      <c r="C1980">
        <v>22793</v>
      </c>
      <c r="D1980" s="2" t="s">
        <v>18</v>
      </c>
      <c r="E1980">
        <v>6</v>
      </c>
      <c r="F1980">
        <v>2</v>
      </c>
      <c r="G1980" s="4">
        <f>VALUE(SUBSTITUTE(SUBSTITUTE(Table1[[#This Row],[Price]],"$",""),",",""))</f>
        <v>1024884</v>
      </c>
      <c r="H1980" s="1">
        <f>Table1[[#This Row],[Price2]]/Table1[[#This Row],[Area]]</f>
        <v>613.33572710951523</v>
      </c>
      <c r="I1980">
        <v>1671</v>
      </c>
      <c r="J1980">
        <v>1955</v>
      </c>
      <c r="K1980">
        <v>60</v>
      </c>
      <c r="L1980" t="s">
        <v>14</v>
      </c>
      <c r="M1980" t="s">
        <v>540</v>
      </c>
      <c r="N1980" s="2" t="s">
        <v>3027</v>
      </c>
      <c r="O1980" t="s">
        <v>3028</v>
      </c>
      <c r="P1980" t="s">
        <v>26</v>
      </c>
      <c r="Q1980">
        <v>613.33572710951523</v>
      </c>
      <c r="R1980">
        <f ca="1">YEAR(TODAY())-Table1[[#This Row],[Year Built]]</f>
        <v>71</v>
      </c>
      <c r="S1980" t="str">
        <f>IF(Table1[[#This Row],[Days on Market]] &lt; 30,"Fast",IF(Table1[[#This Row],[Days on Market]]&lt;= 90,"Average", "Slow"))</f>
        <v>Average</v>
      </c>
      <c r="T1980" t="str">
        <f>IF(Table1[[#This Row],[Price2]]&lt;500000,"Affordable",IF(Table1[[#This Row],[Price2]]&lt;1000000,"Mid range","Luxury"))</f>
        <v>Luxury</v>
      </c>
    </row>
    <row r="1981" spans="1:20" x14ac:dyDescent="0.35">
      <c r="A1981" s="3">
        <v>1025348</v>
      </c>
      <c r="B1981" s="2" t="s">
        <v>22</v>
      </c>
      <c r="C1981">
        <v>54020</v>
      </c>
      <c r="D1981" s="2" t="s">
        <v>18</v>
      </c>
      <c r="E1981">
        <v>3</v>
      </c>
      <c r="F1981">
        <v>2</v>
      </c>
      <c r="G1981" s="4">
        <f>VALUE(SUBSTITUTE(SUBSTITUTE(Table1[[#This Row],[Price]],"$",""),",",""))</f>
        <v>1025348</v>
      </c>
      <c r="H1981" s="1">
        <f>Table1[[#This Row],[Price2]]/Table1[[#This Row],[Area]]</f>
        <v>383.73802395209583</v>
      </c>
      <c r="I1981">
        <v>2672</v>
      </c>
      <c r="J1981">
        <v>2014</v>
      </c>
      <c r="K1981">
        <v>114</v>
      </c>
      <c r="L1981" t="s">
        <v>52</v>
      </c>
      <c r="M1981" t="s">
        <v>764</v>
      </c>
      <c r="N1981" s="2" t="s">
        <v>3029</v>
      </c>
      <c r="O1981" t="s">
        <v>3030</v>
      </c>
      <c r="P1981" t="s">
        <v>16</v>
      </c>
      <c r="Q1981">
        <v>383.73802395209583</v>
      </c>
      <c r="R1981">
        <f ca="1">YEAR(TODAY())-Table1[[#This Row],[Year Built]]</f>
        <v>12</v>
      </c>
      <c r="S1981" t="str">
        <f>IF(Table1[[#This Row],[Days on Market]] &lt; 30,"Fast",IF(Table1[[#This Row],[Days on Market]]&lt;= 90,"Average", "Slow"))</f>
        <v>Slow</v>
      </c>
      <c r="T1981" t="str">
        <f>IF(Table1[[#This Row],[Price2]]&lt;500000,"Affordable",IF(Table1[[#This Row],[Price2]]&lt;1000000,"Mid range","Luxury"))</f>
        <v>Luxury</v>
      </c>
    </row>
    <row r="1982" spans="1:20" x14ac:dyDescent="0.35">
      <c r="A1982" s="3">
        <v>1025387</v>
      </c>
      <c r="B1982" s="2" t="s">
        <v>34</v>
      </c>
      <c r="C1982">
        <v>33634</v>
      </c>
      <c r="D1982" s="2" t="s">
        <v>13</v>
      </c>
      <c r="E1982">
        <v>3</v>
      </c>
      <c r="F1982">
        <v>3</v>
      </c>
      <c r="G1982" s="4">
        <f>VALUE(SUBSTITUTE(SUBSTITUTE(Table1[[#This Row],[Price]],"$",""),",",""))</f>
        <v>1025387</v>
      </c>
      <c r="H1982" s="1">
        <f>Table1[[#This Row],[Price2]]/Table1[[#This Row],[Area]]</f>
        <v>817.69298245614038</v>
      </c>
      <c r="I1982">
        <v>1254</v>
      </c>
      <c r="J1982">
        <v>1964</v>
      </c>
      <c r="K1982">
        <v>72</v>
      </c>
      <c r="L1982" t="s">
        <v>14</v>
      </c>
      <c r="M1982" t="s">
        <v>2380</v>
      </c>
      <c r="N1982" s="2" t="s">
        <v>3029</v>
      </c>
      <c r="O1982" t="s">
        <v>3030</v>
      </c>
      <c r="P1982" t="s">
        <v>21</v>
      </c>
      <c r="Q1982">
        <v>817.69298245614038</v>
      </c>
      <c r="R1982">
        <f ca="1">YEAR(TODAY())-Table1[[#This Row],[Year Built]]</f>
        <v>62</v>
      </c>
      <c r="S1982" t="str">
        <f>IF(Table1[[#This Row],[Days on Market]] &lt; 30,"Fast",IF(Table1[[#This Row],[Days on Market]]&lt;= 90,"Average", "Slow"))</f>
        <v>Average</v>
      </c>
      <c r="T1982" t="str">
        <f>IF(Table1[[#This Row],[Price2]]&lt;500000,"Affordable",IF(Table1[[#This Row],[Price2]]&lt;1000000,"Mid range","Luxury"))</f>
        <v>Luxury</v>
      </c>
    </row>
    <row r="1983" spans="1:20" x14ac:dyDescent="0.35">
      <c r="A1983" s="3">
        <v>1025908</v>
      </c>
      <c r="B1983" s="2" t="s">
        <v>22</v>
      </c>
      <c r="C1983">
        <v>42636</v>
      </c>
      <c r="D1983" s="2" t="s">
        <v>29</v>
      </c>
      <c r="E1983">
        <v>6</v>
      </c>
      <c r="F1983">
        <v>2</v>
      </c>
      <c r="G1983" s="4">
        <f>VALUE(SUBSTITUTE(SUBSTITUTE(Table1[[#This Row],[Price]],"$",""),",",""))</f>
        <v>1025908</v>
      </c>
      <c r="H1983" s="1">
        <f>Table1[[#This Row],[Price2]]/Table1[[#This Row],[Area]]</f>
        <v>280.45598687807546</v>
      </c>
      <c r="I1983">
        <v>3658</v>
      </c>
      <c r="J1983">
        <v>1985</v>
      </c>
      <c r="K1983">
        <v>43</v>
      </c>
      <c r="L1983" t="s">
        <v>30</v>
      </c>
      <c r="M1983" t="s">
        <v>322</v>
      </c>
      <c r="N1983" s="2" t="s">
        <v>3035</v>
      </c>
      <c r="O1983" t="s">
        <v>3036</v>
      </c>
      <c r="P1983" t="s">
        <v>26</v>
      </c>
      <c r="Q1983">
        <v>280.45598687807546</v>
      </c>
      <c r="R1983">
        <f ca="1">YEAR(TODAY())-Table1[[#This Row],[Year Built]]</f>
        <v>41</v>
      </c>
      <c r="S1983" t="str">
        <f>IF(Table1[[#This Row],[Days on Market]] &lt; 30,"Fast",IF(Table1[[#This Row],[Days on Market]]&lt;= 90,"Average", "Slow"))</f>
        <v>Average</v>
      </c>
      <c r="T1983" t="str">
        <f>IF(Table1[[#This Row],[Price2]]&lt;500000,"Affordable",IF(Table1[[#This Row],[Price2]]&lt;1000000,"Mid range","Luxury"))</f>
        <v>Luxury</v>
      </c>
    </row>
    <row r="1984" spans="1:20" x14ac:dyDescent="0.35">
      <c r="A1984" s="3">
        <v>1026003</v>
      </c>
      <c r="B1984" s="2" t="s">
        <v>34</v>
      </c>
      <c r="C1984">
        <v>95520</v>
      </c>
      <c r="D1984" s="2" t="s">
        <v>29</v>
      </c>
      <c r="E1984">
        <v>2</v>
      </c>
      <c r="F1984">
        <v>4</v>
      </c>
      <c r="G1984" s="4">
        <f>VALUE(SUBSTITUTE(SUBSTITUTE(Table1[[#This Row],[Price]],"$",""),",",""))</f>
        <v>1026003</v>
      </c>
      <c r="H1984" s="1">
        <f>Table1[[#This Row],[Price2]]/Table1[[#This Row],[Area]]</f>
        <v>267.74608559498955</v>
      </c>
      <c r="I1984">
        <v>3832</v>
      </c>
      <c r="J1984">
        <v>1986</v>
      </c>
      <c r="K1984">
        <v>66</v>
      </c>
      <c r="L1984" t="s">
        <v>40</v>
      </c>
      <c r="M1984" t="s">
        <v>1167</v>
      </c>
      <c r="N1984" s="2" t="s">
        <v>3035</v>
      </c>
      <c r="O1984" t="s">
        <v>3036</v>
      </c>
      <c r="P1984" t="s">
        <v>16</v>
      </c>
      <c r="Q1984">
        <v>267.74608559498955</v>
      </c>
      <c r="R1984">
        <f ca="1">YEAR(TODAY())-Table1[[#This Row],[Year Built]]</f>
        <v>40</v>
      </c>
      <c r="S1984" t="str">
        <f>IF(Table1[[#This Row],[Days on Market]] &lt; 30,"Fast",IF(Table1[[#This Row],[Days on Market]]&lt;= 90,"Average", "Slow"))</f>
        <v>Average</v>
      </c>
      <c r="T1984" t="str">
        <f>IF(Table1[[#This Row],[Price2]]&lt;500000,"Affordable",IF(Table1[[#This Row],[Price2]]&lt;1000000,"Mid range","Luxury"))</f>
        <v>Luxury</v>
      </c>
    </row>
    <row r="1985" spans="1:20" x14ac:dyDescent="0.35">
      <c r="A1985" s="3">
        <v>1026238</v>
      </c>
      <c r="B1985" s="2" t="s">
        <v>12</v>
      </c>
      <c r="C1985">
        <v>18529</v>
      </c>
      <c r="D1985" s="2" t="s">
        <v>18</v>
      </c>
      <c r="E1985">
        <v>1</v>
      </c>
      <c r="F1985">
        <v>1</v>
      </c>
      <c r="G1985" s="4">
        <f>VALUE(SUBSTITUTE(SUBSTITUTE(Table1[[#This Row],[Price]],"$",""),",",""))</f>
        <v>1026238</v>
      </c>
      <c r="H1985" s="1">
        <f>Table1[[#This Row],[Price2]]/Table1[[#This Row],[Area]]</f>
        <v>307.90219021902192</v>
      </c>
      <c r="I1985">
        <v>3333</v>
      </c>
      <c r="J1985">
        <v>1966</v>
      </c>
      <c r="K1985">
        <v>90</v>
      </c>
      <c r="L1985" t="s">
        <v>52</v>
      </c>
      <c r="M1985" t="s">
        <v>1026</v>
      </c>
      <c r="N1985" s="2" t="s">
        <v>3031</v>
      </c>
      <c r="O1985" t="s">
        <v>3032</v>
      </c>
      <c r="P1985" t="s">
        <v>26</v>
      </c>
      <c r="Q1985">
        <v>307.90219021902192</v>
      </c>
      <c r="R1985">
        <f ca="1">YEAR(TODAY())-Table1[[#This Row],[Year Built]]</f>
        <v>60</v>
      </c>
      <c r="S1985" t="str">
        <f>IF(Table1[[#This Row],[Days on Market]] &lt; 30,"Fast",IF(Table1[[#This Row],[Days on Market]]&lt;= 90,"Average", "Slow"))</f>
        <v>Average</v>
      </c>
      <c r="T1985" t="str">
        <f>IF(Table1[[#This Row],[Price2]]&lt;500000,"Affordable",IF(Table1[[#This Row],[Price2]]&lt;1000000,"Mid range","Luxury"))</f>
        <v>Luxury</v>
      </c>
    </row>
    <row r="1986" spans="1:20" x14ac:dyDescent="0.35">
      <c r="A1986" s="3">
        <v>1026442</v>
      </c>
      <c r="B1986" s="2" t="s">
        <v>22</v>
      </c>
      <c r="C1986">
        <v>78801</v>
      </c>
      <c r="D1986" s="2" t="s">
        <v>23</v>
      </c>
      <c r="E1986">
        <v>2</v>
      </c>
      <c r="F1986">
        <v>2</v>
      </c>
      <c r="G1986" s="4">
        <f>VALUE(SUBSTITUTE(SUBSTITUTE(Table1[[#This Row],[Price]],"$",""),",",""))</f>
        <v>1026442</v>
      </c>
      <c r="H1986" s="1">
        <f>Table1[[#This Row],[Price2]]/Table1[[#This Row],[Area]]</f>
        <v>439.9665666523789</v>
      </c>
      <c r="I1986">
        <v>2333</v>
      </c>
      <c r="J1986">
        <v>1999</v>
      </c>
      <c r="K1986">
        <v>74</v>
      </c>
      <c r="L1986" t="s">
        <v>52</v>
      </c>
      <c r="M1986" t="s">
        <v>373</v>
      </c>
      <c r="N1986" s="2" t="s">
        <v>3033</v>
      </c>
      <c r="O1986" t="s">
        <v>3034</v>
      </c>
      <c r="P1986" t="s">
        <v>16</v>
      </c>
      <c r="Q1986">
        <v>439.9665666523789</v>
      </c>
      <c r="R1986">
        <f ca="1">YEAR(TODAY())-Table1[[#This Row],[Year Built]]</f>
        <v>27</v>
      </c>
      <c r="S1986" t="str">
        <f>IF(Table1[[#This Row],[Days on Market]] &lt; 30,"Fast",IF(Table1[[#This Row],[Days on Market]]&lt;= 90,"Average", "Slow"))</f>
        <v>Average</v>
      </c>
      <c r="T1986" t="str">
        <f>IF(Table1[[#This Row],[Price2]]&lt;500000,"Affordable",IF(Table1[[#This Row],[Price2]]&lt;1000000,"Mid range","Luxury"))</f>
        <v>Luxury</v>
      </c>
    </row>
    <row r="1987" spans="1:20" x14ac:dyDescent="0.35">
      <c r="A1987" s="3">
        <v>1026807</v>
      </c>
      <c r="B1987" s="2" t="s">
        <v>34</v>
      </c>
      <c r="C1987">
        <v>66386</v>
      </c>
      <c r="D1987" s="2" t="s">
        <v>29</v>
      </c>
      <c r="E1987">
        <v>5</v>
      </c>
      <c r="F1987">
        <v>2</v>
      </c>
      <c r="G1987" s="4">
        <f>VALUE(SUBSTITUTE(SUBSTITUTE(Table1[[#This Row],[Price]],"$",""),",",""))</f>
        <v>1026807</v>
      </c>
      <c r="H1987" s="1">
        <f>Table1[[#This Row],[Price2]]/Table1[[#This Row],[Area]]</f>
        <v>401.253223915592</v>
      </c>
      <c r="I1987">
        <v>2559</v>
      </c>
      <c r="J1987">
        <v>2002</v>
      </c>
      <c r="K1987">
        <v>89</v>
      </c>
      <c r="L1987" t="s">
        <v>40</v>
      </c>
      <c r="M1987" t="s">
        <v>2819</v>
      </c>
      <c r="N1987" s="2" t="s">
        <v>3029</v>
      </c>
      <c r="O1987" t="s">
        <v>3030</v>
      </c>
      <c r="P1987" t="s">
        <v>21</v>
      </c>
      <c r="Q1987">
        <v>401.253223915592</v>
      </c>
      <c r="R1987">
        <f ca="1">YEAR(TODAY())-Table1[[#This Row],[Year Built]]</f>
        <v>24</v>
      </c>
      <c r="S1987" t="str">
        <f>IF(Table1[[#This Row],[Days on Market]] &lt; 30,"Fast",IF(Table1[[#This Row],[Days on Market]]&lt;= 90,"Average", "Slow"))</f>
        <v>Average</v>
      </c>
      <c r="T1987" t="str">
        <f>IF(Table1[[#This Row],[Price2]]&lt;500000,"Affordable",IF(Table1[[#This Row],[Price2]]&lt;1000000,"Mid range","Luxury"))</f>
        <v>Luxury</v>
      </c>
    </row>
    <row r="1988" spans="1:20" x14ac:dyDescent="0.35">
      <c r="A1988" s="3">
        <v>1028164</v>
      </c>
      <c r="B1988" s="2" t="s">
        <v>34</v>
      </c>
      <c r="C1988">
        <v>36272</v>
      </c>
      <c r="D1988" s="2" t="s">
        <v>35</v>
      </c>
      <c r="E1988">
        <v>1</v>
      </c>
      <c r="F1988">
        <v>2</v>
      </c>
      <c r="G1988" s="4">
        <f>VALUE(SUBSTITUTE(SUBSTITUTE(Table1[[#This Row],[Price]],"$",""),",",""))</f>
        <v>1028164</v>
      </c>
      <c r="H1988" s="1">
        <f>Table1[[#This Row],[Price2]]/Table1[[#This Row],[Area]]</f>
        <v>281.92048258842885</v>
      </c>
      <c r="I1988">
        <v>3647</v>
      </c>
      <c r="J1988">
        <v>2008</v>
      </c>
      <c r="K1988">
        <v>61</v>
      </c>
      <c r="L1988" t="s">
        <v>14</v>
      </c>
      <c r="M1988" t="s">
        <v>2552</v>
      </c>
      <c r="N1988" s="2" t="s">
        <v>3035</v>
      </c>
      <c r="O1988" t="s">
        <v>3036</v>
      </c>
      <c r="P1988" t="s">
        <v>21</v>
      </c>
      <c r="Q1988">
        <v>281.92048258842885</v>
      </c>
      <c r="R1988">
        <f ca="1">YEAR(TODAY())-Table1[[#This Row],[Year Built]]</f>
        <v>18</v>
      </c>
      <c r="S1988" t="str">
        <f>IF(Table1[[#This Row],[Days on Market]] &lt; 30,"Fast",IF(Table1[[#This Row],[Days on Market]]&lt;= 90,"Average", "Slow"))</f>
        <v>Average</v>
      </c>
      <c r="T1988" t="str">
        <f>IF(Table1[[#This Row],[Price2]]&lt;500000,"Affordable",IF(Table1[[#This Row],[Price2]]&lt;1000000,"Mid range","Luxury"))</f>
        <v>Luxury</v>
      </c>
    </row>
    <row r="1989" spans="1:20" x14ac:dyDescent="0.35">
      <c r="A1989" s="3">
        <v>1028996</v>
      </c>
      <c r="B1989" s="2" t="s">
        <v>22</v>
      </c>
      <c r="C1989">
        <v>36212</v>
      </c>
      <c r="D1989" s="2" t="s">
        <v>23</v>
      </c>
      <c r="E1989">
        <v>6</v>
      </c>
      <c r="F1989">
        <v>2</v>
      </c>
      <c r="G1989" s="4">
        <f>VALUE(SUBSTITUTE(SUBSTITUTE(Table1[[#This Row],[Price]],"$",""),",",""))</f>
        <v>1028996</v>
      </c>
      <c r="H1989" s="1">
        <f>Table1[[#This Row],[Price2]]/Table1[[#This Row],[Area]]</f>
        <v>563.21620142309803</v>
      </c>
      <c r="I1989">
        <v>1827</v>
      </c>
      <c r="J1989">
        <v>1965</v>
      </c>
      <c r="K1989">
        <v>66</v>
      </c>
      <c r="L1989" t="s">
        <v>40</v>
      </c>
      <c r="M1989" t="s">
        <v>2964</v>
      </c>
      <c r="N1989" s="2" t="s">
        <v>3027</v>
      </c>
      <c r="O1989" t="s">
        <v>3028</v>
      </c>
      <c r="P1989" t="s">
        <v>16</v>
      </c>
      <c r="Q1989">
        <v>563.21620142309803</v>
      </c>
      <c r="R1989">
        <f ca="1">YEAR(TODAY())-Table1[[#This Row],[Year Built]]</f>
        <v>61</v>
      </c>
      <c r="S1989" t="str">
        <f>IF(Table1[[#This Row],[Days on Market]] &lt; 30,"Fast",IF(Table1[[#This Row],[Days on Market]]&lt;= 90,"Average", "Slow"))</f>
        <v>Average</v>
      </c>
      <c r="T1989" t="str">
        <f>IF(Table1[[#This Row],[Price2]]&lt;500000,"Affordable",IF(Table1[[#This Row],[Price2]]&lt;1000000,"Mid range","Luxury"))</f>
        <v>Luxury</v>
      </c>
    </row>
    <row r="1990" spans="1:20" x14ac:dyDescent="0.35">
      <c r="A1990" s="3">
        <v>1029390</v>
      </c>
      <c r="B1990" s="2" t="s">
        <v>22</v>
      </c>
      <c r="C1990">
        <v>68089</v>
      </c>
      <c r="D1990" s="2" t="s">
        <v>23</v>
      </c>
      <c r="E1990">
        <v>1</v>
      </c>
      <c r="F1990">
        <v>3</v>
      </c>
      <c r="G1990" s="4">
        <f>VALUE(SUBSTITUTE(SUBSTITUTE(Table1[[#This Row],[Price]],"$",""),",",""))</f>
        <v>1029390</v>
      </c>
      <c r="H1990" s="1">
        <f>Table1[[#This Row],[Price2]]/Table1[[#This Row],[Area]]</f>
        <v>1108.0624327233584</v>
      </c>
      <c r="I1990">
        <v>929</v>
      </c>
      <c r="J1990">
        <v>2006</v>
      </c>
      <c r="K1990">
        <v>73</v>
      </c>
      <c r="L1990" t="s">
        <v>30</v>
      </c>
      <c r="M1990" t="s">
        <v>2799</v>
      </c>
      <c r="N1990" s="2" t="s">
        <v>3029</v>
      </c>
      <c r="O1990" t="s">
        <v>3030</v>
      </c>
      <c r="P1990" t="s">
        <v>21</v>
      </c>
      <c r="Q1990">
        <v>1108.0624327233584</v>
      </c>
      <c r="R1990">
        <f ca="1">YEAR(TODAY())-Table1[[#This Row],[Year Built]]</f>
        <v>20</v>
      </c>
      <c r="S1990" t="str">
        <f>IF(Table1[[#This Row],[Days on Market]] &lt; 30,"Fast",IF(Table1[[#This Row],[Days on Market]]&lt;= 90,"Average", "Slow"))</f>
        <v>Average</v>
      </c>
      <c r="T1990" t="str">
        <f>IF(Table1[[#This Row],[Price2]]&lt;500000,"Affordable",IF(Table1[[#This Row],[Price2]]&lt;1000000,"Mid range","Luxury"))</f>
        <v>Luxury</v>
      </c>
    </row>
    <row r="1991" spans="1:20" x14ac:dyDescent="0.35">
      <c r="A1991" s="3">
        <v>1029713</v>
      </c>
      <c r="B1991" s="2" t="s">
        <v>27</v>
      </c>
      <c r="C1991">
        <v>34696</v>
      </c>
      <c r="D1991" s="2" t="s">
        <v>23</v>
      </c>
      <c r="E1991">
        <v>4</v>
      </c>
      <c r="F1991">
        <v>1</v>
      </c>
      <c r="G1991" s="4">
        <f>VALUE(SUBSTITUTE(SUBSTITUTE(Table1[[#This Row],[Price]],"$",""),",",""))</f>
        <v>1029713</v>
      </c>
      <c r="H1991" s="1">
        <f>Table1[[#This Row],[Price2]]/Table1[[#This Row],[Area]]</f>
        <v>464.0437133844074</v>
      </c>
      <c r="I1991">
        <v>2219</v>
      </c>
      <c r="J1991">
        <v>1993</v>
      </c>
      <c r="K1991">
        <v>104</v>
      </c>
      <c r="L1991" t="s">
        <v>19</v>
      </c>
      <c r="M1991" t="s">
        <v>1521</v>
      </c>
      <c r="N1991" s="2" t="s">
        <v>3033</v>
      </c>
      <c r="O1991" t="s">
        <v>3034</v>
      </c>
      <c r="P1991" t="s">
        <v>16</v>
      </c>
      <c r="Q1991">
        <v>464.0437133844074</v>
      </c>
      <c r="R1991">
        <f ca="1">YEAR(TODAY())-Table1[[#This Row],[Year Built]]</f>
        <v>33</v>
      </c>
      <c r="S1991" t="str">
        <f>IF(Table1[[#This Row],[Days on Market]] &lt; 30,"Fast",IF(Table1[[#This Row],[Days on Market]]&lt;= 90,"Average", "Slow"))</f>
        <v>Slow</v>
      </c>
      <c r="T1991" t="str">
        <f>IF(Table1[[#This Row],[Price2]]&lt;500000,"Affordable",IF(Table1[[#This Row],[Price2]]&lt;1000000,"Mid range","Luxury"))</f>
        <v>Luxury</v>
      </c>
    </row>
    <row r="1992" spans="1:20" x14ac:dyDescent="0.35">
      <c r="A1992" s="3">
        <v>1030559</v>
      </c>
      <c r="B1992" s="2" t="s">
        <v>17</v>
      </c>
      <c r="C1992">
        <v>63326</v>
      </c>
      <c r="D1992" s="2" t="s">
        <v>13</v>
      </c>
      <c r="E1992">
        <v>6</v>
      </c>
      <c r="F1992">
        <v>1</v>
      </c>
      <c r="G1992" s="4">
        <f>VALUE(SUBSTITUTE(SUBSTITUTE(Table1[[#This Row],[Price]],"$",""),",",""))</f>
        <v>1030559</v>
      </c>
      <c r="H1992" s="1">
        <f>Table1[[#This Row],[Price2]]/Table1[[#This Row],[Area]]</f>
        <v>654.32317460317461</v>
      </c>
      <c r="I1992">
        <v>1575</v>
      </c>
      <c r="J1992">
        <v>1989</v>
      </c>
      <c r="K1992">
        <v>85</v>
      </c>
      <c r="L1992" t="s">
        <v>52</v>
      </c>
      <c r="M1992" t="s">
        <v>2686</v>
      </c>
      <c r="N1992" s="2" t="s">
        <v>3035</v>
      </c>
      <c r="O1992" t="s">
        <v>3036</v>
      </c>
      <c r="P1992" t="s">
        <v>21</v>
      </c>
      <c r="Q1992">
        <v>654.32317460317461</v>
      </c>
      <c r="R1992">
        <f ca="1">YEAR(TODAY())-Table1[[#This Row],[Year Built]]</f>
        <v>37</v>
      </c>
      <c r="S1992" t="str">
        <f>IF(Table1[[#This Row],[Days on Market]] &lt; 30,"Fast",IF(Table1[[#This Row],[Days on Market]]&lt;= 90,"Average", "Slow"))</f>
        <v>Average</v>
      </c>
      <c r="T1992" t="str">
        <f>IF(Table1[[#This Row],[Price2]]&lt;500000,"Affordable",IF(Table1[[#This Row],[Price2]]&lt;1000000,"Mid range","Luxury"))</f>
        <v>Luxury</v>
      </c>
    </row>
    <row r="1993" spans="1:20" x14ac:dyDescent="0.35">
      <c r="A1993" s="3">
        <v>1031274</v>
      </c>
      <c r="B1993" s="2" t="s">
        <v>17</v>
      </c>
      <c r="C1993">
        <v>48351</v>
      </c>
      <c r="D1993" s="2" t="s">
        <v>23</v>
      </c>
      <c r="E1993">
        <v>3</v>
      </c>
      <c r="F1993">
        <v>2</v>
      </c>
      <c r="G1993" s="4">
        <f>VALUE(SUBSTITUTE(SUBSTITUTE(Table1[[#This Row],[Price]],"$",""),",",""))</f>
        <v>1031274</v>
      </c>
      <c r="H1993" s="1">
        <f>Table1[[#This Row],[Price2]]/Table1[[#This Row],[Area]]</f>
        <v>1290.7058823529412</v>
      </c>
      <c r="I1993">
        <v>799</v>
      </c>
      <c r="J1993">
        <v>1973</v>
      </c>
      <c r="K1993">
        <v>79</v>
      </c>
      <c r="L1993" t="s">
        <v>40</v>
      </c>
      <c r="M1993" t="s">
        <v>1452</v>
      </c>
      <c r="N1993" s="2" t="s">
        <v>3027</v>
      </c>
      <c r="O1993" t="s">
        <v>3028</v>
      </c>
      <c r="P1993" t="s">
        <v>21</v>
      </c>
      <c r="Q1993">
        <v>1290.7058823529412</v>
      </c>
      <c r="R1993">
        <f ca="1">YEAR(TODAY())-Table1[[#This Row],[Year Built]]</f>
        <v>53</v>
      </c>
      <c r="S1993" t="str">
        <f>IF(Table1[[#This Row],[Days on Market]] &lt; 30,"Fast",IF(Table1[[#This Row],[Days on Market]]&lt;= 90,"Average", "Slow"))</f>
        <v>Average</v>
      </c>
      <c r="T1993" t="str">
        <f>IF(Table1[[#This Row],[Price2]]&lt;500000,"Affordable",IF(Table1[[#This Row],[Price2]]&lt;1000000,"Mid range","Luxury"))</f>
        <v>Luxury</v>
      </c>
    </row>
    <row r="1994" spans="1:20" x14ac:dyDescent="0.35">
      <c r="A1994" s="3">
        <v>1033041</v>
      </c>
      <c r="B1994" s="2" t="s">
        <v>17</v>
      </c>
      <c r="C1994">
        <v>63203</v>
      </c>
      <c r="D1994" s="2" t="s">
        <v>13</v>
      </c>
      <c r="E1994">
        <v>4</v>
      </c>
      <c r="F1994">
        <v>1</v>
      </c>
      <c r="G1994" s="4">
        <f>VALUE(SUBSTITUTE(SUBSTITUTE(Table1[[#This Row],[Price]],"$",""),",",""))</f>
        <v>1033041</v>
      </c>
      <c r="H1994" s="1">
        <f>Table1[[#This Row],[Price2]]/Table1[[#This Row],[Area]]</f>
        <v>448.95306388526728</v>
      </c>
      <c r="I1994">
        <v>2301</v>
      </c>
      <c r="J1994">
        <v>1981</v>
      </c>
      <c r="K1994">
        <v>65</v>
      </c>
      <c r="L1994" t="s">
        <v>30</v>
      </c>
      <c r="M1994" t="s">
        <v>1053</v>
      </c>
      <c r="N1994" s="2" t="s">
        <v>3029</v>
      </c>
      <c r="O1994" t="s">
        <v>3030</v>
      </c>
      <c r="P1994" t="s">
        <v>26</v>
      </c>
      <c r="Q1994">
        <v>448.95306388526728</v>
      </c>
      <c r="R1994">
        <f ca="1">YEAR(TODAY())-Table1[[#This Row],[Year Built]]</f>
        <v>45</v>
      </c>
      <c r="S1994" t="str">
        <f>IF(Table1[[#This Row],[Days on Market]] &lt; 30,"Fast",IF(Table1[[#This Row],[Days on Market]]&lt;= 90,"Average", "Slow"))</f>
        <v>Average</v>
      </c>
      <c r="T1994" t="str">
        <f>IF(Table1[[#This Row],[Price2]]&lt;500000,"Affordable",IF(Table1[[#This Row],[Price2]]&lt;1000000,"Mid range","Luxury"))</f>
        <v>Luxury</v>
      </c>
    </row>
    <row r="1995" spans="1:20" x14ac:dyDescent="0.35">
      <c r="A1995" s="3">
        <v>1034308</v>
      </c>
      <c r="B1995" s="2" t="s">
        <v>27</v>
      </c>
      <c r="C1995">
        <v>78693</v>
      </c>
      <c r="D1995" s="2" t="s">
        <v>13</v>
      </c>
      <c r="E1995">
        <v>3</v>
      </c>
      <c r="F1995">
        <v>1</v>
      </c>
      <c r="G1995" s="4">
        <f>VALUE(SUBSTITUTE(SUBSTITUTE(Table1[[#This Row],[Price]],"$",""),",",""))</f>
        <v>1034308</v>
      </c>
      <c r="H1995" s="1">
        <f>Table1[[#This Row],[Price2]]/Table1[[#This Row],[Area]]</f>
        <v>265.54762516046213</v>
      </c>
      <c r="I1995">
        <v>3895</v>
      </c>
      <c r="J1995">
        <v>2001</v>
      </c>
      <c r="K1995">
        <v>49</v>
      </c>
      <c r="L1995" t="s">
        <v>19</v>
      </c>
      <c r="M1995" t="s">
        <v>1451</v>
      </c>
      <c r="N1995" s="2" t="s">
        <v>3031</v>
      </c>
      <c r="O1995" t="s">
        <v>3032</v>
      </c>
      <c r="P1995" t="s">
        <v>16</v>
      </c>
      <c r="Q1995">
        <v>265.54762516046213</v>
      </c>
      <c r="R1995">
        <f ca="1">YEAR(TODAY())-Table1[[#This Row],[Year Built]]</f>
        <v>25</v>
      </c>
      <c r="S1995" t="str">
        <f>IF(Table1[[#This Row],[Days on Market]] &lt; 30,"Fast",IF(Table1[[#This Row],[Days on Market]]&lt;= 90,"Average", "Slow"))</f>
        <v>Average</v>
      </c>
      <c r="T1995" t="str">
        <f>IF(Table1[[#This Row],[Price2]]&lt;500000,"Affordable",IF(Table1[[#This Row],[Price2]]&lt;1000000,"Mid range","Luxury"))</f>
        <v>Luxury</v>
      </c>
    </row>
    <row r="1996" spans="1:20" x14ac:dyDescent="0.35">
      <c r="A1996" s="3">
        <v>1035174</v>
      </c>
      <c r="B1996" s="2" t="s">
        <v>22</v>
      </c>
      <c r="C1996">
        <v>22390</v>
      </c>
      <c r="D1996" s="2" t="s">
        <v>18</v>
      </c>
      <c r="E1996">
        <v>1</v>
      </c>
      <c r="F1996">
        <v>4</v>
      </c>
      <c r="G1996" s="4">
        <f>VALUE(SUBSTITUTE(SUBSTITUTE(Table1[[#This Row],[Price]],"$",""),",",""))</f>
        <v>1035174</v>
      </c>
      <c r="H1996" s="1">
        <f>Table1[[#This Row],[Price2]]/Table1[[#This Row],[Area]]</f>
        <v>898.58854166666663</v>
      </c>
      <c r="I1996">
        <v>1152</v>
      </c>
      <c r="J1996">
        <v>1998</v>
      </c>
      <c r="K1996">
        <v>20</v>
      </c>
      <c r="L1996" t="s">
        <v>14</v>
      </c>
      <c r="M1996" t="s">
        <v>3005</v>
      </c>
      <c r="N1996" s="2" t="s">
        <v>3029</v>
      </c>
      <c r="O1996" t="s">
        <v>3030</v>
      </c>
      <c r="P1996" t="s">
        <v>16</v>
      </c>
      <c r="Q1996">
        <v>898.58854166666663</v>
      </c>
      <c r="R1996">
        <f ca="1">YEAR(TODAY())-Table1[[#This Row],[Year Built]]</f>
        <v>28</v>
      </c>
      <c r="S1996" t="str">
        <f>IF(Table1[[#This Row],[Days on Market]] &lt; 30,"Fast",IF(Table1[[#This Row],[Days on Market]]&lt;= 90,"Average", "Slow"))</f>
        <v>Fast</v>
      </c>
      <c r="T1996" t="str">
        <f>IF(Table1[[#This Row],[Price2]]&lt;500000,"Affordable",IF(Table1[[#This Row],[Price2]]&lt;1000000,"Mid range","Luxury"))</f>
        <v>Luxury</v>
      </c>
    </row>
    <row r="1997" spans="1:20" x14ac:dyDescent="0.35">
      <c r="A1997" s="3">
        <v>1035884</v>
      </c>
      <c r="B1997" s="2" t="s">
        <v>27</v>
      </c>
      <c r="C1997">
        <v>79542</v>
      </c>
      <c r="D1997" s="2" t="s">
        <v>18</v>
      </c>
      <c r="E1997">
        <v>2</v>
      </c>
      <c r="F1997">
        <v>3</v>
      </c>
      <c r="G1997" s="4">
        <f>VALUE(SUBSTITUTE(SUBSTITUTE(Table1[[#This Row],[Price]],"$",""),",",""))</f>
        <v>1035884</v>
      </c>
      <c r="H1997" s="1">
        <f>Table1[[#This Row],[Price2]]/Table1[[#This Row],[Area]]</f>
        <v>515.10890104425664</v>
      </c>
      <c r="I1997">
        <v>2011</v>
      </c>
      <c r="J1997">
        <v>1969</v>
      </c>
      <c r="K1997">
        <v>86</v>
      </c>
      <c r="L1997" t="s">
        <v>14</v>
      </c>
      <c r="M1997" t="s">
        <v>2987</v>
      </c>
      <c r="N1997" s="2" t="s">
        <v>3029</v>
      </c>
      <c r="O1997" t="s">
        <v>3030</v>
      </c>
      <c r="P1997" t="s">
        <v>16</v>
      </c>
      <c r="Q1997">
        <v>515.10890104425664</v>
      </c>
      <c r="R1997">
        <f ca="1">YEAR(TODAY())-Table1[[#This Row],[Year Built]]</f>
        <v>57</v>
      </c>
      <c r="S1997" t="str">
        <f>IF(Table1[[#This Row],[Days on Market]] &lt; 30,"Fast",IF(Table1[[#This Row],[Days on Market]]&lt;= 90,"Average", "Slow"))</f>
        <v>Average</v>
      </c>
      <c r="T1997" t="str">
        <f>IF(Table1[[#This Row],[Price2]]&lt;500000,"Affordable",IF(Table1[[#This Row],[Price2]]&lt;1000000,"Mid range","Luxury"))</f>
        <v>Luxury</v>
      </c>
    </row>
    <row r="1998" spans="1:20" x14ac:dyDescent="0.35">
      <c r="A1998" s="3">
        <v>1036105</v>
      </c>
      <c r="B1998" s="2" t="s">
        <v>22</v>
      </c>
      <c r="C1998">
        <v>96358</v>
      </c>
      <c r="D1998" s="2" t="s">
        <v>13</v>
      </c>
      <c r="E1998">
        <v>5</v>
      </c>
      <c r="F1998">
        <v>1</v>
      </c>
      <c r="G1998" s="4">
        <f>VALUE(SUBSTITUTE(SUBSTITUTE(Table1[[#This Row],[Price]],"$",""),",",""))</f>
        <v>1036105</v>
      </c>
      <c r="H1998" s="1">
        <f>Table1[[#This Row],[Price2]]/Table1[[#This Row],[Area]]</f>
        <v>316.85168195718654</v>
      </c>
      <c r="I1998">
        <v>3270</v>
      </c>
      <c r="J1998">
        <v>1973</v>
      </c>
      <c r="K1998">
        <v>63</v>
      </c>
      <c r="L1998" t="s">
        <v>52</v>
      </c>
      <c r="M1998" t="s">
        <v>3018</v>
      </c>
      <c r="N1998" s="2" t="s">
        <v>3033</v>
      </c>
      <c r="O1998" t="s">
        <v>3034</v>
      </c>
      <c r="P1998" t="s">
        <v>21</v>
      </c>
      <c r="Q1998">
        <v>316.85168195718654</v>
      </c>
      <c r="R1998">
        <f ca="1">YEAR(TODAY())-Table1[[#This Row],[Year Built]]</f>
        <v>53</v>
      </c>
      <c r="S1998" t="str">
        <f>IF(Table1[[#This Row],[Days on Market]] &lt; 30,"Fast",IF(Table1[[#This Row],[Days on Market]]&lt;= 90,"Average", "Slow"))</f>
        <v>Average</v>
      </c>
      <c r="T1998" t="str">
        <f>IF(Table1[[#This Row],[Price2]]&lt;500000,"Affordable",IF(Table1[[#This Row],[Price2]]&lt;1000000,"Mid range","Luxury"))</f>
        <v>Luxury</v>
      </c>
    </row>
    <row r="1999" spans="1:20" x14ac:dyDescent="0.35">
      <c r="A1999" s="3">
        <v>1036583</v>
      </c>
      <c r="B1999" s="2" t="s">
        <v>22</v>
      </c>
      <c r="C1999">
        <v>58984</v>
      </c>
      <c r="D1999" s="2" t="s">
        <v>18</v>
      </c>
      <c r="E1999">
        <v>3</v>
      </c>
      <c r="F1999">
        <v>4</v>
      </c>
      <c r="G1999" s="4">
        <f>VALUE(SUBSTITUTE(SUBSTITUTE(Table1[[#This Row],[Price]],"$",""),",",""))</f>
        <v>1036583</v>
      </c>
      <c r="H1999" s="1">
        <f>Table1[[#This Row],[Price2]]/Table1[[#This Row],[Area]]</f>
        <v>276.27478678038381</v>
      </c>
      <c r="I1999">
        <v>3752</v>
      </c>
      <c r="J1999">
        <v>2003</v>
      </c>
      <c r="K1999">
        <v>27</v>
      </c>
      <c r="L1999" t="s">
        <v>19</v>
      </c>
      <c r="M1999" t="s">
        <v>683</v>
      </c>
      <c r="N1999" s="2" t="s">
        <v>3033</v>
      </c>
      <c r="O1999" t="s">
        <v>3034</v>
      </c>
      <c r="P1999" t="s">
        <v>21</v>
      </c>
      <c r="Q1999">
        <v>276.27478678038381</v>
      </c>
      <c r="R1999">
        <f ca="1">YEAR(TODAY())-Table1[[#This Row],[Year Built]]</f>
        <v>23</v>
      </c>
      <c r="S1999" t="str">
        <f>IF(Table1[[#This Row],[Days on Market]] &lt; 30,"Fast",IF(Table1[[#This Row],[Days on Market]]&lt;= 90,"Average", "Slow"))</f>
        <v>Fast</v>
      </c>
      <c r="T1999" t="str">
        <f>IF(Table1[[#This Row],[Price2]]&lt;500000,"Affordable",IF(Table1[[#This Row],[Price2]]&lt;1000000,"Mid range","Luxury"))</f>
        <v>Luxury</v>
      </c>
    </row>
    <row r="2000" spans="1:20" x14ac:dyDescent="0.35">
      <c r="A2000" s="3">
        <v>1037281</v>
      </c>
      <c r="B2000" s="2" t="s">
        <v>34</v>
      </c>
      <c r="C2000">
        <v>45047</v>
      </c>
      <c r="D2000" s="2" t="s">
        <v>35</v>
      </c>
      <c r="E2000">
        <v>4</v>
      </c>
      <c r="F2000">
        <v>1</v>
      </c>
      <c r="G2000" s="4">
        <f>VALUE(SUBSTITUTE(SUBSTITUTE(Table1[[#This Row],[Price]],"$",""),",",""))</f>
        <v>1037281</v>
      </c>
      <c r="H2000" s="1">
        <f>Table1[[#This Row],[Price2]]/Table1[[#This Row],[Area]]</f>
        <v>272.46677173627529</v>
      </c>
      <c r="I2000">
        <v>3807</v>
      </c>
      <c r="J2000">
        <v>1959</v>
      </c>
      <c r="K2000">
        <v>45</v>
      </c>
      <c r="L2000" t="s">
        <v>14</v>
      </c>
      <c r="M2000" t="s">
        <v>1552</v>
      </c>
      <c r="N2000" s="2" t="s">
        <v>3029</v>
      </c>
      <c r="O2000" t="s">
        <v>3030</v>
      </c>
      <c r="P2000" t="s">
        <v>26</v>
      </c>
      <c r="Q2000">
        <v>272.46677173627529</v>
      </c>
      <c r="R2000">
        <f ca="1">YEAR(TODAY())-Table1[[#This Row],[Year Built]]</f>
        <v>67</v>
      </c>
      <c r="S2000" t="str">
        <f>IF(Table1[[#This Row],[Days on Market]] &lt; 30,"Fast",IF(Table1[[#This Row],[Days on Market]]&lt;= 90,"Average", "Slow"))</f>
        <v>Average</v>
      </c>
      <c r="T2000" t="str">
        <f>IF(Table1[[#This Row],[Price2]]&lt;500000,"Affordable",IF(Table1[[#This Row],[Price2]]&lt;1000000,"Mid range","Luxury"))</f>
        <v>Luxury</v>
      </c>
    </row>
    <row r="2001" spans="1:20" x14ac:dyDescent="0.35">
      <c r="A2001" s="3">
        <v>1038423</v>
      </c>
      <c r="B2001" s="2" t="s">
        <v>12</v>
      </c>
      <c r="C2001">
        <v>92122</v>
      </c>
      <c r="D2001" s="2" t="s">
        <v>13</v>
      </c>
      <c r="E2001">
        <v>5</v>
      </c>
      <c r="F2001">
        <v>4</v>
      </c>
      <c r="G2001" s="4">
        <f>VALUE(SUBSTITUTE(SUBSTITUTE(Table1[[#This Row],[Price]],"$",""),",",""))</f>
        <v>1038423</v>
      </c>
      <c r="H2001" s="1">
        <f>Table1[[#This Row],[Price2]]/Table1[[#This Row],[Area]]</f>
        <v>285.12438220757826</v>
      </c>
      <c r="I2001">
        <v>3642</v>
      </c>
      <c r="J2001">
        <v>1978</v>
      </c>
      <c r="K2001">
        <v>32</v>
      </c>
      <c r="L2001" t="s">
        <v>14</v>
      </c>
      <c r="M2001" t="s">
        <v>1618</v>
      </c>
      <c r="N2001" s="2" t="s">
        <v>3029</v>
      </c>
      <c r="O2001" t="s">
        <v>3030</v>
      </c>
      <c r="P2001" t="s">
        <v>26</v>
      </c>
      <c r="Q2001">
        <v>285.12438220757826</v>
      </c>
      <c r="R2001">
        <f ca="1">YEAR(TODAY())-Table1[[#This Row],[Year Built]]</f>
        <v>48</v>
      </c>
      <c r="S2001" t="str">
        <f>IF(Table1[[#This Row],[Days on Market]] &lt; 30,"Fast",IF(Table1[[#This Row],[Days on Market]]&lt;= 90,"Average", "Slow"))</f>
        <v>Average</v>
      </c>
      <c r="T2001" t="str">
        <f>IF(Table1[[#This Row],[Price2]]&lt;500000,"Affordable",IF(Table1[[#This Row],[Price2]]&lt;1000000,"Mid range","Luxury"))</f>
        <v>Luxury</v>
      </c>
    </row>
    <row r="2002" spans="1:20" x14ac:dyDescent="0.35">
      <c r="A2002" s="3">
        <v>1038877</v>
      </c>
      <c r="B2002" s="2" t="s">
        <v>22</v>
      </c>
      <c r="C2002">
        <v>79405</v>
      </c>
      <c r="D2002" s="2" t="s">
        <v>13</v>
      </c>
      <c r="E2002">
        <v>6</v>
      </c>
      <c r="F2002">
        <v>3</v>
      </c>
      <c r="G2002" s="4">
        <f>VALUE(SUBSTITUTE(SUBSTITUTE(Table1[[#This Row],[Price]],"$",""),",",""))</f>
        <v>1038877</v>
      </c>
      <c r="H2002" s="1">
        <f>Table1[[#This Row],[Price2]]/Table1[[#This Row],[Area]]</f>
        <v>282.8415464198203</v>
      </c>
      <c r="I2002">
        <v>3673</v>
      </c>
      <c r="J2002">
        <v>1968</v>
      </c>
      <c r="K2002">
        <v>19</v>
      </c>
      <c r="L2002" t="s">
        <v>14</v>
      </c>
      <c r="M2002" t="s">
        <v>1595</v>
      </c>
      <c r="N2002" s="2" t="s">
        <v>3027</v>
      </c>
      <c r="O2002" t="s">
        <v>3028</v>
      </c>
      <c r="P2002" t="s">
        <v>21</v>
      </c>
      <c r="Q2002">
        <v>282.8415464198203</v>
      </c>
      <c r="R2002">
        <f ca="1">YEAR(TODAY())-Table1[[#This Row],[Year Built]]</f>
        <v>58</v>
      </c>
      <c r="S2002" t="str">
        <f>IF(Table1[[#This Row],[Days on Market]] &lt; 30,"Fast",IF(Table1[[#This Row],[Days on Market]]&lt;= 90,"Average", "Slow"))</f>
        <v>Fast</v>
      </c>
      <c r="T2002" t="str">
        <f>IF(Table1[[#This Row],[Price2]]&lt;500000,"Affordable",IF(Table1[[#This Row],[Price2]]&lt;1000000,"Mid range","Luxury"))</f>
        <v>Luxury</v>
      </c>
    </row>
    <row r="2003" spans="1:20" x14ac:dyDescent="0.35">
      <c r="A2003" s="3">
        <v>1039105</v>
      </c>
      <c r="B2003" s="2" t="s">
        <v>12</v>
      </c>
      <c r="C2003">
        <v>30020</v>
      </c>
      <c r="D2003" s="2" t="s">
        <v>35</v>
      </c>
      <c r="E2003">
        <v>4</v>
      </c>
      <c r="F2003">
        <v>2</v>
      </c>
      <c r="G2003" s="4">
        <f>VALUE(SUBSTITUTE(SUBSTITUTE(Table1[[#This Row],[Price]],"$",""),",",""))</f>
        <v>1039105</v>
      </c>
      <c r="H2003" s="1">
        <f>Table1[[#This Row],[Price2]]/Table1[[#This Row],[Area]]</f>
        <v>585.41126760563384</v>
      </c>
      <c r="I2003">
        <v>1775</v>
      </c>
      <c r="J2003">
        <v>1989</v>
      </c>
      <c r="K2003">
        <v>51</v>
      </c>
      <c r="L2003" t="s">
        <v>14</v>
      </c>
      <c r="M2003" t="s">
        <v>1854</v>
      </c>
      <c r="N2003" s="2" t="s">
        <v>3027</v>
      </c>
      <c r="O2003" t="s">
        <v>3028</v>
      </c>
      <c r="P2003" t="s">
        <v>26</v>
      </c>
      <c r="Q2003">
        <v>585.41126760563384</v>
      </c>
      <c r="R2003">
        <f ca="1">YEAR(TODAY())-Table1[[#This Row],[Year Built]]</f>
        <v>37</v>
      </c>
      <c r="S2003" t="str">
        <f>IF(Table1[[#This Row],[Days on Market]] &lt; 30,"Fast",IF(Table1[[#This Row],[Days on Market]]&lt;= 90,"Average", "Slow"))</f>
        <v>Average</v>
      </c>
      <c r="T2003" t="str">
        <f>IF(Table1[[#This Row],[Price2]]&lt;500000,"Affordable",IF(Table1[[#This Row],[Price2]]&lt;1000000,"Mid range","Luxury"))</f>
        <v>Luxury</v>
      </c>
    </row>
    <row r="2004" spans="1:20" x14ac:dyDescent="0.35">
      <c r="A2004" s="3">
        <v>1039764</v>
      </c>
      <c r="B2004" s="2" t="s">
        <v>27</v>
      </c>
      <c r="C2004">
        <v>41219</v>
      </c>
      <c r="D2004" s="2" t="s">
        <v>18</v>
      </c>
      <c r="E2004">
        <v>1</v>
      </c>
      <c r="F2004">
        <v>2</v>
      </c>
      <c r="G2004" s="4">
        <f>VALUE(SUBSTITUTE(SUBSTITUTE(Table1[[#This Row],[Price]],"$",""),",",""))</f>
        <v>1039764</v>
      </c>
      <c r="H2004" s="1">
        <f>Table1[[#This Row],[Price2]]/Table1[[#This Row],[Area]]</f>
        <v>267.0169491525424</v>
      </c>
      <c r="I2004">
        <v>3894</v>
      </c>
      <c r="J2004">
        <v>2000</v>
      </c>
      <c r="K2004">
        <v>97</v>
      </c>
      <c r="L2004" t="s">
        <v>52</v>
      </c>
      <c r="M2004" t="s">
        <v>2426</v>
      </c>
      <c r="N2004" s="2" t="s">
        <v>3035</v>
      </c>
      <c r="O2004" t="s">
        <v>3036</v>
      </c>
      <c r="P2004" t="s">
        <v>16</v>
      </c>
      <c r="Q2004">
        <v>267.0169491525424</v>
      </c>
      <c r="R2004">
        <f ca="1">YEAR(TODAY())-Table1[[#This Row],[Year Built]]</f>
        <v>26</v>
      </c>
      <c r="S2004" t="str">
        <f>IF(Table1[[#This Row],[Days on Market]] &lt; 30,"Fast",IF(Table1[[#This Row],[Days on Market]]&lt;= 90,"Average", "Slow"))</f>
        <v>Slow</v>
      </c>
      <c r="T2004" t="str">
        <f>IF(Table1[[#This Row],[Price2]]&lt;500000,"Affordable",IF(Table1[[#This Row],[Price2]]&lt;1000000,"Mid range","Luxury"))</f>
        <v>Luxury</v>
      </c>
    </row>
    <row r="2005" spans="1:20" x14ac:dyDescent="0.35">
      <c r="A2005" s="3">
        <v>1040215</v>
      </c>
      <c r="B2005" s="2" t="s">
        <v>27</v>
      </c>
      <c r="C2005">
        <v>55444</v>
      </c>
      <c r="D2005" s="2" t="s">
        <v>35</v>
      </c>
      <c r="E2005">
        <v>5</v>
      </c>
      <c r="F2005">
        <v>4</v>
      </c>
      <c r="G2005" s="4">
        <f>VALUE(SUBSTITUTE(SUBSTITUTE(Table1[[#This Row],[Price]],"$",""),",",""))</f>
        <v>1040215</v>
      </c>
      <c r="H2005" s="1">
        <f>Table1[[#This Row],[Price2]]/Table1[[#This Row],[Area]]</f>
        <v>488.36384976525824</v>
      </c>
      <c r="I2005">
        <v>2130</v>
      </c>
      <c r="J2005">
        <v>2008</v>
      </c>
      <c r="K2005">
        <v>43</v>
      </c>
      <c r="L2005" t="s">
        <v>19</v>
      </c>
      <c r="M2005" t="s">
        <v>605</v>
      </c>
      <c r="N2005" s="2" t="s">
        <v>3027</v>
      </c>
      <c r="O2005" t="s">
        <v>3028</v>
      </c>
      <c r="P2005" t="s">
        <v>21</v>
      </c>
      <c r="Q2005">
        <v>488.36384976525824</v>
      </c>
      <c r="R2005">
        <f ca="1">YEAR(TODAY())-Table1[[#This Row],[Year Built]]</f>
        <v>18</v>
      </c>
      <c r="S2005" t="str">
        <f>IF(Table1[[#This Row],[Days on Market]] &lt; 30,"Fast",IF(Table1[[#This Row],[Days on Market]]&lt;= 90,"Average", "Slow"))</f>
        <v>Average</v>
      </c>
      <c r="T2005" t="str">
        <f>IF(Table1[[#This Row],[Price2]]&lt;500000,"Affordable",IF(Table1[[#This Row],[Price2]]&lt;1000000,"Mid range","Luxury"))</f>
        <v>Luxury</v>
      </c>
    </row>
    <row r="2006" spans="1:20" x14ac:dyDescent="0.35">
      <c r="A2006" s="3">
        <v>1041999</v>
      </c>
      <c r="B2006" s="2" t="s">
        <v>27</v>
      </c>
      <c r="C2006">
        <v>14871</v>
      </c>
      <c r="D2006" s="2" t="s">
        <v>13</v>
      </c>
      <c r="E2006">
        <v>5</v>
      </c>
      <c r="F2006">
        <v>1</v>
      </c>
      <c r="G2006" s="4">
        <f>VALUE(SUBSTITUTE(SUBSTITUTE(Table1[[#This Row],[Price]],"$",""),",",""))</f>
        <v>1041999</v>
      </c>
      <c r="H2006" s="1">
        <f>Table1[[#This Row],[Price2]]/Table1[[#This Row],[Area]]</f>
        <v>507.796783625731</v>
      </c>
      <c r="I2006">
        <v>2052</v>
      </c>
      <c r="J2006">
        <v>1976</v>
      </c>
      <c r="K2006">
        <v>9</v>
      </c>
      <c r="L2006" t="s">
        <v>19</v>
      </c>
      <c r="M2006" t="s">
        <v>1900</v>
      </c>
      <c r="N2006" s="2" t="s">
        <v>3027</v>
      </c>
      <c r="O2006" t="s">
        <v>3028</v>
      </c>
      <c r="P2006" t="s">
        <v>26</v>
      </c>
      <c r="Q2006">
        <v>507.796783625731</v>
      </c>
      <c r="R2006">
        <f ca="1">YEAR(TODAY())-Table1[[#This Row],[Year Built]]</f>
        <v>50</v>
      </c>
      <c r="S2006" t="str">
        <f>IF(Table1[[#This Row],[Days on Market]] &lt; 30,"Fast",IF(Table1[[#This Row],[Days on Market]]&lt;= 90,"Average", "Slow"))</f>
        <v>Fast</v>
      </c>
      <c r="T2006" t="str">
        <f>IF(Table1[[#This Row],[Price2]]&lt;500000,"Affordable",IF(Table1[[#This Row],[Price2]]&lt;1000000,"Mid range","Luxury"))</f>
        <v>Luxury</v>
      </c>
    </row>
    <row r="2007" spans="1:20" x14ac:dyDescent="0.35">
      <c r="A2007" s="3">
        <v>1042458</v>
      </c>
      <c r="B2007" s="2" t="s">
        <v>17</v>
      </c>
      <c r="C2007">
        <v>52312</v>
      </c>
      <c r="D2007" s="2" t="s">
        <v>18</v>
      </c>
      <c r="E2007">
        <v>4</v>
      </c>
      <c r="F2007">
        <v>1</v>
      </c>
      <c r="G2007" s="4">
        <f>VALUE(SUBSTITUTE(SUBSTITUTE(Table1[[#This Row],[Price]],"$",""),",",""))</f>
        <v>1042458</v>
      </c>
      <c r="H2007" s="1">
        <f>Table1[[#This Row],[Price2]]/Table1[[#This Row],[Area]]</f>
        <v>682.68369351669946</v>
      </c>
      <c r="I2007">
        <v>1527</v>
      </c>
      <c r="J2007">
        <v>1997</v>
      </c>
      <c r="K2007">
        <v>110</v>
      </c>
      <c r="L2007" t="s">
        <v>19</v>
      </c>
      <c r="M2007" t="s">
        <v>1668</v>
      </c>
      <c r="N2007" s="2" t="s">
        <v>3033</v>
      </c>
      <c r="O2007" t="s">
        <v>3034</v>
      </c>
      <c r="P2007" t="s">
        <v>26</v>
      </c>
      <c r="Q2007">
        <v>682.68369351669946</v>
      </c>
      <c r="R2007">
        <f ca="1">YEAR(TODAY())-Table1[[#This Row],[Year Built]]</f>
        <v>29</v>
      </c>
      <c r="S2007" t="str">
        <f>IF(Table1[[#This Row],[Days on Market]] &lt; 30,"Fast",IF(Table1[[#This Row],[Days on Market]]&lt;= 90,"Average", "Slow"))</f>
        <v>Slow</v>
      </c>
      <c r="T2007" t="str">
        <f>IF(Table1[[#This Row],[Price2]]&lt;500000,"Affordable",IF(Table1[[#This Row],[Price2]]&lt;1000000,"Mid range","Luxury"))</f>
        <v>Luxury</v>
      </c>
    </row>
    <row r="2008" spans="1:20" x14ac:dyDescent="0.35">
      <c r="A2008" s="3">
        <v>1042856</v>
      </c>
      <c r="B2008" s="2" t="s">
        <v>12</v>
      </c>
      <c r="C2008">
        <v>41974</v>
      </c>
      <c r="D2008" s="2" t="s">
        <v>35</v>
      </c>
      <c r="E2008">
        <v>2</v>
      </c>
      <c r="F2008">
        <v>1</v>
      </c>
      <c r="G2008" s="4">
        <f>VALUE(SUBSTITUTE(SUBSTITUTE(Table1[[#This Row],[Price]],"$",""),",",""))</f>
        <v>1042856</v>
      </c>
      <c r="H2008" s="1">
        <f>Table1[[#This Row],[Price2]]/Table1[[#This Row],[Area]]</f>
        <v>640.57493857493853</v>
      </c>
      <c r="I2008">
        <v>1628</v>
      </c>
      <c r="J2008">
        <v>1957</v>
      </c>
      <c r="K2008">
        <v>22</v>
      </c>
      <c r="L2008" t="s">
        <v>14</v>
      </c>
      <c r="M2008" t="s">
        <v>2701</v>
      </c>
      <c r="N2008" s="2" t="s">
        <v>3027</v>
      </c>
      <c r="O2008" t="s">
        <v>3028</v>
      </c>
      <c r="P2008" t="s">
        <v>26</v>
      </c>
      <c r="Q2008">
        <v>640.57493857493853</v>
      </c>
      <c r="R2008">
        <f ca="1">YEAR(TODAY())-Table1[[#This Row],[Year Built]]</f>
        <v>69</v>
      </c>
      <c r="S2008" t="str">
        <f>IF(Table1[[#This Row],[Days on Market]] &lt; 30,"Fast",IF(Table1[[#This Row],[Days on Market]]&lt;= 90,"Average", "Slow"))</f>
        <v>Fast</v>
      </c>
      <c r="T2008" t="str">
        <f>IF(Table1[[#This Row],[Price2]]&lt;500000,"Affordable",IF(Table1[[#This Row],[Price2]]&lt;1000000,"Mid range","Luxury"))</f>
        <v>Luxury</v>
      </c>
    </row>
    <row r="2009" spans="1:20" x14ac:dyDescent="0.35">
      <c r="A2009" s="3">
        <v>1043199</v>
      </c>
      <c r="B2009" s="2" t="s">
        <v>17</v>
      </c>
      <c r="C2009">
        <v>79672</v>
      </c>
      <c r="D2009" s="2" t="s">
        <v>18</v>
      </c>
      <c r="E2009">
        <v>4</v>
      </c>
      <c r="F2009">
        <v>3</v>
      </c>
      <c r="G2009" s="4">
        <f>VALUE(SUBSTITUTE(SUBSTITUTE(Table1[[#This Row],[Price]],"$",""),",",""))</f>
        <v>1043199</v>
      </c>
      <c r="H2009" s="1">
        <f>Table1[[#This Row],[Price2]]/Table1[[#This Row],[Area]]</f>
        <v>382.26419934041775</v>
      </c>
      <c r="I2009">
        <v>2729</v>
      </c>
      <c r="J2009">
        <v>1965</v>
      </c>
      <c r="K2009">
        <v>99</v>
      </c>
      <c r="L2009" t="s">
        <v>52</v>
      </c>
      <c r="M2009" t="s">
        <v>1894</v>
      </c>
      <c r="N2009" s="2" t="s">
        <v>3035</v>
      </c>
      <c r="O2009" t="s">
        <v>3036</v>
      </c>
      <c r="P2009" t="s">
        <v>21</v>
      </c>
      <c r="Q2009">
        <v>382.26419934041775</v>
      </c>
      <c r="R2009">
        <f ca="1">YEAR(TODAY())-Table1[[#This Row],[Year Built]]</f>
        <v>61</v>
      </c>
      <c r="S2009" t="str">
        <f>IF(Table1[[#This Row],[Days on Market]] &lt; 30,"Fast",IF(Table1[[#This Row],[Days on Market]]&lt;= 90,"Average", "Slow"))</f>
        <v>Slow</v>
      </c>
      <c r="T2009" t="str">
        <f>IF(Table1[[#This Row],[Price2]]&lt;500000,"Affordable",IF(Table1[[#This Row],[Price2]]&lt;1000000,"Mid range","Luxury"))</f>
        <v>Luxury</v>
      </c>
    </row>
    <row r="2010" spans="1:20" x14ac:dyDescent="0.35">
      <c r="A2010" s="3">
        <v>1043402</v>
      </c>
      <c r="B2010" s="2" t="s">
        <v>34</v>
      </c>
      <c r="C2010">
        <v>19426</v>
      </c>
      <c r="D2010" s="2" t="s">
        <v>29</v>
      </c>
      <c r="E2010">
        <v>6</v>
      </c>
      <c r="F2010">
        <v>3</v>
      </c>
      <c r="G2010" s="4">
        <f>VALUE(SUBSTITUTE(SUBSTITUTE(Table1[[#This Row],[Price]],"$",""),",",""))</f>
        <v>1043402</v>
      </c>
      <c r="H2010" s="1">
        <f>Table1[[#This Row],[Price2]]/Table1[[#This Row],[Area]]</f>
        <v>380.6647209047793</v>
      </c>
      <c r="I2010">
        <v>2741</v>
      </c>
      <c r="J2010">
        <v>1968</v>
      </c>
      <c r="K2010">
        <v>47</v>
      </c>
      <c r="L2010" t="s">
        <v>52</v>
      </c>
      <c r="M2010" t="s">
        <v>294</v>
      </c>
      <c r="N2010" s="2" t="s">
        <v>3029</v>
      </c>
      <c r="O2010" t="s">
        <v>3030</v>
      </c>
      <c r="P2010" t="s">
        <v>21</v>
      </c>
      <c r="Q2010">
        <v>380.6647209047793</v>
      </c>
      <c r="R2010">
        <f ca="1">YEAR(TODAY())-Table1[[#This Row],[Year Built]]</f>
        <v>58</v>
      </c>
      <c r="S2010" t="str">
        <f>IF(Table1[[#This Row],[Days on Market]] &lt; 30,"Fast",IF(Table1[[#This Row],[Days on Market]]&lt;= 90,"Average", "Slow"))</f>
        <v>Average</v>
      </c>
      <c r="T2010" t="str">
        <f>IF(Table1[[#This Row],[Price2]]&lt;500000,"Affordable",IF(Table1[[#This Row],[Price2]]&lt;1000000,"Mid range","Luxury"))</f>
        <v>Luxury</v>
      </c>
    </row>
    <row r="2011" spans="1:20" x14ac:dyDescent="0.35">
      <c r="A2011" s="3">
        <v>1043450</v>
      </c>
      <c r="B2011" s="2" t="s">
        <v>12</v>
      </c>
      <c r="C2011">
        <v>42663</v>
      </c>
      <c r="D2011" s="2" t="s">
        <v>13</v>
      </c>
      <c r="E2011">
        <v>1</v>
      </c>
      <c r="F2011">
        <v>3</v>
      </c>
      <c r="G2011" s="4">
        <f>VALUE(SUBSTITUTE(SUBSTITUTE(Table1[[#This Row],[Price]],"$",""),",",""))</f>
        <v>1043450</v>
      </c>
      <c r="H2011" s="1">
        <f>Table1[[#This Row],[Price2]]/Table1[[#This Row],[Area]]</f>
        <v>499.49736716132122</v>
      </c>
      <c r="I2011">
        <v>2089</v>
      </c>
      <c r="J2011">
        <v>1960</v>
      </c>
      <c r="K2011">
        <v>70</v>
      </c>
      <c r="L2011" t="s">
        <v>19</v>
      </c>
      <c r="M2011" t="s">
        <v>2905</v>
      </c>
      <c r="N2011" s="2" t="s">
        <v>3035</v>
      </c>
      <c r="O2011" t="s">
        <v>3036</v>
      </c>
      <c r="P2011" t="s">
        <v>26</v>
      </c>
      <c r="Q2011">
        <v>499.49736716132122</v>
      </c>
      <c r="R2011">
        <f ca="1">YEAR(TODAY())-Table1[[#This Row],[Year Built]]</f>
        <v>66</v>
      </c>
      <c r="S2011" t="str">
        <f>IF(Table1[[#This Row],[Days on Market]] &lt; 30,"Fast",IF(Table1[[#This Row],[Days on Market]]&lt;= 90,"Average", "Slow"))</f>
        <v>Average</v>
      </c>
      <c r="T2011" t="str">
        <f>IF(Table1[[#This Row],[Price2]]&lt;500000,"Affordable",IF(Table1[[#This Row],[Price2]]&lt;1000000,"Mid range","Luxury"))</f>
        <v>Luxury</v>
      </c>
    </row>
    <row r="2012" spans="1:20" x14ac:dyDescent="0.35">
      <c r="A2012" s="3">
        <v>1043558</v>
      </c>
      <c r="B2012" s="2" t="s">
        <v>27</v>
      </c>
      <c r="C2012">
        <v>11630</v>
      </c>
      <c r="D2012" s="2" t="s">
        <v>18</v>
      </c>
      <c r="E2012">
        <v>6</v>
      </c>
      <c r="F2012">
        <v>3</v>
      </c>
      <c r="G2012" s="4">
        <f>VALUE(SUBSTITUTE(SUBSTITUTE(Table1[[#This Row],[Price]],"$",""),",",""))</f>
        <v>1043558</v>
      </c>
      <c r="H2012" s="1">
        <f>Table1[[#This Row],[Price2]]/Table1[[#This Row],[Area]]</f>
        <v>611.34036321031044</v>
      </c>
      <c r="I2012">
        <v>1707</v>
      </c>
      <c r="J2012">
        <v>2005</v>
      </c>
      <c r="K2012">
        <v>82</v>
      </c>
      <c r="L2012" t="s">
        <v>19</v>
      </c>
      <c r="M2012" t="s">
        <v>1362</v>
      </c>
      <c r="N2012" s="2" t="s">
        <v>3027</v>
      </c>
      <c r="O2012" t="s">
        <v>3028</v>
      </c>
      <c r="P2012" t="s">
        <v>16</v>
      </c>
      <c r="Q2012">
        <v>611.34036321031044</v>
      </c>
      <c r="R2012">
        <f ca="1">YEAR(TODAY())-Table1[[#This Row],[Year Built]]</f>
        <v>21</v>
      </c>
      <c r="S2012" t="str">
        <f>IF(Table1[[#This Row],[Days on Market]] &lt; 30,"Fast",IF(Table1[[#This Row],[Days on Market]]&lt;= 90,"Average", "Slow"))</f>
        <v>Average</v>
      </c>
      <c r="T2012" t="str">
        <f>IF(Table1[[#This Row],[Price2]]&lt;500000,"Affordable",IF(Table1[[#This Row],[Price2]]&lt;1000000,"Mid range","Luxury"))</f>
        <v>Luxury</v>
      </c>
    </row>
    <row r="2013" spans="1:20" x14ac:dyDescent="0.35">
      <c r="A2013" s="3">
        <v>1044769</v>
      </c>
      <c r="B2013" s="2" t="s">
        <v>22</v>
      </c>
      <c r="C2013">
        <v>30852</v>
      </c>
      <c r="D2013" s="2" t="s">
        <v>13</v>
      </c>
      <c r="E2013">
        <v>4</v>
      </c>
      <c r="F2013">
        <v>4</v>
      </c>
      <c r="G2013" s="4">
        <f>VALUE(SUBSTITUTE(SUBSTITUTE(Table1[[#This Row],[Price]],"$",""),",",""))</f>
        <v>1044769</v>
      </c>
      <c r="H2013" s="1">
        <f>Table1[[#This Row],[Price2]]/Table1[[#This Row],[Area]]</f>
        <v>342.99704530531847</v>
      </c>
      <c r="I2013">
        <v>3046</v>
      </c>
      <c r="J2013">
        <v>2018</v>
      </c>
      <c r="K2013">
        <v>38</v>
      </c>
      <c r="L2013" t="s">
        <v>52</v>
      </c>
      <c r="M2013" t="s">
        <v>2414</v>
      </c>
      <c r="N2013" s="2" t="s">
        <v>3029</v>
      </c>
      <c r="O2013" t="s">
        <v>3030</v>
      </c>
      <c r="P2013" t="s">
        <v>21</v>
      </c>
      <c r="Q2013">
        <v>342.99704530531847</v>
      </c>
      <c r="R2013">
        <f ca="1">YEAR(TODAY())-Table1[[#This Row],[Year Built]]</f>
        <v>8</v>
      </c>
      <c r="S2013" t="str">
        <f>IF(Table1[[#This Row],[Days on Market]] &lt; 30,"Fast",IF(Table1[[#This Row],[Days on Market]]&lt;= 90,"Average", "Slow"))</f>
        <v>Average</v>
      </c>
      <c r="T2013" t="str">
        <f>IF(Table1[[#This Row],[Price2]]&lt;500000,"Affordable",IF(Table1[[#This Row],[Price2]]&lt;1000000,"Mid range","Luxury"))</f>
        <v>Luxury</v>
      </c>
    </row>
    <row r="2014" spans="1:20" x14ac:dyDescent="0.35">
      <c r="A2014" s="3">
        <v>1045885</v>
      </c>
      <c r="B2014" s="2" t="s">
        <v>22</v>
      </c>
      <c r="C2014">
        <v>63418</v>
      </c>
      <c r="D2014" s="2" t="s">
        <v>13</v>
      </c>
      <c r="E2014">
        <v>3</v>
      </c>
      <c r="F2014">
        <v>3</v>
      </c>
      <c r="G2014" s="4">
        <f>VALUE(SUBSTITUTE(SUBSTITUTE(Table1[[#This Row],[Price]],"$",""),",",""))</f>
        <v>1045885</v>
      </c>
      <c r="H2014" s="1">
        <f>Table1[[#This Row],[Price2]]/Table1[[#This Row],[Area]]</f>
        <v>266.60336477185825</v>
      </c>
      <c r="I2014">
        <v>3923</v>
      </c>
      <c r="J2014">
        <v>1978</v>
      </c>
      <c r="K2014">
        <v>95</v>
      </c>
      <c r="L2014" t="s">
        <v>40</v>
      </c>
      <c r="M2014" t="s">
        <v>443</v>
      </c>
      <c r="N2014" s="2" t="s">
        <v>3031</v>
      </c>
      <c r="O2014" t="s">
        <v>3032</v>
      </c>
      <c r="P2014" t="s">
        <v>26</v>
      </c>
      <c r="Q2014">
        <v>266.60336477185825</v>
      </c>
      <c r="R2014">
        <f ca="1">YEAR(TODAY())-Table1[[#This Row],[Year Built]]</f>
        <v>48</v>
      </c>
      <c r="S2014" t="str">
        <f>IF(Table1[[#This Row],[Days on Market]] &lt; 30,"Fast",IF(Table1[[#This Row],[Days on Market]]&lt;= 90,"Average", "Slow"))</f>
        <v>Slow</v>
      </c>
      <c r="T2014" t="str">
        <f>IF(Table1[[#This Row],[Price2]]&lt;500000,"Affordable",IF(Table1[[#This Row],[Price2]]&lt;1000000,"Mid range","Luxury"))</f>
        <v>Luxury</v>
      </c>
    </row>
    <row r="2015" spans="1:20" x14ac:dyDescent="0.35">
      <c r="A2015" s="3">
        <v>1046192</v>
      </c>
      <c r="B2015" s="2" t="s">
        <v>22</v>
      </c>
      <c r="C2015">
        <v>20830</v>
      </c>
      <c r="D2015" s="2" t="s">
        <v>29</v>
      </c>
      <c r="E2015">
        <v>2</v>
      </c>
      <c r="F2015">
        <v>4</v>
      </c>
      <c r="G2015" s="4">
        <f>VALUE(SUBSTITUTE(SUBSTITUTE(Table1[[#This Row],[Price]],"$",""),",",""))</f>
        <v>1046192</v>
      </c>
      <c r="H2015" s="1">
        <f>Table1[[#This Row],[Price2]]/Table1[[#This Row],[Area]]</f>
        <v>639.48166259168704</v>
      </c>
      <c r="I2015">
        <v>1636</v>
      </c>
      <c r="J2015">
        <v>2005</v>
      </c>
      <c r="K2015">
        <v>97</v>
      </c>
      <c r="L2015" t="s">
        <v>14</v>
      </c>
      <c r="M2015" t="s">
        <v>378</v>
      </c>
      <c r="N2015" s="2" t="s">
        <v>3027</v>
      </c>
      <c r="O2015" t="s">
        <v>3028</v>
      </c>
      <c r="P2015" t="s">
        <v>26</v>
      </c>
      <c r="Q2015">
        <v>639.48166259168704</v>
      </c>
      <c r="R2015">
        <f ca="1">YEAR(TODAY())-Table1[[#This Row],[Year Built]]</f>
        <v>21</v>
      </c>
      <c r="S2015" t="str">
        <f>IF(Table1[[#This Row],[Days on Market]] &lt; 30,"Fast",IF(Table1[[#This Row],[Days on Market]]&lt;= 90,"Average", "Slow"))</f>
        <v>Slow</v>
      </c>
      <c r="T2015" t="str">
        <f>IF(Table1[[#This Row],[Price2]]&lt;500000,"Affordable",IF(Table1[[#This Row],[Price2]]&lt;1000000,"Mid range","Luxury"))</f>
        <v>Luxury</v>
      </c>
    </row>
    <row r="2016" spans="1:20" x14ac:dyDescent="0.35">
      <c r="A2016" s="3">
        <v>1046694</v>
      </c>
      <c r="B2016" s="2" t="s">
        <v>17</v>
      </c>
      <c r="C2016">
        <v>67015</v>
      </c>
      <c r="D2016" s="2" t="s">
        <v>13</v>
      </c>
      <c r="E2016">
        <v>3</v>
      </c>
      <c r="F2016">
        <v>3</v>
      </c>
      <c r="G2016" s="4">
        <f>VALUE(SUBSTITUTE(SUBSTITUTE(Table1[[#This Row],[Price]],"$",""),",",""))</f>
        <v>1046694</v>
      </c>
      <c r="H2016" s="1">
        <f>Table1[[#This Row],[Price2]]/Table1[[#This Row],[Area]]</f>
        <v>1598.0061068702289</v>
      </c>
      <c r="I2016">
        <v>655</v>
      </c>
      <c r="J2016">
        <v>2015</v>
      </c>
      <c r="K2016">
        <v>32</v>
      </c>
      <c r="L2016" t="s">
        <v>40</v>
      </c>
      <c r="M2016" t="s">
        <v>1496</v>
      </c>
      <c r="N2016" s="2" t="s">
        <v>3033</v>
      </c>
      <c r="O2016" t="s">
        <v>3034</v>
      </c>
      <c r="P2016" t="s">
        <v>21</v>
      </c>
      <c r="Q2016">
        <v>1598.0061068702289</v>
      </c>
      <c r="R2016">
        <f ca="1">YEAR(TODAY())-Table1[[#This Row],[Year Built]]</f>
        <v>11</v>
      </c>
      <c r="S2016" t="str">
        <f>IF(Table1[[#This Row],[Days on Market]] &lt; 30,"Fast",IF(Table1[[#This Row],[Days on Market]]&lt;= 90,"Average", "Slow"))</f>
        <v>Average</v>
      </c>
      <c r="T2016" t="str">
        <f>IF(Table1[[#This Row],[Price2]]&lt;500000,"Affordable",IF(Table1[[#This Row],[Price2]]&lt;1000000,"Mid range","Luxury"))</f>
        <v>Luxury</v>
      </c>
    </row>
    <row r="2017" spans="1:20" x14ac:dyDescent="0.35">
      <c r="A2017" s="3">
        <v>1046834</v>
      </c>
      <c r="B2017" s="2" t="s">
        <v>27</v>
      </c>
      <c r="C2017">
        <v>18709</v>
      </c>
      <c r="D2017" s="2" t="s">
        <v>13</v>
      </c>
      <c r="E2017">
        <v>1</v>
      </c>
      <c r="F2017">
        <v>3</v>
      </c>
      <c r="G2017" s="4">
        <f>VALUE(SUBSTITUTE(SUBSTITUTE(Table1[[#This Row],[Price]],"$",""),",",""))</f>
        <v>1046834</v>
      </c>
      <c r="H2017" s="1">
        <f>Table1[[#This Row],[Price2]]/Table1[[#This Row],[Area]]</f>
        <v>432.57603305785125</v>
      </c>
      <c r="I2017">
        <v>2420</v>
      </c>
      <c r="J2017">
        <v>1978</v>
      </c>
      <c r="K2017">
        <v>76</v>
      </c>
      <c r="L2017" t="s">
        <v>30</v>
      </c>
      <c r="M2017" t="s">
        <v>679</v>
      </c>
      <c r="N2017" s="2" t="s">
        <v>3033</v>
      </c>
      <c r="O2017" t="s">
        <v>3034</v>
      </c>
      <c r="P2017" t="s">
        <v>26</v>
      </c>
      <c r="Q2017">
        <v>432.57603305785125</v>
      </c>
      <c r="R2017">
        <f ca="1">YEAR(TODAY())-Table1[[#This Row],[Year Built]]</f>
        <v>48</v>
      </c>
      <c r="S2017" t="str">
        <f>IF(Table1[[#This Row],[Days on Market]] &lt; 30,"Fast",IF(Table1[[#This Row],[Days on Market]]&lt;= 90,"Average", "Slow"))</f>
        <v>Average</v>
      </c>
      <c r="T2017" t="str">
        <f>IF(Table1[[#This Row],[Price2]]&lt;500000,"Affordable",IF(Table1[[#This Row],[Price2]]&lt;1000000,"Mid range","Luxury"))</f>
        <v>Luxury</v>
      </c>
    </row>
    <row r="2018" spans="1:20" x14ac:dyDescent="0.35">
      <c r="A2018" s="3">
        <v>1047205</v>
      </c>
      <c r="B2018" s="2" t="s">
        <v>12</v>
      </c>
      <c r="C2018">
        <v>23507</v>
      </c>
      <c r="D2018" s="2" t="s">
        <v>29</v>
      </c>
      <c r="E2018">
        <v>5</v>
      </c>
      <c r="F2018">
        <v>1</v>
      </c>
      <c r="G2018" s="4">
        <f>VALUE(SUBSTITUTE(SUBSTITUTE(Table1[[#This Row],[Price]],"$",""),",",""))</f>
        <v>1047205</v>
      </c>
      <c r="H2018" s="1">
        <f>Table1[[#This Row],[Price2]]/Table1[[#This Row],[Area]]</f>
        <v>395.02263296869108</v>
      </c>
      <c r="I2018">
        <v>2651</v>
      </c>
      <c r="J2018">
        <v>2003</v>
      </c>
      <c r="K2018">
        <v>63</v>
      </c>
      <c r="L2018" t="s">
        <v>40</v>
      </c>
      <c r="M2018" t="s">
        <v>610</v>
      </c>
      <c r="N2018" s="2" t="s">
        <v>3029</v>
      </c>
      <c r="O2018" t="s">
        <v>3030</v>
      </c>
      <c r="P2018" t="s">
        <v>16</v>
      </c>
      <c r="Q2018">
        <v>395.02263296869108</v>
      </c>
      <c r="R2018">
        <f ca="1">YEAR(TODAY())-Table1[[#This Row],[Year Built]]</f>
        <v>23</v>
      </c>
      <c r="S2018" t="str">
        <f>IF(Table1[[#This Row],[Days on Market]] &lt; 30,"Fast",IF(Table1[[#This Row],[Days on Market]]&lt;= 90,"Average", "Slow"))</f>
        <v>Average</v>
      </c>
      <c r="T2018" t="str">
        <f>IF(Table1[[#This Row],[Price2]]&lt;500000,"Affordable",IF(Table1[[#This Row],[Price2]]&lt;1000000,"Mid range","Luxury"))</f>
        <v>Luxury</v>
      </c>
    </row>
    <row r="2019" spans="1:20" x14ac:dyDescent="0.35">
      <c r="A2019" s="3">
        <v>1047425</v>
      </c>
      <c r="B2019" s="2" t="s">
        <v>12</v>
      </c>
      <c r="C2019">
        <v>38395</v>
      </c>
      <c r="D2019" s="2" t="s">
        <v>23</v>
      </c>
      <c r="E2019">
        <v>5</v>
      </c>
      <c r="F2019">
        <v>2</v>
      </c>
      <c r="G2019" s="4">
        <f>VALUE(SUBSTITUTE(SUBSTITUTE(Table1[[#This Row],[Price]],"$",""),",",""))</f>
        <v>1047425</v>
      </c>
      <c r="H2019" s="1">
        <f>Table1[[#This Row],[Price2]]/Table1[[#This Row],[Area]]</f>
        <v>1188.9046538024973</v>
      </c>
      <c r="I2019">
        <v>881</v>
      </c>
      <c r="J2019">
        <v>1953</v>
      </c>
      <c r="K2019">
        <v>94</v>
      </c>
      <c r="L2019" t="s">
        <v>40</v>
      </c>
      <c r="M2019" t="s">
        <v>2637</v>
      </c>
      <c r="N2019" s="2" t="s">
        <v>3035</v>
      </c>
      <c r="O2019" t="s">
        <v>3036</v>
      </c>
      <c r="P2019" t="s">
        <v>16</v>
      </c>
      <c r="Q2019">
        <v>1188.9046538024973</v>
      </c>
      <c r="R2019">
        <f ca="1">YEAR(TODAY())-Table1[[#This Row],[Year Built]]</f>
        <v>73</v>
      </c>
      <c r="S2019" t="str">
        <f>IF(Table1[[#This Row],[Days on Market]] &lt; 30,"Fast",IF(Table1[[#This Row],[Days on Market]]&lt;= 90,"Average", "Slow"))</f>
        <v>Slow</v>
      </c>
      <c r="T2019" t="str">
        <f>IF(Table1[[#This Row],[Price2]]&lt;500000,"Affordable",IF(Table1[[#This Row],[Price2]]&lt;1000000,"Mid range","Luxury"))</f>
        <v>Luxury</v>
      </c>
    </row>
    <row r="2020" spans="1:20" x14ac:dyDescent="0.35">
      <c r="A2020" s="3">
        <v>1047769</v>
      </c>
      <c r="B2020" s="2" t="s">
        <v>12</v>
      </c>
      <c r="C2020">
        <v>11489</v>
      </c>
      <c r="D2020" s="2" t="s">
        <v>13</v>
      </c>
      <c r="E2020">
        <v>4</v>
      </c>
      <c r="F2020">
        <v>2</v>
      </c>
      <c r="G2020" s="4">
        <f>VALUE(SUBSTITUTE(SUBSTITUTE(Table1[[#This Row],[Price]],"$",""),",",""))</f>
        <v>1047769</v>
      </c>
      <c r="H2020" s="1">
        <f>Table1[[#This Row],[Price2]]/Table1[[#This Row],[Area]]</f>
        <v>326.71312753352044</v>
      </c>
      <c r="I2020">
        <v>3207</v>
      </c>
      <c r="J2020">
        <v>1965</v>
      </c>
      <c r="K2020">
        <v>118</v>
      </c>
      <c r="L2020" t="s">
        <v>52</v>
      </c>
      <c r="M2020" t="s">
        <v>336</v>
      </c>
      <c r="N2020" s="2" t="s">
        <v>3027</v>
      </c>
      <c r="O2020" t="s">
        <v>3028</v>
      </c>
      <c r="P2020" t="s">
        <v>16</v>
      </c>
      <c r="Q2020">
        <v>326.71312753352044</v>
      </c>
      <c r="R2020">
        <f ca="1">YEAR(TODAY())-Table1[[#This Row],[Year Built]]</f>
        <v>61</v>
      </c>
      <c r="S2020" t="str">
        <f>IF(Table1[[#This Row],[Days on Market]] &lt; 30,"Fast",IF(Table1[[#This Row],[Days on Market]]&lt;= 90,"Average", "Slow"))</f>
        <v>Slow</v>
      </c>
      <c r="T2020" t="str">
        <f>IF(Table1[[#This Row],[Price2]]&lt;500000,"Affordable",IF(Table1[[#This Row],[Price2]]&lt;1000000,"Mid range","Luxury"))</f>
        <v>Luxury</v>
      </c>
    </row>
    <row r="2021" spans="1:20" x14ac:dyDescent="0.35">
      <c r="A2021" s="3">
        <v>1048224</v>
      </c>
      <c r="B2021" s="2" t="s">
        <v>27</v>
      </c>
      <c r="C2021">
        <v>47247</v>
      </c>
      <c r="D2021" s="2" t="s">
        <v>23</v>
      </c>
      <c r="E2021">
        <v>2</v>
      </c>
      <c r="F2021">
        <v>1</v>
      </c>
      <c r="G2021" s="4">
        <f>VALUE(SUBSTITUTE(SUBSTITUTE(Table1[[#This Row],[Price]],"$",""),",",""))</f>
        <v>1048224</v>
      </c>
      <c r="H2021" s="1">
        <f>Table1[[#This Row],[Price2]]/Table1[[#This Row],[Area]]</f>
        <v>436.94205919132975</v>
      </c>
      <c r="I2021">
        <v>2399</v>
      </c>
      <c r="J2021">
        <v>1985</v>
      </c>
      <c r="K2021">
        <v>70</v>
      </c>
      <c r="L2021" t="s">
        <v>14</v>
      </c>
      <c r="M2021" t="s">
        <v>2466</v>
      </c>
      <c r="N2021" s="2" t="s">
        <v>3035</v>
      </c>
      <c r="O2021" t="s">
        <v>3036</v>
      </c>
      <c r="P2021" t="s">
        <v>21</v>
      </c>
      <c r="Q2021">
        <v>436.94205919132975</v>
      </c>
      <c r="R2021">
        <f ca="1">YEAR(TODAY())-Table1[[#This Row],[Year Built]]</f>
        <v>41</v>
      </c>
      <c r="S2021" t="str">
        <f>IF(Table1[[#This Row],[Days on Market]] &lt; 30,"Fast",IF(Table1[[#This Row],[Days on Market]]&lt;= 90,"Average", "Slow"))</f>
        <v>Average</v>
      </c>
      <c r="T2021" t="str">
        <f>IF(Table1[[#This Row],[Price2]]&lt;500000,"Affordable",IF(Table1[[#This Row],[Price2]]&lt;1000000,"Mid range","Luxury"))</f>
        <v>Luxury</v>
      </c>
    </row>
    <row r="2022" spans="1:20" x14ac:dyDescent="0.35">
      <c r="A2022" s="3">
        <v>1048735</v>
      </c>
      <c r="B2022" s="2" t="s">
        <v>34</v>
      </c>
      <c r="C2022">
        <v>52335</v>
      </c>
      <c r="D2022" s="2" t="s">
        <v>29</v>
      </c>
      <c r="E2022">
        <v>3</v>
      </c>
      <c r="F2022">
        <v>2</v>
      </c>
      <c r="G2022" s="4">
        <f>VALUE(SUBSTITUTE(SUBSTITUTE(Table1[[#This Row],[Price]],"$",""),",",""))</f>
        <v>1048735</v>
      </c>
      <c r="H2022" s="1">
        <f>Table1[[#This Row],[Price2]]/Table1[[#This Row],[Area]]</f>
        <v>352.39751344086022</v>
      </c>
      <c r="I2022">
        <v>2976</v>
      </c>
      <c r="J2022">
        <v>2005</v>
      </c>
      <c r="K2022">
        <v>107</v>
      </c>
      <c r="L2022" t="s">
        <v>30</v>
      </c>
      <c r="M2022" t="s">
        <v>2582</v>
      </c>
      <c r="N2022" s="2" t="s">
        <v>3029</v>
      </c>
      <c r="O2022" t="s">
        <v>3030</v>
      </c>
      <c r="P2022" t="s">
        <v>16</v>
      </c>
      <c r="Q2022">
        <v>352.39751344086022</v>
      </c>
      <c r="R2022">
        <f ca="1">YEAR(TODAY())-Table1[[#This Row],[Year Built]]</f>
        <v>21</v>
      </c>
      <c r="S2022" t="str">
        <f>IF(Table1[[#This Row],[Days on Market]] &lt; 30,"Fast",IF(Table1[[#This Row],[Days on Market]]&lt;= 90,"Average", "Slow"))</f>
        <v>Slow</v>
      </c>
      <c r="T2022" t="str">
        <f>IF(Table1[[#This Row],[Price2]]&lt;500000,"Affordable",IF(Table1[[#This Row],[Price2]]&lt;1000000,"Mid range","Luxury"))</f>
        <v>Luxury</v>
      </c>
    </row>
    <row r="2023" spans="1:20" x14ac:dyDescent="0.35">
      <c r="A2023" s="3">
        <v>1049061</v>
      </c>
      <c r="B2023" s="2" t="s">
        <v>27</v>
      </c>
      <c r="C2023">
        <v>25852</v>
      </c>
      <c r="D2023" s="2" t="s">
        <v>13</v>
      </c>
      <c r="E2023">
        <v>3</v>
      </c>
      <c r="F2023">
        <v>4</v>
      </c>
      <c r="G2023" s="4">
        <f>VALUE(SUBSTITUTE(SUBSTITUTE(Table1[[#This Row],[Price]],"$",""),",",""))</f>
        <v>1049061</v>
      </c>
      <c r="H2023" s="1">
        <f>Table1[[#This Row],[Price2]]/Table1[[#This Row],[Area]]</f>
        <v>837.9081469648562</v>
      </c>
      <c r="I2023">
        <v>1252</v>
      </c>
      <c r="J2023">
        <v>1985</v>
      </c>
      <c r="K2023">
        <v>15</v>
      </c>
      <c r="L2023" t="s">
        <v>19</v>
      </c>
      <c r="M2023" t="s">
        <v>2934</v>
      </c>
      <c r="N2023" s="2" t="s">
        <v>3029</v>
      </c>
      <c r="O2023" t="s">
        <v>3030</v>
      </c>
      <c r="P2023" t="s">
        <v>16</v>
      </c>
      <c r="Q2023">
        <v>837.9081469648562</v>
      </c>
      <c r="R2023">
        <f ca="1">YEAR(TODAY())-Table1[[#This Row],[Year Built]]</f>
        <v>41</v>
      </c>
      <c r="S2023" t="str">
        <f>IF(Table1[[#This Row],[Days on Market]] &lt; 30,"Fast",IF(Table1[[#This Row],[Days on Market]]&lt;= 90,"Average", "Slow"))</f>
        <v>Fast</v>
      </c>
      <c r="T2023" t="str">
        <f>IF(Table1[[#This Row],[Price2]]&lt;500000,"Affordable",IF(Table1[[#This Row],[Price2]]&lt;1000000,"Mid range","Luxury"))</f>
        <v>Luxury</v>
      </c>
    </row>
    <row r="2024" spans="1:20" x14ac:dyDescent="0.35">
      <c r="A2024" s="3">
        <v>1050628</v>
      </c>
      <c r="B2024" s="2" t="s">
        <v>27</v>
      </c>
      <c r="C2024">
        <v>82594</v>
      </c>
      <c r="D2024" s="2" t="s">
        <v>29</v>
      </c>
      <c r="E2024">
        <v>1</v>
      </c>
      <c r="F2024">
        <v>3</v>
      </c>
      <c r="G2024" s="4">
        <f>VALUE(SUBSTITUTE(SUBSTITUTE(Table1[[#This Row],[Price]],"$",""),",",""))</f>
        <v>1050628</v>
      </c>
      <c r="H2024" s="1">
        <f>Table1[[#This Row],[Price2]]/Table1[[#This Row],[Area]]</f>
        <v>333.53269841269844</v>
      </c>
      <c r="I2024">
        <v>3150</v>
      </c>
      <c r="J2024">
        <v>1979</v>
      </c>
      <c r="K2024">
        <v>96</v>
      </c>
      <c r="L2024" t="s">
        <v>19</v>
      </c>
      <c r="M2024" t="s">
        <v>2694</v>
      </c>
      <c r="N2024" s="2" t="s">
        <v>3027</v>
      </c>
      <c r="O2024" t="s">
        <v>3028</v>
      </c>
      <c r="P2024" t="s">
        <v>21</v>
      </c>
      <c r="Q2024">
        <v>333.53269841269844</v>
      </c>
      <c r="R2024">
        <f ca="1">YEAR(TODAY())-Table1[[#This Row],[Year Built]]</f>
        <v>47</v>
      </c>
      <c r="S2024" t="str">
        <f>IF(Table1[[#This Row],[Days on Market]] &lt; 30,"Fast",IF(Table1[[#This Row],[Days on Market]]&lt;= 90,"Average", "Slow"))</f>
        <v>Slow</v>
      </c>
      <c r="T2024" t="str">
        <f>IF(Table1[[#This Row],[Price2]]&lt;500000,"Affordable",IF(Table1[[#This Row],[Price2]]&lt;1000000,"Mid range","Luxury"))</f>
        <v>Luxury</v>
      </c>
    </row>
    <row r="2025" spans="1:20" x14ac:dyDescent="0.35">
      <c r="A2025" s="3">
        <v>1050654</v>
      </c>
      <c r="B2025" s="2" t="s">
        <v>12</v>
      </c>
      <c r="C2025">
        <v>90147</v>
      </c>
      <c r="D2025" s="2" t="s">
        <v>35</v>
      </c>
      <c r="E2025">
        <v>1</v>
      </c>
      <c r="F2025">
        <v>3</v>
      </c>
      <c r="G2025" s="4">
        <f>VALUE(SUBSTITUTE(SUBSTITUTE(Table1[[#This Row],[Price]],"$",""),",",""))</f>
        <v>1050654</v>
      </c>
      <c r="H2025" s="1">
        <f>Table1[[#This Row],[Price2]]/Table1[[#This Row],[Area]]</f>
        <v>432.54590366405927</v>
      </c>
      <c r="I2025">
        <v>2429</v>
      </c>
      <c r="J2025">
        <v>1971</v>
      </c>
      <c r="K2025">
        <v>64</v>
      </c>
      <c r="L2025" t="s">
        <v>14</v>
      </c>
      <c r="M2025" t="s">
        <v>2196</v>
      </c>
      <c r="N2025" s="2" t="s">
        <v>3029</v>
      </c>
      <c r="O2025" t="s">
        <v>3030</v>
      </c>
      <c r="P2025" t="s">
        <v>26</v>
      </c>
      <c r="Q2025">
        <v>432.54590366405927</v>
      </c>
      <c r="R2025">
        <f ca="1">YEAR(TODAY())-Table1[[#This Row],[Year Built]]</f>
        <v>55</v>
      </c>
      <c r="S2025" t="str">
        <f>IF(Table1[[#This Row],[Days on Market]] &lt; 30,"Fast",IF(Table1[[#This Row],[Days on Market]]&lt;= 90,"Average", "Slow"))</f>
        <v>Average</v>
      </c>
      <c r="T2025" t="str">
        <f>IF(Table1[[#This Row],[Price2]]&lt;500000,"Affordable",IF(Table1[[#This Row],[Price2]]&lt;1000000,"Mid range","Luxury"))</f>
        <v>Luxury</v>
      </c>
    </row>
    <row r="2026" spans="1:20" x14ac:dyDescent="0.35">
      <c r="A2026" s="3">
        <v>1050912</v>
      </c>
      <c r="B2026" s="2" t="s">
        <v>34</v>
      </c>
      <c r="C2026">
        <v>27780</v>
      </c>
      <c r="D2026" s="2" t="s">
        <v>13</v>
      </c>
      <c r="E2026">
        <v>1</v>
      </c>
      <c r="F2026">
        <v>3</v>
      </c>
      <c r="G2026" s="4">
        <f>VALUE(SUBSTITUTE(SUBSTITUTE(Table1[[#This Row],[Price]],"$",""),",",""))</f>
        <v>1050912</v>
      </c>
      <c r="H2026" s="1">
        <f>Table1[[#This Row],[Price2]]/Table1[[#This Row],[Area]]</f>
        <v>815.92546583850935</v>
      </c>
      <c r="I2026">
        <v>1288</v>
      </c>
      <c r="J2026">
        <v>1984</v>
      </c>
      <c r="K2026">
        <v>10</v>
      </c>
      <c r="L2026" t="s">
        <v>14</v>
      </c>
      <c r="M2026" t="s">
        <v>1152</v>
      </c>
      <c r="N2026" s="2" t="s">
        <v>3033</v>
      </c>
      <c r="O2026" t="s">
        <v>3034</v>
      </c>
      <c r="P2026" t="s">
        <v>26</v>
      </c>
      <c r="Q2026">
        <v>815.92546583850935</v>
      </c>
      <c r="R2026">
        <f ca="1">YEAR(TODAY())-Table1[[#This Row],[Year Built]]</f>
        <v>42</v>
      </c>
      <c r="S2026" t="str">
        <f>IF(Table1[[#This Row],[Days on Market]] &lt; 30,"Fast",IF(Table1[[#This Row],[Days on Market]]&lt;= 90,"Average", "Slow"))</f>
        <v>Fast</v>
      </c>
      <c r="T2026" t="str">
        <f>IF(Table1[[#This Row],[Price2]]&lt;500000,"Affordable",IF(Table1[[#This Row],[Price2]]&lt;1000000,"Mid range","Luxury"))</f>
        <v>Luxury</v>
      </c>
    </row>
    <row r="2027" spans="1:20" x14ac:dyDescent="0.35">
      <c r="A2027" s="3">
        <v>1052043</v>
      </c>
      <c r="B2027" s="2" t="s">
        <v>27</v>
      </c>
      <c r="C2027">
        <v>64432</v>
      </c>
      <c r="D2027" s="2" t="s">
        <v>18</v>
      </c>
      <c r="E2027">
        <v>3</v>
      </c>
      <c r="F2027">
        <v>1</v>
      </c>
      <c r="G2027" s="4">
        <f>VALUE(SUBSTITUTE(SUBSTITUTE(Table1[[#This Row],[Price]],"$",""),",",""))</f>
        <v>1052043</v>
      </c>
      <c r="H2027" s="1">
        <f>Table1[[#This Row],[Price2]]/Table1[[#This Row],[Area]]</f>
        <v>569.90411700975085</v>
      </c>
      <c r="I2027">
        <v>1846</v>
      </c>
      <c r="J2027">
        <v>1957</v>
      </c>
      <c r="K2027">
        <v>117</v>
      </c>
      <c r="L2027" t="s">
        <v>14</v>
      </c>
      <c r="M2027" t="s">
        <v>2998</v>
      </c>
      <c r="N2027" s="2" t="s">
        <v>3031</v>
      </c>
      <c r="O2027" t="s">
        <v>3032</v>
      </c>
      <c r="P2027" t="s">
        <v>26</v>
      </c>
      <c r="Q2027">
        <v>569.90411700975085</v>
      </c>
      <c r="R2027">
        <f ca="1">YEAR(TODAY())-Table1[[#This Row],[Year Built]]</f>
        <v>69</v>
      </c>
      <c r="S2027" t="str">
        <f>IF(Table1[[#This Row],[Days on Market]] &lt; 30,"Fast",IF(Table1[[#This Row],[Days on Market]]&lt;= 90,"Average", "Slow"))</f>
        <v>Slow</v>
      </c>
      <c r="T2027" t="str">
        <f>IF(Table1[[#This Row],[Price2]]&lt;500000,"Affordable",IF(Table1[[#This Row],[Price2]]&lt;1000000,"Mid range","Luxury"))</f>
        <v>Luxury</v>
      </c>
    </row>
    <row r="2028" spans="1:20" x14ac:dyDescent="0.35">
      <c r="A2028" s="3">
        <v>1052096</v>
      </c>
      <c r="B2028" s="2" t="s">
        <v>17</v>
      </c>
      <c r="C2028">
        <v>31017</v>
      </c>
      <c r="D2028" s="2" t="s">
        <v>18</v>
      </c>
      <c r="E2028">
        <v>4</v>
      </c>
      <c r="F2028">
        <v>4</v>
      </c>
      <c r="G2028" s="4">
        <f>VALUE(SUBSTITUTE(SUBSTITUTE(Table1[[#This Row],[Price]],"$",""),",",""))</f>
        <v>1052096</v>
      </c>
      <c r="H2028" s="1">
        <f>Table1[[#This Row],[Price2]]/Table1[[#This Row],[Area]]</f>
        <v>404.03072196620582</v>
      </c>
      <c r="I2028">
        <v>2604</v>
      </c>
      <c r="J2028">
        <v>2019</v>
      </c>
      <c r="K2028">
        <v>51</v>
      </c>
      <c r="L2028" t="s">
        <v>30</v>
      </c>
      <c r="M2028" t="s">
        <v>326</v>
      </c>
      <c r="N2028" s="2" t="s">
        <v>3031</v>
      </c>
      <c r="O2028" t="s">
        <v>3032</v>
      </c>
      <c r="P2028" t="s">
        <v>26</v>
      </c>
      <c r="Q2028">
        <v>404.03072196620582</v>
      </c>
      <c r="R2028">
        <f ca="1">YEAR(TODAY())-Table1[[#This Row],[Year Built]]</f>
        <v>7</v>
      </c>
      <c r="S2028" t="str">
        <f>IF(Table1[[#This Row],[Days on Market]] &lt; 30,"Fast",IF(Table1[[#This Row],[Days on Market]]&lt;= 90,"Average", "Slow"))</f>
        <v>Average</v>
      </c>
      <c r="T2028" t="str">
        <f>IF(Table1[[#This Row],[Price2]]&lt;500000,"Affordable",IF(Table1[[#This Row],[Price2]]&lt;1000000,"Mid range","Luxury"))</f>
        <v>Luxury</v>
      </c>
    </row>
    <row r="2029" spans="1:20" x14ac:dyDescent="0.35">
      <c r="A2029" s="3">
        <v>1052313</v>
      </c>
      <c r="B2029" s="2" t="s">
        <v>22</v>
      </c>
      <c r="C2029">
        <v>37372</v>
      </c>
      <c r="D2029" s="2" t="s">
        <v>18</v>
      </c>
      <c r="E2029">
        <v>1</v>
      </c>
      <c r="F2029">
        <v>4</v>
      </c>
      <c r="G2029" s="4">
        <f>VALUE(SUBSTITUTE(SUBSTITUTE(Table1[[#This Row],[Price]],"$",""),",",""))</f>
        <v>1052313</v>
      </c>
      <c r="H2029" s="1">
        <f>Table1[[#This Row],[Price2]]/Table1[[#This Row],[Area]]</f>
        <v>412.34835423197489</v>
      </c>
      <c r="I2029">
        <v>2552</v>
      </c>
      <c r="J2029">
        <v>1998</v>
      </c>
      <c r="K2029">
        <v>81</v>
      </c>
      <c r="L2029" t="s">
        <v>52</v>
      </c>
      <c r="M2029" t="s">
        <v>113</v>
      </c>
      <c r="N2029" s="2" t="s">
        <v>3035</v>
      </c>
      <c r="O2029" t="s">
        <v>3036</v>
      </c>
      <c r="P2029" t="s">
        <v>21</v>
      </c>
      <c r="Q2029">
        <v>412.34835423197489</v>
      </c>
      <c r="R2029">
        <f ca="1">YEAR(TODAY())-Table1[[#This Row],[Year Built]]</f>
        <v>28</v>
      </c>
      <c r="S2029" t="str">
        <f>IF(Table1[[#This Row],[Days on Market]] &lt; 30,"Fast",IF(Table1[[#This Row],[Days on Market]]&lt;= 90,"Average", "Slow"))</f>
        <v>Average</v>
      </c>
      <c r="T2029" t="str">
        <f>IF(Table1[[#This Row],[Price2]]&lt;500000,"Affordable",IF(Table1[[#This Row],[Price2]]&lt;1000000,"Mid range","Luxury"))</f>
        <v>Luxury</v>
      </c>
    </row>
    <row r="2030" spans="1:20" x14ac:dyDescent="0.35">
      <c r="A2030" s="3">
        <v>1052477</v>
      </c>
      <c r="B2030" s="2" t="s">
        <v>22</v>
      </c>
      <c r="C2030">
        <v>86185</v>
      </c>
      <c r="D2030" s="2" t="s">
        <v>18</v>
      </c>
      <c r="E2030">
        <v>2</v>
      </c>
      <c r="F2030">
        <v>1</v>
      </c>
      <c r="G2030" s="4">
        <f>VALUE(SUBSTITUTE(SUBSTITUTE(Table1[[#This Row],[Price]],"$",""),",",""))</f>
        <v>1052477</v>
      </c>
      <c r="H2030" s="1">
        <f>Table1[[#This Row],[Price2]]/Table1[[#This Row],[Area]]</f>
        <v>288.42888462592492</v>
      </c>
      <c r="I2030">
        <v>3649</v>
      </c>
      <c r="J2030">
        <v>1982</v>
      </c>
      <c r="K2030">
        <v>90</v>
      </c>
      <c r="L2030" t="s">
        <v>19</v>
      </c>
      <c r="M2030" t="s">
        <v>1249</v>
      </c>
      <c r="N2030" s="2" t="s">
        <v>3033</v>
      </c>
      <c r="O2030" t="s">
        <v>3034</v>
      </c>
      <c r="P2030" t="s">
        <v>26</v>
      </c>
      <c r="Q2030">
        <v>288.42888462592492</v>
      </c>
      <c r="R2030">
        <f ca="1">YEAR(TODAY())-Table1[[#This Row],[Year Built]]</f>
        <v>44</v>
      </c>
      <c r="S2030" t="str">
        <f>IF(Table1[[#This Row],[Days on Market]] &lt; 30,"Fast",IF(Table1[[#This Row],[Days on Market]]&lt;= 90,"Average", "Slow"))</f>
        <v>Average</v>
      </c>
      <c r="T2030" t="str">
        <f>IF(Table1[[#This Row],[Price2]]&lt;500000,"Affordable",IF(Table1[[#This Row],[Price2]]&lt;1000000,"Mid range","Luxury"))</f>
        <v>Luxury</v>
      </c>
    </row>
    <row r="2031" spans="1:20" x14ac:dyDescent="0.35">
      <c r="A2031" s="3">
        <v>1052897</v>
      </c>
      <c r="B2031" s="2" t="s">
        <v>17</v>
      </c>
      <c r="C2031">
        <v>37973</v>
      </c>
      <c r="D2031" s="2" t="s">
        <v>29</v>
      </c>
      <c r="E2031">
        <v>1</v>
      </c>
      <c r="F2031">
        <v>2</v>
      </c>
      <c r="G2031" s="4">
        <f>VALUE(SUBSTITUTE(SUBSTITUTE(Table1[[#This Row],[Price]],"$",""),",",""))</f>
        <v>1052897</v>
      </c>
      <c r="H2031" s="1">
        <f>Table1[[#This Row],[Price2]]/Table1[[#This Row],[Area]]</f>
        <v>274.76435281837161</v>
      </c>
      <c r="I2031">
        <v>3832</v>
      </c>
      <c r="J2031">
        <v>1964</v>
      </c>
      <c r="K2031">
        <v>14</v>
      </c>
      <c r="L2031" t="s">
        <v>19</v>
      </c>
      <c r="M2031" t="s">
        <v>1968</v>
      </c>
      <c r="N2031" s="2" t="s">
        <v>3027</v>
      </c>
      <c r="O2031" t="s">
        <v>3028</v>
      </c>
      <c r="P2031" t="s">
        <v>16</v>
      </c>
      <c r="Q2031">
        <v>274.76435281837161</v>
      </c>
      <c r="R2031">
        <f ca="1">YEAR(TODAY())-Table1[[#This Row],[Year Built]]</f>
        <v>62</v>
      </c>
      <c r="S2031" t="str">
        <f>IF(Table1[[#This Row],[Days on Market]] &lt; 30,"Fast",IF(Table1[[#This Row],[Days on Market]]&lt;= 90,"Average", "Slow"))</f>
        <v>Fast</v>
      </c>
      <c r="T2031" t="str">
        <f>IF(Table1[[#This Row],[Price2]]&lt;500000,"Affordable",IF(Table1[[#This Row],[Price2]]&lt;1000000,"Mid range","Luxury"))</f>
        <v>Luxury</v>
      </c>
    </row>
    <row r="2032" spans="1:20" x14ac:dyDescent="0.35">
      <c r="A2032" s="3">
        <v>1053211</v>
      </c>
      <c r="B2032" s="2" t="s">
        <v>34</v>
      </c>
      <c r="C2032">
        <v>30160</v>
      </c>
      <c r="D2032" s="2" t="s">
        <v>35</v>
      </c>
      <c r="E2032">
        <v>4</v>
      </c>
      <c r="F2032">
        <v>4</v>
      </c>
      <c r="G2032" s="4">
        <f>VALUE(SUBSTITUTE(SUBSTITUTE(Table1[[#This Row],[Price]],"$",""),",",""))</f>
        <v>1053211</v>
      </c>
      <c r="H2032" s="1">
        <f>Table1[[#This Row],[Price2]]/Table1[[#This Row],[Area]]</f>
        <v>759.89249639249635</v>
      </c>
      <c r="I2032">
        <v>1386</v>
      </c>
      <c r="J2032">
        <v>1980</v>
      </c>
      <c r="K2032">
        <v>97</v>
      </c>
      <c r="L2032" t="s">
        <v>19</v>
      </c>
      <c r="M2032" t="s">
        <v>1291</v>
      </c>
      <c r="N2032" s="2" t="s">
        <v>3027</v>
      </c>
      <c r="O2032" t="s">
        <v>3028</v>
      </c>
      <c r="P2032" t="s">
        <v>26</v>
      </c>
      <c r="Q2032">
        <v>759.89249639249635</v>
      </c>
      <c r="R2032">
        <f ca="1">YEAR(TODAY())-Table1[[#This Row],[Year Built]]</f>
        <v>46</v>
      </c>
      <c r="S2032" t="str">
        <f>IF(Table1[[#This Row],[Days on Market]] &lt; 30,"Fast",IF(Table1[[#This Row],[Days on Market]]&lt;= 90,"Average", "Slow"))</f>
        <v>Slow</v>
      </c>
      <c r="T2032" t="str">
        <f>IF(Table1[[#This Row],[Price2]]&lt;500000,"Affordable",IF(Table1[[#This Row],[Price2]]&lt;1000000,"Mid range","Luxury"))</f>
        <v>Luxury</v>
      </c>
    </row>
    <row r="2033" spans="1:20" x14ac:dyDescent="0.35">
      <c r="A2033" s="3">
        <v>1053481</v>
      </c>
      <c r="B2033" s="2" t="s">
        <v>34</v>
      </c>
      <c r="C2033">
        <v>44968</v>
      </c>
      <c r="D2033" s="2" t="s">
        <v>35</v>
      </c>
      <c r="E2033">
        <v>1</v>
      </c>
      <c r="F2033">
        <v>2</v>
      </c>
      <c r="G2033" s="4">
        <f>VALUE(SUBSTITUTE(SUBSTITUTE(Table1[[#This Row],[Price]],"$",""),",",""))</f>
        <v>1053481</v>
      </c>
      <c r="H2033" s="1">
        <f>Table1[[#This Row],[Price2]]/Table1[[#This Row],[Area]]</f>
        <v>335.28994271164862</v>
      </c>
      <c r="I2033">
        <v>3142</v>
      </c>
      <c r="J2033">
        <v>1973</v>
      </c>
      <c r="K2033">
        <v>40</v>
      </c>
      <c r="L2033" t="s">
        <v>40</v>
      </c>
      <c r="M2033" t="s">
        <v>1660</v>
      </c>
      <c r="N2033" s="2" t="s">
        <v>3035</v>
      </c>
      <c r="O2033" t="s">
        <v>3036</v>
      </c>
      <c r="P2033" t="s">
        <v>16</v>
      </c>
      <c r="Q2033">
        <v>335.28994271164862</v>
      </c>
      <c r="R2033">
        <f ca="1">YEAR(TODAY())-Table1[[#This Row],[Year Built]]</f>
        <v>53</v>
      </c>
      <c r="S2033" t="str">
        <f>IF(Table1[[#This Row],[Days on Market]] &lt; 30,"Fast",IF(Table1[[#This Row],[Days on Market]]&lt;= 90,"Average", "Slow"))</f>
        <v>Average</v>
      </c>
      <c r="T2033" t="str">
        <f>IF(Table1[[#This Row],[Price2]]&lt;500000,"Affordable",IF(Table1[[#This Row],[Price2]]&lt;1000000,"Mid range","Luxury"))</f>
        <v>Luxury</v>
      </c>
    </row>
    <row r="2034" spans="1:20" x14ac:dyDescent="0.35">
      <c r="A2034" s="3">
        <v>1053954</v>
      </c>
      <c r="B2034" s="2" t="s">
        <v>27</v>
      </c>
      <c r="C2034">
        <v>99258</v>
      </c>
      <c r="D2034" s="2" t="s">
        <v>29</v>
      </c>
      <c r="E2034">
        <v>6</v>
      </c>
      <c r="F2034">
        <v>2</v>
      </c>
      <c r="G2034" s="4">
        <f>VALUE(SUBSTITUTE(SUBSTITUTE(Table1[[#This Row],[Price]],"$",""),",",""))</f>
        <v>1053954</v>
      </c>
      <c r="H2034" s="1">
        <f>Table1[[#This Row],[Price2]]/Table1[[#This Row],[Area]]</f>
        <v>653.81761786600498</v>
      </c>
      <c r="I2034">
        <v>1612</v>
      </c>
      <c r="J2034">
        <v>2003</v>
      </c>
      <c r="K2034">
        <v>100</v>
      </c>
      <c r="L2034" t="s">
        <v>30</v>
      </c>
      <c r="M2034" t="s">
        <v>2396</v>
      </c>
      <c r="N2034" s="2" t="s">
        <v>3035</v>
      </c>
      <c r="O2034" t="s">
        <v>3036</v>
      </c>
      <c r="P2034" t="s">
        <v>21</v>
      </c>
      <c r="Q2034">
        <v>653.81761786600498</v>
      </c>
      <c r="R2034">
        <f ca="1">YEAR(TODAY())-Table1[[#This Row],[Year Built]]</f>
        <v>23</v>
      </c>
      <c r="S2034" t="str">
        <f>IF(Table1[[#This Row],[Days on Market]] &lt; 30,"Fast",IF(Table1[[#This Row],[Days on Market]]&lt;= 90,"Average", "Slow"))</f>
        <v>Slow</v>
      </c>
      <c r="T2034" t="str">
        <f>IF(Table1[[#This Row],[Price2]]&lt;500000,"Affordable",IF(Table1[[#This Row],[Price2]]&lt;1000000,"Mid range","Luxury"))</f>
        <v>Luxury</v>
      </c>
    </row>
    <row r="2035" spans="1:20" x14ac:dyDescent="0.35">
      <c r="A2035" s="3">
        <v>1054157</v>
      </c>
      <c r="B2035" s="2" t="s">
        <v>27</v>
      </c>
      <c r="C2035">
        <v>69291</v>
      </c>
      <c r="D2035" s="2" t="s">
        <v>13</v>
      </c>
      <c r="E2035">
        <v>3</v>
      </c>
      <c r="F2035">
        <v>2</v>
      </c>
      <c r="G2035" s="4">
        <f>VALUE(SUBSTITUTE(SUBSTITUTE(Table1[[#This Row],[Price]],"$",""),",",""))</f>
        <v>1054157</v>
      </c>
      <c r="H2035" s="1">
        <f>Table1[[#This Row],[Price2]]/Table1[[#This Row],[Area]]</f>
        <v>342.25876623376621</v>
      </c>
      <c r="I2035">
        <v>3080</v>
      </c>
      <c r="J2035">
        <v>1981</v>
      </c>
      <c r="K2035">
        <v>2</v>
      </c>
      <c r="L2035" t="s">
        <v>19</v>
      </c>
      <c r="M2035" t="s">
        <v>85</v>
      </c>
      <c r="N2035" s="2" t="s">
        <v>3033</v>
      </c>
      <c r="O2035" t="s">
        <v>3034</v>
      </c>
      <c r="P2035" t="s">
        <v>16</v>
      </c>
      <c r="Q2035">
        <v>342.25876623376621</v>
      </c>
      <c r="R2035">
        <f ca="1">YEAR(TODAY())-Table1[[#This Row],[Year Built]]</f>
        <v>45</v>
      </c>
      <c r="S2035" t="str">
        <f>IF(Table1[[#This Row],[Days on Market]] &lt; 30,"Fast",IF(Table1[[#This Row],[Days on Market]]&lt;= 90,"Average", "Slow"))</f>
        <v>Fast</v>
      </c>
      <c r="T2035" t="str">
        <f>IF(Table1[[#This Row],[Price2]]&lt;500000,"Affordable",IF(Table1[[#This Row],[Price2]]&lt;1000000,"Mid range","Luxury"))</f>
        <v>Luxury</v>
      </c>
    </row>
    <row r="2036" spans="1:20" x14ac:dyDescent="0.35">
      <c r="A2036" s="3">
        <v>1054702</v>
      </c>
      <c r="B2036" s="2" t="s">
        <v>34</v>
      </c>
      <c r="C2036">
        <v>62457</v>
      </c>
      <c r="D2036" s="2" t="s">
        <v>18</v>
      </c>
      <c r="E2036">
        <v>2</v>
      </c>
      <c r="F2036">
        <v>4</v>
      </c>
      <c r="G2036" s="4">
        <f>VALUE(SUBSTITUTE(SUBSTITUTE(Table1[[#This Row],[Price]],"$",""),",",""))</f>
        <v>1054702</v>
      </c>
      <c r="H2036" s="1">
        <f>Table1[[#This Row],[Price2]]/Table1[[#This Row],[Area]]</f>
        <v>631.18013165769003</v>
      </c>
      <c r="I2036">
        <v>1671</v>
      </c>
      <c r="J2036">
        <v>1969</v>
      </c>
      <c r="K2036">
        <v>87</v>
      </c>
      <c r="L2036" t="s">
        <v>40</v>
      </c>
      <c r="M2036" t="s">
        <v>1278</v>
      </c>
      <c r="N2036" s="2" t="s">
        <v>3027</v>
      </c>
      <c r="O2036" t="s">
        <v>3028</v>
      </c>
      <c r="P2036" t="s">
        <v>16</v>
      </c>
      <c r="Q2036">
        <v>631.18013165769003</v>
      </c>
      <c r="R2036">
        <f ca="1">YEAR(TODAY())-Table1[[#This Row],[Year Built]]</f>
        <v>57</v>
      </c>
      <c r="S2036" t="str">
        <f>IF(Table1[[#This Row],[Days on Market]] &lt; 30,"Fast",IF(Table1[[#This Row],[Days on Market]]&lt;= 90,"Average", "Slow"))</f>
        <v>Average</v>
      </c>
      <c r="T2036" t="str">
        <f>IF(Table1[[#This Row],[Price2]]&lt;500000,"Affordable",IF(Table1[[#This Row],[Price2]]&lt;1000000,"Mid range","Luxury"))</f>
        <v>Luxury</v>
      </c>
    </row>
    <row r="2037" spans="1:20" x14ac:dyDescent="0.35">
      <c r="A2037" s="3">
        <v>1055664</v>
      </c>
      <c r="B2037" s="2" t="s">
        <v>34</v>
      </c>
      <c r="C2037">
        <v>90885</v>
      </c>
      <c r="D2037" s="2" t="s">
        <v>13</v>
      </c>
      <c r="E2037">
        <v>1</v>
      </c>
      <c r="F2037">
        <v>2</v>
      </c>
      <c r="G2037" s="4">
        <f>VALUE(SUBSTITUTE(SUBSTITUTE(Table1[[#This Row],[Price]],"$",""),",",""))</f>
        <v>1055664</v>
      </c>
      <c r="H2037" s="1">
        <f>Table1[[#This Row],[Price2]]/Table1[[#This Row],[Area]]</f>
        <v>532.08870967741939</v>
      </c>
      <c r="I2037">
        <v>1984</v>
      </c>
      <c r="J2037">
        <v>1983</v>
      </c>
      <c r="K2037">
        <v>7</v>
      </c>
      <c r="L2037" t="s">
        <v>52</v>
      </c>
      <c r="M2037" t="s">
        <v>982</v>
      </c>
      <c r="N2037" s="2" t="s">
        <v>3027</v>
      </c>
      <c r="O2037" t="s">
        <v>3028</v>
      </c>
      <c r="P2037" t="s">
        <v>21</v>
      </c>
      <c r="Q2037">
        <v>532.08870967741939</v>
      </c>
      <c r="R2037">
        <f ca="1">YEAR(TODAY())-Table1[[#This Row],[Year Built]]</f>
        <v>43</v>
      </c>
      <c r="S2037" t="str">
        <f>IF(Table1[[#This Row],[Days on Market]] &lt; 30,"Fast",IF(Table1[[#This Row],[Days on Market]]&lt;= 90,"Average", "Slow"))</f>
        <v>Fast</v>
      </c>
      <c r="T2037" t="str">
        <f>IF(Table1[[#This Row],[Price2]]&lt;500000,"Affordable",IF(Table1[[#This Row],[Price2]]&lt;1000000,"Mid range","Luxury"))</f>
        <v>Luxury</v>
      </c>
    </row>
    <row r="2038" spans="1:20" x14ac:dyDescent="0.35">
      <c r="A2038" s="3">
        <v>1055684</v>
      </c>
      <c r="B2038" s="2" t="s">
        <v>12</v>
      </c>
      <c r="C2038">
        <v>56888</v>
      </c>
      <c r="D2038" s="2" t="s">
        <v>18</v>
      </c>
      <c r="E2038">
        <v>1</v>
      </c>
      <c r="F2038">
        <v>1</v>
      </c>
      <c r="G2038" s="4">
        <f>VALUE(SUBSTITUTE(SUBSTITUTE(Table1[[#This Row],[Price]],"$",""),",",""))</f>
        <v>1055684</v>
      </c>
      <c r="H2038" s="1">
        <f>Table1[[#This Row],[Price2]]/Table1[[#This Row],[Area]]</f>
        <v>311.13586796345419</v>
      </c>
      <c r="I2038">
        <v>3393</v>
      </c>
      <c r="J2038">
        <v>1981</v>
      </c>
      <c r="K2038">
        <v>80</v>
      </c>
      <c r="L2038" t="s">
        <v>40</v>
      </c>
      <c r="M2038" t="s">
        <v>541</v>
      </c>
      <c r="N2038" s="2" t="s">
        <v>3027</v>
      </c>
      <c r="O2038" t="s">
        <v>3028</v>
      </c>
      <c r="P2038" t="s">
        <v>26</v>
      </c>
      <c r="Q2038">
        <v>311.13586796345419</v>
      </c>
      <c r="R2038">
        <f ca="1">YEAR(TODAY())-Table1[[#This Row],[Year Built]]</f>
        <v>45</v>
      </c>
      <c r="S2038" t="str">
        <f>IF(Table1[[#This Row],[Days on Market]] &lt; 30,"Fast",IF(Table1[[#This Row],[Days on Market]]&lt;= 90,"Average", "Slow"))</f>
        <v>Average</v>
      </c>
      <c r="T2038" t="str">
        <f>IF(Table1[[#This Row],[Price2]]&lt;500000,"Affordable",IF(Table1[[#This Row],[Price2]]&lt;1000000,"Mid range","Luxury"))</f>
        <v>Luxury</v>
      </c>
    </row>
    <row r="2039" spans="1:20" x14ac:dyDescent="0.35">
      <c r="A2039" s="3">
        <v>1055904</v>
      </c>
      <c r="B2039" s="2" t="s">
        <v>34</v>
      </c>
      <c r="C2039">
        <v>14212</v>
      </c>
      <c r="D2039" s="2" t="s">
        <v>18</v>
      </c>
      <c r="E2039">
        <v>6</v>
      </c>
      <c r="F2039">
        <v>2</v>
      </c>
      <c r="G2039" s="4">
        <f>VALUE(SUBSTITUTE(SUBSTITUTE(Table1[[#This Row],[Price]],"$",""),",",""))</f>
        <v>1055904</v>
      </c>
      <c r="H2039" s="1">
        <f>Table1[[#This Row],[Price2]]/Table1[[#This Row],[Area]]</f>
        <v>401.48441064638786</v>
      </c>
      <c r="I2039">
        <v>2630</v>
      </c>
      <c r="J2039">
        <v>2003</v>
      </c>
      <c r="K2039">
        <v>110</v>
      </c>
      <c r="L2039" t="s">
        <v>40</v>
      </c>
      <c r="M2039" t="s">
        <v>567</v>
      </c>
      <c r="N2039" s="2" t="s">
        <v>3029</v>
      </c>
      <c r="O2039" t="s">
        <v>3030</v>
      </c>
      <c r="P2039" t="s">
        <v>16</v>
      </c>
      <c r="Q2039">
        <v>401.48441064638786</v>
      </c>
      <c r="R2039">
        <f ca="1">YEAR(TODAY())-Table1[[#This Row],[Year Built]]</f>
        <v>23</v>
      </c>
      <c r="S2039" t="str">
        <f>IF(Table1[[#This Row],[Days on Market]] &lt; 30,"Fast",IF(Table1[[#This Row],[Days on Market]]&lt;= 90,"Average", "Slow"))</f>
        <v>Slow</v>
      </c>
      <c r="T2039" t="str">
        <f>IF(Table1[[#This Row],[Price2]]&lt;500000,"Affordable",IF(Table1[[#This Row],[Price2]]&lt;1000000,"Mid range","Luxury"))</f>
        <v>Luxury</v>
      </c>
    </row>
    <row r="2040" spans="1:20" x14ac:dyDescent="0.35">
      <c r="A2040" s="3">
        <v>1056509</v>
      </c>
      <c r="B2040" s="2" t="s">
        <v>17</v>
      </c>
      <c r="C2040">
        <v>50971</v>
      </c>
      <c r="D2040" s="2" t="s">
        <v>18</v>
      </c>
      <c r="E2040">
        <v>1</v>
      </c>
      <c r="F2040">
        <v>4</v>
      </c>
      <c r="G2040" s="4">
        <f>VALUE(SUBSTITUTE(SUBSTITUTE(Table1[[#This Row],[Price]],"$",""),",",""))</f>
        <v>1056509</v>
      </c>
      <c r="H2040" s="1">
        <f>Table1[[#This Row],[Price2]]/Table1[[#This Row],[Area]]</f>
        <v>559.88818229994706</v>
      </c>
      <c r="I2040">
        <v>1887</v>
      </c>
      <c r="J2040">
        <v>2014</v>
      </c>
      <c r="K2040">
        <v>78</v>
      </c>
      <c r="L2040" t="s">
        <v>40</v>
      </c>
      <c r="M2040" t="s">
        <v>1090</v>
      </c>
      <c r="N2040" s="2" t="s">
        <v>3033</v>
      </c>
      <c r="O2040" t="s">
        <v>3034</v>
      </c>
      <c r="P2040" t="s">
        <v>26</v>
      </c>
      <c r="Q2040">
        <v>559.88818229994706</v>
      </c>
      <c r="R2040">
        <f ca="1">YEAR(TODAY())-Table1[[#This Row],[Year Built]]</f>
        <v>12</v>
      </c>
      <c r="S2040" t="str">
        <f>IF(Table1[[#This Row],[Days on Market]] &lt; 30,"Fast",IF(Table1[[#This Row],[Days on Market]]&lt;= 90,"Average", "Slow"))</f>
        <v>Average</v>
      </c>
      <c r="T2040" t="str">
        <f>IF(Table1[[#This Row],[Price2]]&lt;500000,"Affordable",IF(Table1[[#This Row],[Price2]]&lt;1000000,"Mid range","Luxury"))</f>
        <v>Luxury</v>
      </c>
    </row>
    <row r="2041" spans="1:20" x14ac:dyDescent="0.35">
      <c r="A2041" s="3">
        <v>1056968</v>
      </c>
      <c r="B2041" s="2" t="s">
        <v>12</v>
      </c>
      <c r="C2041">
        <v>71107</v>
      </c>
      <c r="D2041" s="2" t="s">
        <v>18</v>
      </c>
      <c r="E2041">
        <v>4</v>
      </c>
      <c r="F2041">
        <v>2</v>
      </c>
      <c r="G2041" s="4">
        <f>VALUE(SUBSTITUTE(SUBSTITUTE(Table1[[#This Row],[Price]],"$",""),",",""))</f>
        <v>1056968</v>
      </c>
      <c r="H2041" s="1">
        <f>Table1[[#This Row],[Price2]]/Table1[[#This Row],[Area]]</f>
        <v>535.71616827166747</v>
      </c>
      <c r="I2041">
        <v>1973</v>
      </c>
      <c r="J2041">
        <v>1968</v>
      </c>
      <c r="K2041">
        <v>33</v>
      </c>
      <c r="L2041" t="s">
        <v>52</v>
      </c>
      <c r="M2041" t="s">
        <v>2227</v>
      </c>
      <c r="N2041" s="2" t="s">
        <v>3029</v>
      </c>
      <c r="O2041" t="s">
        <v>3030</v>
      </c>
      <c r="P2041" t="s">
        <v>21</v>
      </c>
      <c r="Q2041">
        <v>535.71616827166747</v>
      </c>
      <c r="R2041">
        <f ca="1">YEAR(TODAY())-Table1[[#This Row],[Year Built]]</f>
        <v>58</v>
      </c>
      <c r="S2041" t="str">
        <f>IF(Table1[[#This Row],[Days on Market]] &lt; 30,"Fast",IF(Table1[[#This Row],[Days on Market]]&lt;= 90,"Average", "Slow"))</f>
        <v>Average</v>
      </c>
      <c r="T2041" t="str">
        <f>IF(Table1[[#This Row],[Price2]]&lt;500000,"Affordable",IF(Table1[[#This Row],[Price2]]&lt;1000000,"Mid range","Luxury"))</f>
        <v>Luxury</v>
      </c>
    </row>
    <row r="2042" spans="1:20" x14ac:dyDescent="0.35">
      <c r="A2042" s="3">
        <v>1057374</v>
      </c>
      <c r="B2042" s="2" t="s">
        <v>12</v>
      </c>
      <c r="C2042">
        <v>89598</v>
      </c>
      <c r="D2042" s="2" t="s">
        <v>18</v>
      </c>
      <c r="E2042">
        <v>3</v>
      </c>
      <c r="F2042">
        <v>4</v>
      </c>
      <c r="G2042" s="4">
        <f>VALUE(SUBSTITUTE(SUBSTITUTE(Table1[[#This Row],[Price]],"$",""),",",""))</f>
        <v>1057374</v>
      </c>
      <c r="H2042" s="1">
        <f>Table1[[#This Row],[Price2]]/Table1[[#This Row],[Area]]</f>
        <v>426.53247277127872</v>
      </c>
      <c r="I2042">
        <v>2479</v>
      </c>
      <c r="J2042">
        <v>1994</v>
      </c>
      <c r="K2042">
        <v>37</v>
      </c>
      <c r="L2042" t="s">
        <v>40</v>
      </c>
      <c r="M2042" t="s">
        <v>1289</v>
      </c>
      <c r="N2042" s="2" t="s">
        <v>3027</v>
      </c>
      <c r="O2042" t="s">
        <v>3028</v>
      </c>
      <c r="P2042" t="s">
        <v>21</v>
      </c>
      <c r="Q2042">
        <v>426.53247277127872</v>
      </c>
      <c r="R2042">
        <f ca="1">YEAR(TODAY())-Table1[[#This Row],[Year Built]]</f>
        <v>32</v>
      </c>
      <c r="S2042" t="str">
        <f>IF(Table1[[#This Row],[Days on Market]] &lt; 30,"Fast",IF(Table1[[#This Row],[Days on Market]]&lt;= 90,"Average", "Slow"))</f>
        <v>Average</v>
      </c>
      <c r="T2042" t="str">
        <f>IF(Table1[[#This Row],[Price2]]&lt;500000,"Affordable",IF(Table1[[#This Row],[Price2]]&lt;1000000,"Mid range","Luxury"))</f>
        <v>Luxury</v>
      </c>
    </row>
    <row r="2043" spans="1:20" x14ac:dyDescent="0.35">
      <c r="A2043" s="3">
        <v>1058406</v>
      </c>
      <c r="B2043" s="2" t="s">
        <v>17</v>
      </c>
      <c r="C2043">
        <v>62223</v>
      </c>
      <c r="D2043" s="2" t="s">
        <v>18</v>
      </c>
      <c r="E2043">
        <v>3</v>
      </c>
      <c r="F2043">
        <v>3</v>
      </c>
      <c r="G2043" s="4">
        <f>VALUE(SUBSTITUTE(SUBSTITUTE(Table1[[#This Row],[Price]],"$",""),",",""))</f>
        <v>1058406</v>
      </c>
      <c r="H2043" s="1">
        <f>Table1[[#This Row],[Price2]]/Table1[[#This Row],[Area]]</f>
        <v>485.50733944954129</v>
      </c>
      <c r="I2043">
        <v>2180</v>
      </c>
      <c r="J2043">
        <v>1967</v>
      </c>
      <c r="K2043">
        <v>24</v>
      </c>
      <c r="L2043" t="s">
        <v>30</v>
      </c>
      <c r="M2043" t="s">
        <v>613</v>
      </c>
      <c r="N2043" s="2" t="s">
        <v>3029</v>
      </c>
      <c r="O2043" t="s">
        <v>3030</v>
      </c>
      <c r="P2043" t="s">
        <v>16</v>
      </c>
      <c r="Q2043">
        <v>485.50733944954129</v>
      </c>
      <c r="R2043">
        <f ca="1">YEAR(TODAY())-Table1[[#This Row],[Year Built]]</f>
        <v>59</v>
      </c>
      <c r="S2043" t="str">
        <f>IF(Table1[[#This Row],[Days on Market]] &lt; 30,"Fast",IF(Table1[[#This Row],[Days on Market]]&lt;= 90,"Average", "Slow"))</f>
        <v>Fast</v>
      </c>
      <c r="T2043" t="str">
        <f>IF(Table1[[#This Row],[Price2]]&lt;500000,"Affordable",IF(Table1[[#This Row],[Price2]]&lt;1000000,"Mid range","Luxury"))</f>
        <v>Luxury</v>
      </c>
    </row>
    <row r="2044" spans="1:20" x14ac:dyDescent="0.35">
      <c r="A2044" s="3">
        <v>1058552</v>
      </c>
      <c r="B2044" s="2" t="s">
        <v>22</v>
      </c>
      <c r="C2044">
        <v>77377</v>
      </c>
      <c r="D2044" s="2" t="s">
        <v>18</v>
      </c>
      <c r="E2044">
        <v>5</v>
      </c>
      <c r="F2044">
        <v>1</v>
      </c>
      <c r="G2044" s="4">
        <f>VALUE(SUBSTITUTE(SUBSTITUTE(Table1[[#This Row],[Price]],"$",""),",",""))</f>
        <v>1058552</v>
      </c>
      <c r="H2044" s="1">
        <f>Table1[[#This Row],[Price2]]/Table1[[#This Row],[Area]]</f>
        <v>367.42519958347793</v>
      </c>
      <c r="I2044">
        <v>2881</v>
      </c>
      <c r="J2044">
        <v>2001</v>
      </c>
      <c r="K2044">
        <v>73</v>
      </c>
      <c r="L2044" t="s">
        <v>40</v>
      </c>
      <c r="M2044" t="s">
        <v>1498</v>
      </c>
      <c r="N2044" s="2" t="s">
        <v>3029</v>
      </c>
      <c r="O2044" t="s">
        <v>3030</v>
      </c>
      <c r="P2044" t="s">
        <v>16</v>
      </c>
      <c r="Q2044">
        <v>367.42519958347793</v>
      </c>
      <c r="R2044">
        <f ca="1">YEAR(TODAY())-Table1[[#This Row],[Year Built]]</f>
        <v>25</v>
      </c>
      <c r="S2044" t="str">
        <f>IF(Table1[[#This Row],[Days on Market]] &lt; 30,"Fast",IF(Table1[[#This Row],[Days on Market]]&lt;= 90,"Average", "Slow"))</f>
        <v>Average</v>
      </c>
      <c r="T2044" t="str">
        <f>IF(Table1[[#This Row],[Price2]]&lt;500000,"Affordable",IF(Table1[[#This Row],[Price2]]&lt;1000000,"Mid range","Luxury"))</f>
        <v>Luxury</v>
      </c>
    </row>
    <row r="2045" spans="1:20" x14ac:dyDescent="0.35">
      <c r="A2045" s="3">
        <v>1059126</v>
      </c>
      <c r="B2045" s="2" t="s">
        <v>27</v>
      </c>
      <c r="C2045">
        <v>14973</v>
      </c>
      <c r="D2045" s="2" t="s">
        <v>29</v>
      </c>
      <c r="E2045">
        <v>5</v>
      </c>
      <c r="F2045">
        <v>1</v>
      </c>
      <c r="G2045" s="4">
        <f>VALUE(SUBSTITUTE(SUBSTITUTE(Table1[[#This Row],[Price]],"$",""),",",""))</f>
        <v>1059126</v>
      </c>
      <c r="H2045" s="1">
        <f>Table1[[#This Row],[Price2]]/Table1[[#This Row],[Area]]</f>
        <v>972.56749311294766</v>
      </c>
      <c r="I2045">
        <v>1089</v>
      </c>
      <c r="J2045">
        <v>1985</v>
      </c>
      <c r="K2045">
        <v>48</v>
      </c>
      <c r="L2045" t="s">
        <v>40</v>
      </c>
      <c r="M2045" t="s">
        <v>1311</v>
      </c>
      <c r="N2045" s="2" t="s">
        <v>3033</v>
      </c>
      <c r="O2045" t="s">
        <v>3034</v>
      </c>
      <c r="P2045" t="s">
        <v>16</v>
      </c>
      <c r="Q2045">
        <v>972.56749311294766</v>
      </c>
      <c r="R2045">
        <f ca="1">YEAR(TODAY())-Table1[[#This Row],[Year Built]]</f>
        <v>41</v>
      </c>
      <c r="S2045" t="str">
        <f>IF(Table1[[#This Row],[Days on Market]] &lt; 30,"Fast",IF(Table1[[#This Row],[Days on Market]]&lt;= 90,"Average", "Slow"))</f>
        <v>Average</v>
      </c>
      <c r="T2045" t="str">
        <f>IF(Table1[[#This Row],[Price2]]&lt;500000,"Affordable",IF(Table1[[#This Row],[Price2]]&lt;1000000,"Mid range","Luxury"))</f>
        <v>Luxury</v>
      </c>
    </row>
    <row r="2046" spans="1:20" x14ac:dyDescent="0.35">
      <c r="A2046" s="3">
        <v>1060026</v>
      </c>
      <c r="B2046" s="2" t="s">
        <v>17</v>
      </c>
      <c r="C2046">
        <v>48618</v>
      </c>
      <c r="D2046" s="2" t="s">
        <v>13</v>
      </c>
      <c r="E2046">
        <v>3</v>
      </c>
      <c r="F2046">
        <v>3</v>
      </c>
      <c r="G2046" s="4">
        <f>VALUE(SUBSTITUTE(SUBSTITUTE(Table1[[#This Row],[Price]],"$",""),",",""))</f>
        <v>1060026</v>
      </c>
      <c r="H2046" s="1">
        <f>Table1[[#This Row],[Price2]]/Table1[[#This Row],[Area]]</f>
        <v>958.43218806509947</v>
      </c>
      <c r="I2046">
        <v>1106</v>
      </c>
      <c r="J2046">
        <v>1952</v>
      </c>
      <c r="K2046">
        <v>79</v>
      </c>
      <c r="L2046" t="s">
        <v>19</v>
      </c>
      <c r="M2046" t="s">
        <v>1107</v>
      </c>
      <c r="N2046" s="2" t="s">
        <v>3031</v>
      </c>
      <c r="O2046" t="s">
        <v>3032</v>
      </c>
      <c r="P2046" t="s">
        <v>26</v>
      </c>
      <c r="Q2046">
        <v>958.43218806509947</v>
      </c>
      <c r="R2046">
        <f ca="1">YEAR(TODAY())-Table1[[#This Row],[Year Built]]</f>
        <v>74</v>
      </c>
      <c r="S2046" t="str">
        <f>IF(Table1[[#This Row],[Days on Market]] &lt; 30,"Fast",IF(Table1[[#This Row],[Days on Market]]&lt;= 90,"Average", "Slow"))</f>
        <v>Average</v>
      </c>
      <c r="T2046" t="str">
        <f>IF(Table1[[#This Row],[Price2]]&lt;500000,"Affordable",IF(Table1[[#This Row],[Price2]]&lt;1000000,"Mid range","Luxury"))</f>
        <v>Luxury</v>
      </c>
    </row>
    <row r="2047" spans="1:20" x14ac:dyDescent="0.35">
      <c r="A2047" s="3">
        <v>1060065</v>
      </c>
      <c r="B2047" s="2" t="s">
        <v>12</v>
      </c>
      <c r="C2047">
        <v>13737</v>
      </c>
      <c r="D2047" s="2" t="s">
        <v>23</v>
      </c>
      <c r="E2047">
        <v>5</v>
      </c>
      <c r="F2047">
        <v>1</v>
      </c>
      <c r="G2047" s="4">
        <f>VALUE(SUBSTITUTE(SUBSTITUTE(Table1[[#This Row],[Price]],"$",""),",",""))</f>
        <v>1060065</v>
      </c>
      <c r="H2047" s="1">
        <f>Table1[[#This Row],[Price2]]/Table1[[#This Row],[Area]]</f>
        <v>691.4970645792564</v>
      </c>
      <c r="I2047">
        <v>1533</v>
      </c>
      <c r="J2047">
        <v>1994</v>
      </c>
      <c r="K2047">
        <v>83</v>
      </c>
      <c r="L2047" t="s">
        <v>30</v>
      </c>
      <c r="M2047" t="s">
        <v>2018</v>
      </c>
      <c r="N2047" s="2" t="s">
        <v>3031</v>
      </c>
      <c r="O2047" t="s">
        <v>3032</v>
      </c>
      <c r="P2047" t="s">
        <v>21</v>
      </c>
      <c r="Q2047">
        <v>691.4970645792564</v>
      </c>
      <c r="R2047">
        <f ca="1">YEAR(TODAY())-Table1[[#This Row],[Year Built]]</f>
        <v>32</v>
      </c>
      <c r="S2047" t="str">
        <f>IF(Table1[[#This Row],[Days on Market]] &lt; 30,"Fast",IF(Table1[[#This Row],[Days on Market]]&lt;= 90,"Average", "Slow"))</f>
        <v>Average</v>
      </c>
      <c r="T2047" t="str">
        <f>IF(Table1[[#This Row],[Price2]]&lt;500000,"Affordable",IF(Table1[[#This Row],[Price2]]&lt;1000000,"Mid range","Luxury"))</f>
        <v>Luxury</v>
      </c>
    </row>
    <row r="2048" spans="1:20" x14ac:dyDescent="0.35">
      <c r="A2048" s="3">
        <v>1060149</v>
      </c>
      <c r="B2048" s="2" t="s">
        <v>22</v>
      </c>
      <c r="C2048">
        <v>22392</v>
      </c>
      <c r="D2048" s="2" t="s">
        <v>35</v>
      </c>
      <c r="E2048">
        <v>5</v>
      </c>
      <c r="F2048">
        <v>3</v>
      </c>
      <c r="G2048" s="4">
        <f>VALUE(SUBSTITUTE(SUBSTITUTE(Table1[[#This Row],[Price]],"$",""),",",""))</f>
        <v>1060149</v>
      </c>
      <c r="H2048" s="1">
        <f>Table1[[#This Row],[Price2]]/Table1[[#This Row],[Area]]</f>
        <v>1060.1489999999999</v>
      </c>
      <c r="I2048">
        <v>1000</v>
      </c>
      <c r="J2048">
        <v>1982</v>
      </c>
      <c r="K2048">
        <v>40</v>
      </c>
      <c r="L2048" t="s">
        <v>14</v>
      </c>
      <c r="M2048" t="s">
        <v>224</v>
      </c>
      <c r="N2048" s="2" t="s">
        <v>3031</v>
      </c>
      <c r="O2048" t="s">
        <v>3032</v>
      </c>
      <c r="P2048" t="s">
        <v>16</v>
      </c>
      <c r="Q2048">
        <v>1060.1489999999999</v>
      </c>
      <c r="R2048">
        <f ca="1">YEAR(TODAY())-Table1[[#This Row],[Year Built]]</f>
        <v>44</v>
      </c>
      <c r="S2048" t="str">
        <f>IF(Table1[[#This Row],[Days on Market]] &lt; 30,"Fast",IF(Table1[[#This Row],[Days on Market]]&lt;= 90,"Average", "Slow"))</f>
        <v>Average</v>
      </c>
      <c r="T2048" t="str">
        <f>IF(Table1[[#This Row],[Price2]]&lt;500000,"Affordable",IF(Table1[[#This Row],[Price2]]&lt;1000000,"Mid range","Luxury"))</f>
        <v>Luxury</v>
      </c>
    </row>
    <row r="2049" spans="1:20" x14ac:dyDescent="0.35">
      <c r="A2049" s="3">
        <v>1061282</v>
      </c>
      <c r="B2049" s="2" t="s">
        <v>12</v>
      </c>
      <c r="C2049">
        <v>22847</v>
      </c>
      <c r="D2049" s="2" t="s">
        <v>13</v>
      </c>
      <c r="E2049">
        <v>3</v>
      </c>
      <c r="F2049">
        <v>2</v>
      </c>
      <c r="G2049" s="4">
        <f>VALUE(SUBSTITUTE(SUBSTITUTE(Table1[[#This Row],[Price]],"$",""),",",""))</f>
        <v>1061282</v>
      </c>
      <c r="H2049" s="1">
        <f>Table1[[#This Row],[Price2]]/Table1[[#This Row],[Area]]</f>
        <v>279.50539899920989</v>
      </c>
      <c r="I2049">
        <v>3797</v>
      </c>
      <c r="J2049">
        <v>2016</v>
      </c>
      <c r="K2049">
        <v>96</v>
      </c>
      <c r="L2049" t="s">
        <v>14</v>
      </c>
      <c r="M2049" t="s">
        <v>2867</v>
      </c>
      <c r="N2049" s="2" t="s">
        <v>3033</v>
      </c>
      <c r="O2049" t="s">
        <v>3034</v>
      </c>
      <c r="P2049" t="s">
        <v>26</v>
      </c>
      <c r="Q2049">
        <v>279.50539899920989</v>
      </c>
      <c r="R2049">
        <f ca="1">YEAR(TODAY())-Table1[[#This Row],[Year Built]]</f>
        <v>10</v>
      </c>
      <c r="S2049" t="str">
        <f>IF(Table1[[#This Row],[Days on Market]] &lt; 30,"Fast",IF(Table1[[#This Row],[Days on Market]]&lt;= 90,"Average", "Slow"))</f>
        <v>Slow</v>
      </c>
      <c r="T2049" t="str">
        <f>IF(Table1[[#This Row],[Price2]]&lt;500000,"Affordable",IF(Table1[[#This Row],[Price2]]&lt;1000000,"Mid range","Luxury"))</f>
        <v>Luxury</v>
      </c>
    </row>
    <row r="2050" spans="1:20" x14ac:dyDescent="0.35">
      <c r="A2050" s="3">
        <v>1061447</v>
      </c>
      <c r="B2050" s="2" t="s">
        <v>17</v>
      </c>
      <c r="C2050">
        <v>59560</v>
      </c>
      <c r="D2050" s="2" t="s">
        <v>23</v>
      </c>
      <c r="E2050">
        <v>2</v>
      </c>
      <c r="F2050">
        <v>4</v>
      </c>
      <c r="G2050" s="4">
        <f>VALUE(SUBSTITUTE(SUBSTITUTE(Table1[[#This Row],[Price]],"$",""),",",""))</f>
        <v>1061447</v>
      </c>
      <c r="H2050" s="1">
        <f>Table1[[#This Row],[Price2]]/Table1[[#This Row],[Area]]</f>
        <v>651.59422958870471</v>
      </c>
      <c r="I2050">
        <v>1629</v>
      </c>
      <c r="J2050">
        <v>1977</v>
      </c>
      <c r="K2050">
        <v>52</v>
      </c>
      <c r="L2050" t="s">
        <v>40</v>
      </c>
      <c r="M2050" t="s">
        <v>1189</v>
      </c>
      <c r="N2050" s="2" t="s">
        <v>3035</v>
      </c>
      <c r="O2050" t="s">
        <v>3036</v>
      </c>
      <c r="P2050" t="s">
        <v>21</v>
      </c>
      <c r="Q2050">
        <v>651.59422958870471</v>
      </c>
      <c r="R2050">
        <f ca="1">YEAR(TODAY())-Table1[[#This Row],[Year Built]]</f>
        <v>49</v>
      </c>
      <c r="S2050" t="str">
        <f>IF(Table1[[#This Row],[Days on Market]] &lt; 30,"Fast",IF(Table1[[#This Row],[Days on Market]]&lt;= 90,"Average", "Slow"))</f>
        <v>Average</v>
      </c>
      <c r="T2050" t="str">
        <f>IF(Table1[[#This Row],[Price2]]&lt;500000,"Affordable",IF(Table1[[#This Row],[Price2]]&lt;1000000,"Mid range","Luxury"))</f>
        <v>Luxury</v>
      </c>
    </row>
    <row r="2051" spans="1:20" x14ac:dyDescent="0.35">
      <c r="A2051" s="3">
        <v>1061821</v>
      </c>
      <c r="B2051" s="2" t="s">
        <v>22</v>
      </c>
      <c r="C2051">
        <v>23444</v>
      </c>
      <c r="D2051" s="2" t="s">
        <v>13</v>
      </c>
      <c r="E2051">
        <v>6</v>
      </c>
      <c r="F2051">
        <v>4</v>
      </c>
      <c r="G2051" s="4">
        <f>VALUE(SUBSTITUTE(SUBSTITUTE(Table1[[#This Row],[Price]],"$",""),",",""))</f>
        <v>1061821</v>
      </c>
      <c r="H2051" s="1">
        <f>Table1[[#This Row],[Price2]]/Table1[[#This Row],[Area]]</f>
        <v>342.4124475975492</v>
      </c>
      <c r="I2051">
        <v>3101</v>
      </c>
      <c r="J2051">
        <v>1990</v>
      </c>
      <c r="K2051">
        <v>92</v>
      </c>
      <c r="L2051" t="s">
        <v>52</v>
      </c>
      <c r="M2051" t="s">
        <v>1466</v>
      </c>
      <c r="N2051" s="2" t="s">
        <v>3029</v>
      </c>
      <c r="O2051" t="s">
        <v>3030</v>
      </c>
      <c r="P2051" t="s">
        <v>16</v>
      </c>
      <c r="Q2051">
        <v>342.4124475975492</v>
      </c>
      <c r="R2051">
        <f ca="1">YEAR(TODAY())-Table1[[#This Row],[Year Built]]</f>
        <v>36</v>
      </c>
      <c r="S2051" t="str">
        <f>IF(Table1[[#This Row],[Days on Market]] &lt; 30,"Fast",IF(Table1[[#This Row],[Days on Market]]&lt;= 90,"Average", "Slow"))</f>
        <v>Slow</v>
      </c>
      <c r="T2051" t="str">
        <f>IF(Table1[[#This Row],[Price2]]&lt;500000,"Affordable",IF(Table1[[#This Row],[Price2]]&lt;1000000,"Mid range","Luxury"))</f>
        <v>Luxury</v>
      </c>
    </row>
    <row r="2052" spans="1:20" x14ac:dyDescent="0.35">
      <c r="A2052" s="3">
        <v>1062025</v>
      </c>
      <c r="B2052" s="2" t="s">
        <v>27</v>
      </c>
      <c r="C2052">
        <v>83724</v>
      </c>
      <c r="D2052" s="2" t="s">
        <v>13</v>
      </c>
      <c r="E2052">
        <v>1</v>
      </c>
      <c r="F2052">
        <v>2</v>
      </c>
      <c r="G2052" s="4">
        <f>VALUE(SUBSTITUTE(SUBSTITUTE(Table1[[#This Row],[Price]],"$",""),",",""))</f>
        <v>1062025</v>
      </c>
      <c r="H2052" s="1">
        <f>Table1[[#This Row],[Price2]]/Table1[[#This Row],[Area]]</f>
        <v>796.71792948237055</v>
      </c>
      <c r="I2052">
        <v>1333</v>
      </c>
      <c r="J2052">
        <v>1998</v>
      </c>
      <c r="K2052">
        <v>105</v>
      </c>
      <c r="L2052" t="s">
        <v>40</v>
      </c>
      <c r="M2052" t="s">
        <v>791</v>
      </c>
      <c r="N2052" s="2" t="s">
        <v>3029</v>
      </c>
      <c r="O2052" t="s">
        <v>3030</v>
      </c>
      <c r="P2052" t="s">
        <v>26</v>
      </c>
      <c r="Q2052">
        <v>796.71792948237055</v>
      </c>
      <c r="R2052">
        <f ca="1">YEAR(TODAY())-Table1[[#This Row],[Year Built]]</f>
        <v>28</v>
      </c>
      <c r="S2052" t="str">
        <f>IF(Table1[[#This Row],[Days on Market]] &lt; 30,"Fast",IF(Table1[[#This Row],[Days on Market]]&lt;= 90,"Average", "Slow"))</f>
        <v>Slow</v>
      </c>
      <c r="T2052" t="str">
        <f>IF(Table1[[#This Row],[Price2]]&lt;500000,"Affordable",IF(Table1[[#This Row],[Price2]]&lt;1000000,"Mid range","Luxury"))</f>
        <v>Luxury</v>
      </c>
    </row>
    <row r="2053" spans="1:20" x14ac:dyDescent="0.35">
      <c r="A2053" s="3">
        <v>1062706</v>
      </c>
      <c r="B2053" s="2" t="s">
        <v>12</v>
      </c>
      <c r="C2053">
        <v>61792</v>
      </c>
      <c r="D2053" s="2" t="s">
        <v>35</v>
      </c>
      <c r="E2053">
        <v>2</v>
      </c>
      <c r="F2053">
        <v>4</v>
      </c>
      <c r="G2053" s="4">
        <f>VALUE(SUBSTITUTE(SUBSTITUTE(Table1[[#This Row],[Price]],"$",""),",",""))</f>
        <v>1062706</v>
      </c>
      <c r="H2053" s="1">
        <f>Table1[[#This Row],[Price2]]/Table1[[#This Row],[Area]]</f>
        <v>929.75153105861773</v>
      </c>
      <c r="I2053">
        <v>1143</v>
      </c>
      <c r="J2053">
        <v>2006</v>
      </c>
      <c r="K2053">
        <v>28</v>
      </c>
      <c r="L2053" t="s">
        <v>30</v>
      </c>
      <c r="M2053" t="s">
        <v>82</v>
      </c>
      <c r="N2053" s="2" t="s">
        <v>3035</v>
      </c>
      <c r="O2053" t="s">
        <v>3036</v>
      </c>
      <c r="P2053" t="s">
        <v>26</v>
      </c>
      <c r="Q2053">
        <v>929.75153105861773</v>
      </c>
      <c r="R2053">
        <f ca="1">YEAR(TODAY())-Table1[[#This Row],[Year Built]]</f>
        <v>20</v>
      </c>
      <c r="S2053" t="str">
        <f>IF(Table1[[#This Row],[Days on Market]] &lt; 30,"Fast",IF(Table1[[#This Row],[Days on Market]]&lt;= 90,"Average", "Slow"))</f>
        <v>Fast</v>
      </c>
      <c r="T2053" t="str">
        <f>IF(Table1[[#This Row],[Price2]]&lt;500000,"Affordable",IF(Table1[[#This Row],[Price2]]&lt;1000000,"Mid range","Luxury"))</f>
        <v>Luxury</v>
      </c>
    </row>
    <row r="2054" spans="1:20" x14ac:dyDescent="0.35">
      <c r="A2054" s="3">
        <v>1063005</v>
      </c>
      <c r="B2054" s="2" t="s">
        <v>12</v>
      </c>
      <c r="C2054">
        <v>25581</v>
      </c>
      <c r="D2054" s="2" t="s">
        <v>18</v>
      </c>
      <c r="E2054">
        <v>1</v>
      </c>
      <c r="F2054">
        <v>3</v>
      </c>
      <c r="G2054" s="4">
        <f>VALUE(SUBSTITUTE(SUBSTITUTE(Table1[[#This Row],[Price]],"$",""),",",""))</f>
        <v>1063005</v>
      </c>
      <c r="H2054" s="1">
        <f>Table1[[#This Row],[Price2]]/Table1[[#This Row],[Area]]</f>
        <v>345.69268292682926</v>
      </c>
      <c r="I2054">
        <v>3075</v>
      </c>
      <c r="J2054">
        <v>1956</v>
      </c>
      <c r="K2054">
        <v>95</v>
      </c>
      <c r="L2054" t="s">
        <v>52</v>
      </c>
      <c r="M2054" t="s">
        <v>2621</v>
      </c>
      <c r="N2054" s="2" t="s">
        <v>3027</v>
      </c>
      <c r="O2054" t="s">
        <v>3028</v>
      </c>
      <c r="P2054" t="s">
        <v>16</v>
      </c>
      <c r="Q2054">
        <v>345.69268292682926</v>
      </c>
      <c r="R2054">
        <f ca="1">YEAR(TODAY())-Table1[[#This Row],[Year Built]]</f>
        <v>70</v>
      </c>
      <c r="S2054" t="str">
        <f>IF(Table1[[#This Row],[Days on Market]] &lt; 30,"Fast",IF(Table1[[#This Row],[Days on Market]]&lt;= 90,"Average", "Slow"))</f>
        <v>Slow</v>
      </c>
      <c r="T2054" t="str">
        <f>IF(Table1[[#This Row],[Price2]]&lt;500000,"Affordable",IF(Table1[[#This Row],[Price2]]&lt;1000000,"Mid range","Luxury"))</f>
        <v>Luxury</v>
      </c>
    </row>
    <row r="2055" spans="1:20" x14ac:dyDescent="0.35">
      <c r="A2055" s="3">
        <v>1063326</v>
      </c>
      <c r="B2055" s="2" t="s">
        <v>22</v>
      </c>
      <c r="C2055">
        <v>62633</v>
      </c>
      <c r="D2055" s="2" t="s">
        <v>13</v>
      </c>
      <c r="E2055">
        <v>3</v>
      </c>
      <c r="F2055">
        <v>1</v>
      </c>
      <c r="G2055" s="4">
        <f>VALUE(SUBSTITUTE(SUBSTITUTE(Table1[[#This Row],[Price]],"$",""),",",""))</f>
        <v>1063326</v>
      </c>
      <c r="H2055" s="1">
        <f>Table1[[#This Row],[Price2]]/Table1[[#This Row],[Area]]</f>
        <v>1720.5922330097087</v>
      </c>
      <c r="I2055">
        <v>618</v>
      </c>
      <c r="J2055">
        <v>1987</v>
      </c>
      <c r="K2055">
        <v>99</v>
      </c>
      <c r="L2055" t="s">
        <v>40</v>
      </c>
      <c r="M2055" t="s">
        <v>1775</v>
      </c>
      <c r="N2055" s="2" t="s">
        <v>3035</v>
      </c>
      <c r="O2055" t="s">
        <v>3036</v>
      </c>
      <c r="P2055" t="s">
        <v>21</v>
      </c>
      <c r="Q2055">
        <v>1720.5922330097087</v>
      </c>
      <c r="R2055">
        <f ca="1">YEAR(TODAY())-Table1[[#This Row],[Year Built]]</f>
        <v>39</v>
      </c>
      <c r="S2055" t="str">
        <f>IF(Table1[[#This Row],[Days on Market]] &lt; 30,"Fast",IF(Table1[[#This Row],[Days on Market]]&lt;= 90,"Average", "Slow"))</f>
        <v>Slow</v>
      </c>
      <c r="T2055" t="str">
        <f>IF(Table1[[#This Row],[Price2]]&lt;500000,"Affordable",IF(Table1[[#This Row],[Price2]]&lt;1000000,"Mid range","Luxury"))</f>
        <v>Luxury</v>
      </c>
    </row>
    <row r="2056" spans="1:20" x14ac:dyDescent="0.35">
      <c r="A2056" s="3">
        <v>1063342</v>
      </c>
      <c r="B2056" s="2" t="s">
        <v>22</v>
      </c>
      <c r="C2056">
        <v>17275</v>
      </c>
      <c r="D2056" s="2" t="s">
        <v>35</v>
      </c>
      <c r="E2056">
        <v>1</v>
      </c>
      <c r="F2056">
        <v>4</v>
      </c>
      <c r="G2056" s="4">
        <f>VALUE(SUBSTITUTE(SUBSTITUTE(Table1[[#This Row],[Price]],"$",""),",",""))</f>
        <v>1063342</v>
      </c>
      <c r="H2056" s="1">
        <f>Table1[[#This Row],[Price2]]/Table1[[#This Row],[Area]]</f>
        <v>784.75424354243546</v>
      </c>
      <c r="I2056">
        <v>1355</v>
      </c>
      <c r="J2056">
        <v>1992</v>
      </c>
      <c r="K2056">
        <v>32</v>
      </c>
      <c r="L2056" t="s">
        <v>30</v>
      </c>
      <c r="M2056" t="s">
        <v>2040</v>
      </c>
      <c r="N2056" s="2" t="s">
        <v>3033</v>
      </c>
      <c r="O2056" t="s">
        <v>3034</v>
      </c>
      <c r="P2056" t="s">
        <v>26</v>
      </c>
      <c r="Q2056">
        <v>784.75424354243546</v>
      </c>
      <c r="R2056">
        <f ca="1">YEAR(TODAY())-Table1[[#This Row],[Year Built]]</f>
        <v>34</v>
      </c>
      <c r="S2056" t="str">
        <f>IF(Table1[[#This Row],[Days on Market]] &lt; 30,"Fast",IF(Table1[[#This Row],[Days on Market]]&lt;= 90,"Average", "Slow"))</f>
        <v>Average</v>
      </c>
      <c r="T2056" t="str">
        <f>IF(Table1[[#This Row],[Price2]]&lt;500000,"Affordable",IF(Table1[[#This Row],[Price2]]&lt;1000000,"Mid range","Luxury"))</f>
        <v>Luxury</v>
      </c>
    </row>
    <row r="2057" spans="1:20" x14ac:dyDescent="0.35">
      <c r="A2057" s="3">
        <v>1063868</v>
      </c>
      <c r="B2057" s="2" t="s">
        <v>34</v>
      </c>
      <c r="C2057">
        <v>96466</v>
      </c>
      <c r="D2057" s="2" t="s">
        <v>23</v>
      </c>
      <c r="E2057">
        <v>5</v>
      </c>
      <c r="F2057">
        <v>3</v>
      </c>
      <c r="G2057" s="4">
        <f>VALUE(SUBSTITUTE(SUBSTITUTE(Table1[[#This Row],[Price]],"$",""),",",""))</f>
        <v>1063868</v>
      </c>
      <c r="H2057" s="1">
        <f>Table1[[#This Row],[Price2]]/Table1[[#This Row],[Area]]</f>
        <v>283.69813333333332</v>
      </c>
      <c r="I2057">
        <v>3750</v>
      </c>
      <c r="J2057">
        <v>1984</v>
      </c>
      <c r="K2057">
        <v>103</v>
      </c>
      <c r="L2057" t="s">
        <v>40</v>
      </c>
      <c r="M2057" t="s">
        <v>2111</v>
      </c>
      <c r="N2057" s="2" t="s">
        <v>3029</v>
      </c>
      <c r="O2057" t="s">
        <v>3030</v>
      </c>
      <c r="P2057" t="s">
        <v>21</v>
      </c>
      <c r="Q2057">
        <v>283.69813333333332</v>
      </c>
      <c r="R2057">
        <f ca="1">YEAR(TODAY())-Table1[[#This Row],[Year Built]]</f>
        <v>42</v>
      </c>
      <c r="S2057" t="str">
        <f>IF(Table1[[#This Row],[Days on Market]] &lt; 30,"Fast",IF(Table1[[#This Row],[Days on Market]]&lt;= 90,"Average", "Slow"))</f>
        <v>Slow</v>
      </c>
      <c r="T2057" t="str">
        <f>IF(Table1[[#This Row],[Price2]]&lt;500000,"Affordable",IF(Table1[[#This Row],[Price2]]&lt;1000000,"Mid range","Luxury"))</f>
        <v>Luxury</v>
      </c>
    </row>
    <row r="2058" spans="1:20" x14ac:dyDescent="0.35">
      <c r="A2058" s="3">
        <v>1063935</v>
      </c>
      <c r="B2058" s="2" t="s">
        <v>17</v>
      </c>
      <c r="C2058">
        <v>35778</v>
      </c>
      <c r="D2058" s="2" t="s">
        <v>29</v>
      </c>
      <c r="E2058">
        <v>3</v>
      </c>
      <c r="F2058">
        <v>1</v>
      </c>
      <c r="G2058" s="4">
        <f>VALUE(SUBSTITUTE(SUBSTITUTE(Table1[[#This Row],[Price]],"$",""),",",""))</f>
        <v>1063935</v>
      </c>
      <c r="H2058" s="1">
        <f>Table1[[#This Row],[Price2]]/Table1[[#This Row],[Area]]</f>
        <v>767.07642393655374</v>
      </c>
      <c r="I2058">
        <v>1387</v>
      </c>
      <c r="J2058">
        <v>1998</v>
      </c>
      <c r="K2058">
        <v>30</v>
      </c>
      <c r="L2058" t="s">
        <v>19</v>
      </c>
      <c r="M2058" t="s">
        <v>2670</v>
      </c>
      <c r="N2058" s="2" t="s">
        <v>3033</v>
      </c>
      <c r="O2058" t="s">
        <v>3034</v>
      </c>
      <c r="P2058" t="s">
        <v>21</v>
      </c>
      <c r="Q2058">
        <v>767.07642393655374</v>
      </c>
      <c r="R2058">
        <f ca="1">YEAR(TODAY())-Table1[[#This Row],[Year Built]]</f>
        <v>28</v>
      </c>
      <c r="S2058" t="str">
        <f>IF(Table1[[#This Row],[Days on Market]] &lt; 30,"Fast",IF(Table1[[#This Row],[Days on Market]]&lt;= 90,"Average", "Slow"))</f>
        <v>Average</v>
      </c>
      <c r="T2058" t="str">
        <f>IF(Table1[[#This Row],[Price2]]&lt;500000,"Affordable",IF(Table1[[#This Row],[Price2]]&lt;1000000,"Mid range","Luxury"))</f>
        <v>Luxury</v>
      </c>
    </row>
    <row r="2059" spans="1:20" x14ac:dyDescent="0.35">
      <c r="A2059" s="3">
        <v>1064262</v>
      </c>
      <c r="B2059" s="2" t="s">
        <v>22</v>
      </c>
      <c r="C2059">
        <v>23919</v>
      </c>
      <c r="D2059" s="2" t="s">
        <v>13</v>
      </c>
      <c r="E2059">
        <v>4</v>
      </c>
      <c r="F2059">
        <v>1</v>
      </c>
      <c r="G2059" s="4">
        <f>VALUE(SUBSTITUTE(SUBSTITUTE(Table1[[#This Row],[Price]],"$",""),",",""))</f>
        <v>1064262</v>
      </c>
      <c r="H2059" s="1">
        <f>Table1[[#This Row],[Price2]]/Table1[[#This Row],[Area]]</f>
        <v>517.38551288283907</v>
      </c>
      <c r="I2059">
        <v>2057</v>
      </c>
      <c r="J2059">
        <v>1981</v>
      </c>
      <c r="K2059">
        <v>106</v>
      </c>
      <c r="L2059" t="s">
        <v>40</v>
      </c>
      <c r="M2059" t="s">
        <v>737</v>
      </c>
      <c r="N2059" s="2" t="s">
        <v>3031</v>
      </c>
      <c r="O2059" t="s">
        <v>3032</v>
      </c>
      <c r="P2059" t="s">
        <v>16</v>
      </c>
      <c r="Q2059">
        <v>517.38551288283907</v>
      </c>
      <c r="R2059">
        <f ca="1">YEAR(TODAY())-Table1[[#This Row],[Year Built]]</f>
        <v>45</v>
      </c>
      <c r="S2059" t="str">
        <f>IF(Table1[[#This Row],[Days on Market]] &lt; 30,"Fast",IF(Table1[[#This Row],[Days on Market]]&lt;= 90,"Average", "Slow"))</f>
        <v>Slow</v>
      </c>
      <c r="T2059" t="str">
        <f>IF(Table1[[#This Row],[Price2]]&lt;500000,"Affordable",IF(Table1[[#This Row],[Price2]]&lt;1000000,"Mid range","Luxury"))</f>
        <v>Luxury</v>
      </c>
    </row>
    <row r="2060" spans="1:20" x14ac:dyDescent="0.35">
      <c r="A2060" s="3">
        <v>1064596</v>
      </c>
      <c r="B2060" s="2" t="s">
        <v>34</v>
      </c>
      <c r="C2060">
        <v>88366</v>
      </c>
      <c r="D2060" s="2" t="s">
        <v>35</v>
      </c>
      <c r="E2060">
        <v>5</v>
      </c>
      <c r="F2060">
        <v>1</v>
      </c>
      <c r="G2060" s="4">
        <f>VALUE(SUBSTITUTE(SUBSTITUTE(Table1[[#This Row],[Price]],"$",""),",",""))</f>
        <v>1064596</v>
      </c>
      <c r="H2060" s="1">
        <f>Table1[[#This Row],[Price2]]/Table1[[#This Row],[Area]]</f>
        <v>446.74611833822911</v>
      </c>
      <c r="I2060">
        <v>2383</v>
      </c>
      <c r="J2060">
        <v>1995</v>
      </c>
      <c r="K2060">
        <v>73</v>
      </c>
      <c r="L2060" t="s">
        <v>40</v>
      </c>
      <c r="M2060" t="s">
        <v>86</v>
      </c>
      <c r="N2060" s="2" t="s">
        <v>3033</v>
      </c>
      <c r="O2060" t="s">
        <v>3034</v>
      </c>
      <c r="P2060" t="s">
        <v>21</v>
      </c>
      <c r="Q2060">
        <v>446.74611833822911</v>
      </c>
      <c r="R2060">
        <f ca="1">YEAR(TODAY())-Table1[[#This Row],[Year Built]]</f>
        <v>31</v>
      </c>
      <c r="S2060" t="str">
        <f>IF(Table1[[#This Row],[Days on Market]] &lt; 30,"Fast",IF(Table1[[#This Row],[Days on Market]]&lt;= 90,"Average", "Slow"))</f>
        <v>Average</v>
      </c>
      <c r="T2060" t="str">
        <f>IF(Table1[[#This Row],[Price2]]&lt;500000,"Affordable",IF(Table1[[#This Row],[Price2]]&lt;1000000,"Mid range","Luxury"))</f>
        <v>Luxury</v>
      </c>
    </row>
    <row r="2061" spans="1:20" x14ac:dyDescent="0.35">
      <c r="A2061" s="3">
        <v>1064784</v>
      </c>
      <c r="B2061" s="2" t="s">
        <v>27</v>
      </c>
      <c r="C2061">
        <v>72490</v>
      </c>
      <c r="D2061" s="2" t="s">
        <v>29</v>
      </c>
      <c r="E2061">
        <v>6</v>
      </c>
      <c r="F2061">
        <v>4</v>
      </c>
      <c r="G2061" s="4">
        <f>VALUE(SUBSTITUTE(SUBSTITUTE(Table1[[#This Row],[Price]],"$",""),",",""))</f>
        <v>1064784</v>
      </c>
      <c r="H2061" s="1">
        <f>Table1[[#This Row],[Price2]]/Table1[[#This Row],[Area]]</f>
        <v>628.56198347107443</v>
      </c>
      <c r="I2061">
        <v>1694</v>
      </c>
      <c r="J2061">
        <v>2009</v>
      </c>
      <c r="K2061">
        <v>98</v>
      </c>
      <c r="L2061" t="s">
        <v>14</v>
      </c>
      <c r="M2061" t="s">
        <v>2345</v>
      </c>
      <c r="N2061" s="2" t="s">
        <v>3031</v>
      </c>
      <c r="O2061" t="s">
        <v>3032</v>
      </c>
      <c r="P2061" t="s">
        <v>26</v>
      </c>
      <c r="Q2061">
        <v>628.56198347107443</v>
      </c>
      <c r="R2061">
        <f ca="1">YEAR(TODAY())-Table1[[#This Row],[Year Built]]</f>
        <v>17</v>
      </c>
      <c r="S2061" t="str">
        <f>IF(Table1[[#This Row],[Days on Market]] &lt; 30,"Fast",IF(Table1[[#This Row],[Days on Market]]&lt;= 90,"Average", "Slow"))</f>
        <v>Slow</v>
      </c>
      <c r="T2061" t="str">
        <f>IF(Table1[[#This Row],[Price2]]&lt;500000,"Affordable",IF(Table1[[#This Row],[Price2]]&lt;1000000,"Mid range","Luxury"))</f>
        <v>Luxury</v>
      </c>
    </row>
    <row r="2062" spans="1:20" x14ac:dyDescent="0.35">
      <c r="A2062" s="3">
        <v>1064819</v>
      </c>
      <c r="B2062" s="2" t="s">
        <v>27</v>
      </c>
      <c r="C2062">
        <v>38613</v>
      </c>
      <c r="D2062" s="2" t="s">
        <v>35</v>
      </c>
      <c r="E2062">
        <v>2</v>
      </c>
      <c r="F2062">
        <v>1</v>
      </c>
      <c r="G2062" s="4">
        <f>VALUE(SUBSTITUTE(SUBSTITUTE(Table1[[#This Row],[Price]],"$",""),",",""))</f>
        <v>1064819</v>
      </c>
      <c r="H2062" s="1">
        <f>Table1[[#This Row],[Price2]]/Table1[[#This Row],[Area]]</f>
        <v>797.61722846441944</v>
      </c>
      <c r="I2062">
        <v>1335</v>
      </c>
      <c r="J2062">
        <v>1982</v>
      </c>
      <c r="K2062">
        <v>71</v>
      </c>
      <c r="L2062" t="s">
        <v>19</v>
      </c>
      <c r="M2062" t="s">
        <v>2163</v>
      </c>
      <c r="N2062" s="2" t="s">
        <v>3031</v>
      </c>
      <c r="O2062" t="s">
        <v>3032</v>
      </c>
      <c r="P2062" t="s">
        <v>16</v>
      </c>
      <c r="Q2062">
        <v>797.61722846441944</v>
      </c>
      <c r="R2062">
        <f ca="1">YEAR(TODAY())-Table1[[#This Row],[Year Built]]</f>
        <v>44</v>
      </c>
      <c r="S2062" t="str">
        <f>IF(Table1[[#This Row],[Days on Market]] &lt; 30,"Fast",IF(Table1[[#This Row],[Days on Market]]&lt;= 90,"Average", "Slow"))</f>
        <v>Average</v>
      </c>
      <c r="T2062" t="str">
        <f>IF(Table1[[#This Row],[Price2]]&lt;500000,"Affordable",IF(Table1[[#This Row],[Price2]]&lt;1000000,"Mid range","Luxury"))</f>
        <v>Luxury</v>
      </c>
    </row>
    <row r="2063" spans="1:20" x14ac:dyDescent="0.35">
      <c r="A2063" s="3">
        <v>1065109</v>
      </c>
      <c r="B2063" s="2" t="s">
        <v>17</v>
      </c>
      <c r="C2063">
        <v>90049</v>
      </c>
      <c r="D2063" s="2" t="s">
        <v>13</v>
      </c>
      <c r="E2063">
        <v>4</v>
      </c>
      <c r="F2063">
        <v>1</v>
      </c>
      <c r="G2063" s="4">
        <f>VALUE(SUBSTITUTE(SUBSTITUTE(Table1[[#This Row],[Price]],"$",""),",",""))</f>
        <v>1065109</v>
      </c>
      <c r="H2063" s="1">
        <f>Table1[[#This Row],[Price2]]/Table1[[#This Row],[Area]]</f>
        <v>268.15433031218532</v>
      </c>
      <c r="I2063">
        <v>3972</v>
      </c>
      <c r="J2063">
        <v>1977</v>
      </c>
      <c r="K2063">
        <v>58</v>
      </c>
      <c r="L2063" t="s">
        <v>52</v>
      </c>
      <c r="M2063" t="s">
        <v>2351</v>
      </c>
      <c r="N2063" s="2" t="s">
        <v>3027</v>
      </c>
      <c r="O2063" t="s">
        <v>3028</v>
      </c>
      <c r="P2063" t="s">
        <v>21</v>
      </c>
      <c r="Q2063">
        <v>268.15433031218532</v>
      </c>
      <c r="R2063">
        <f ca="1">YEAR(TODAY())-Table1[[#This Row],[Year Built]]</f>
        <v>49</v>
      </c>
      <c r="S2063" t="str">
        <f>IF(Table1[[#This Row],[Days on Market]] &lt; 30,"Fast",IF(Table1[[#This Row],[Days on Market]]&lt;= 90,"Average", "Slow"))</f>
        <v>Average</v>
      </c>
      <c r="T2063" t="str">
        <f>IF(Table1[[#This Row],[Price2]]&lt;500000,"Affordable",IF(Table1[[#This Row],[Price2]]&lt;1000000,"Mid range","Luxury"))</f>
        <v>Luxury</v>
      </c>
    </row>
    <row r="2064" spans="1:20" x14ac:dyDescent="0.35">
      <c r="A2064" s="3">
        <v>1065578</v>
      </c>
      <c r="B2064" s="2" t="s">
        <v>17</v>
      </c>
      <c r="C2064">
        <v>12390</v>
      </c>
      <c r="D2064" s="2" t="s">
        <v>35</v>
      </c>
      <c r="E2064">
        <v>2</v>
      </c>
      <c r="F2064">
        <v>4</v>
      </c>
      <c r="G2064" s="4">
        <f>VALUE(SUBSTITUTE(SUBSTITUTE(Table1[[#This Row],[Price]],"$",""),",",""))</f>
        <v>1065578</v>
      </c>
      <c r="H2064" s="1">
        <f>Table1[[#This Row],[Price2]]/Table1[[#This Row],[Area]]</f>
        <v>348.00065316786413</v>
      </c>
      <c r="I2064">
        <v>3062</v>
      </c>
      <c r="J2064">
        <v>2005</v>
      </c>
      <c r="K2064">
        <v>109</v>
      </c>
      <c r="L2064" t="s">
        <v>52</v>
      </c>
      <c r="M2064" t="s">
        <v>3016</v>
      </c>
      <c r="N2064" s="2" t="s">
        <v>3031</v>
      </c>
      <c r="O2064" t="s">
        <v>3032</v>
      </c>
      <c r="P2064" t="s">
        <v>21</v>
      </c>
      <c r="Q2064">
        <v>348.00065316786413</v>
      </c>
      <c r="R2064">
        <f ca="1">YEAR(TODAY())-Table1[[#This Row],[Year Built]]</f>
        <v>21</v>
      </c>
      <c r="S2064" t="str">
        <f>IF(Table1[[#This Row],[Days on Market]] &lt; 30,"Fast",IF(Table1[[#This Row],[Days on Market]]&lt;= 90,"Average", "Slow"))</f>
        <v>Slow</v>
      </c>
      <c r="T2064" t="str">
        <f>IF(Table1[[#This Row],[Price2]]&lt;500000,"Affordable",IF(Table1[[#This Row],[Price2]]&lt;1000000,"Mid range","Luxury"))</f>
        <v>Luxury</v>
      </c>
    </row>
    <row r="2065" spans="1:20" x14ac:dyDescent="0.35">
      <c r="A2065" s="3">
        <v>1065686</v>
      </c>
      <c r="B2065" s="2" t="s">
        <v>17</v>
      </c>
      <c r="C2065">
        <v>92161</v>
      </c>
      <c r="D2065" s="2" t="s">
        <v>13</v>
      </c>
      <c r="E2065">
        <v>4</v>
      </c>
      <c r="F2065">
        <v>2</v>
      </c>
      <c r="G2065" s="4">
        <f>VALUE(SUBSTITUTE(SUBSTITUTE(Table1[[#This Row],[Price]],"$",""),",",""))</f>
        <v>1065686</v>
      </c>
      <c r="H2065" s="1">
        <f>Table1[[#This Row],[Price2]]/Table1[[#This Row],[Area]]</f>
        <v>323.71992709599027</v>
      </c>
      <c r="I2065">
        <v>3292</v>
      </c>
      <c r="J2065">
        <v>1961</v>
      </c>
      <c r="K2065">
        <v>74</v>
      </c>
      <c r="L2065" t="s">
        <v>40</v>
      </c>
      <c r="M2065" t="s">
        <v>1479</v>
      </c>
      <c r="N2065" s="2" t="s">
        <v>3035</v>
      </c>
      <c r="O2065" t="s">
        <v>3036</v>
      </c>
      <c r="P2065" t="s">
        <v>21</v>
      </c>
      <c r="Q2065">
        <v>323.71992709599027</v>
      </c>
      <c r="R2065">
        <f ca="1">YEAR(TODAY())-Table1[[#This Row],[Year Built]]</f>
        <v>65</v>
      </c>
      <c r="S2065" t="str">
        <f>IF(Table1[[#This Row],[Days on Market]] &lt; 30,"Fast",IF(Table1[[#This Row],[Days on Market]]&lt;= 90,"Average", "Slow"))</f>
        <v>Average</v>
      </c>
      <c r="T2065" t="str">
        <f>IF(Table1[[#This Row],[Price2]]&lt;500000,"Affordable",IF(Table1[[#This Row],[Price2]]&lt;1000000,"Mid range","Luxury"))</f>
        <v>Luxury</v>
      </c>
    </row>
    <row r="2066" spans="1:20" x14ac:dyDescent="0.35">
      <c r="A2066" s="3">
        <v>1065786</v>
      </c>
      <c r="B2066" s="2" t="s">
        <v>27</v>
      </c>
      <c r="C2066">
        <v>96815</v>
      </c>
      <c r="D2066" s="2" t="s">
        <v>13</v>
      </c>
      <c r="E2066">
        <v>5</v>
      </c>
      <c r="F2066">
        <v>4</v>
      </c>
      <c r="G2066" s="4">
        <f>VALUE(SUBSTITUTE(SUBSTITUTE(Table1[[#This Row],[Price]],"$",""),",",""))</f>
        <v>1065786</v>
      </c>
      <c r="H2066" s="1">
        <f>Table1[[#This Row],[Price2]]/Table1[[#This Row],[Area]]</f>
        <v>477.50268817204301</v>
      </c>
      <c r="I2066">
        <v>2232</v>
      </c>
      <c r="J2066">
        <v>1995</v>
      </c>
      <c r="K2066">
        <v>89</v>
      </c>
      <c r="L2066" t="s">
        <v>30</v>
      </c>
      <c r="M2066" t="s">
        <v>2707</v>
      </c>
      <c r="N2066" s="2" t="s">
        <v>3029</v>
      </c>
      <c r="O2066" t="s">
        <v>3030</v>
      </c>
      <c r="P2066" t="s">
        <v>16</v>
      </c>
      <c r="Q2066">
        <v>477.50268817204301</v>
      </c>
      <c r="R2066">
        <f ca="1">YEAR(TODAY())-Table1[[#This Row],[Year Built]]</f>
        <v>31</v>
      </c>
      <c r="S2066" t="str">
        <f>IF(Table1[[#This Row],[Days on Market]] &lt; 30,"Fast",IF(Table1[[#This Row],[Days on Market]]&lt;= 90,"Average", "Slow"))</f>
        <v>Average</v>
      </c>
      <c r="T2066" t="str">
        <f>IF(Table1[[#This Row],[Price2]]&lt;500000,"Affordable",IF(Table1[[#This Row],[Price2]]&lt;1000000,"Mid range","Luxury"))</f>
        <v>Luxury</v>
      </c>
    </row>
    <row r="2067" spans="1:20" x14ac:dyDescent="0.35">
      <c r="A2067" s="3">
        <v>1066056</v>
      </c>
      <c r="B2067" s="2" t="s">
        <v>22</v>
      </c>
      <c r="C2067">
        <v>62358</v>
      </c>
      <c r="D2067" s="2" t="s">
        <v>29</v>
      </c>
      <c r="E2067">
        <v>5</v>
      </c>
      <c r="F2067">
        <v>4</v>
      </c>
      <c r="G2067" s="4">
        <f>VALUE(SUBSTITUTE(SUBSTITUTE(Table1[[#This Row],[Price]],"$",""),",",""))</f>
        <v>1066056</v>
      </c>
      <c r="H2067" s="1">
        <f>Table1[[#This Row],[Price2]]/Table1[[#This Row],[Area]]</f>
        <v>1518.5982905982905</v>
      </c>
      <c r="I2067">
        <v>702</v>
      </c>
      <c r="J2067">
        <v>2001</v>
      </c>
      <c r="K2067">
        <v>44</v>
      </c>
      <c r="L2067" t="s">
        <v>40</v>
      </c>
      <c r="M2067" t="s">
        <v>1340</v>
      </c>
      <c r="N2067" s="2" t="s">
        <v>3033</v>
      </c>
      <c r="O2067" t="s">
        <v>3034</v>
      </c>
      <c r="P2067" t="s">
        <v>26</v>
      </c>
      <c r="Q2067">
        <v>1518.5982905982905</v>
      </c>
      <c r="R2067">
        <f ca="1">YEAR(TODAY())-Table1[[#This Row],[Year Built]]</f>
        <v>25</v>
      </c>
      <c r="S2067" t="str">
        <f>IF(Table1[[#This Row],[Days on Market]] &lt; 30,"Fast",IF(Table1[[#This Row],[Days on Market]]&lt;= 90,"Average", "Slow"))</f>
        <v>Average</v>
      </c>
      <c r="T2067" t="str">
        <f>IF(Table1[[#This Row],[Price2]]&lt;500000,"Affordable",IF(Table1[[#This Row],[Price2]]&lt;1000000,"Mid range","Luxury"))</f>
        <v>Luxury</v>
      </c>
    </row>
    <row r="2068" spans="1:20" x14ac:dyDescent="0.35">
      <c r="A2068" s="3">
        <v>1066163</v>
      </c>
      <c r="B2068" s="2" t="s">
        <v>27</v>
      </c>
      <c r="C2068">
        <v>33549</v>
      </c>
      <c r="D2068" s="2" t="s">
        <v>13</v>
      </c>
      <c r="E2068">
        <v>5</v>
      </c>
      <c r="F2068">
        <v>2</v>
      </c>
      <c r="G2068" s="4">
        <f>VALUE(SUBSTITUTE(SUBSTITUTE(Table1[[#This Row],[Price]],"$",""),",",""))</f>
        <v>1066163</v>
      </c>
      <c r="H2068" s="1">
        <f>Table1[[#This Row],[Price2]]/Table1[[#This Row],[Area]]</f>
        <v>857.73370876910701</v>
      </c>
      <c r="I2068">
        <v>1243</v>
      </c>
      <c r="J2068">
        <v>2005</v>
      </c>
      <c r="K2068">
        <v>110</v>
      </c>
      <c r="L2068" t="s">
        <v>30</v>
      </c>
      <c r="M2068" t="s">
        <v>2448</v>
      </c>
      <c r="N2068" s="2" t="s">
        <v>3035</v>
      </c>
      <c r="O2068" t="s">
        <v>3036</v>
      </c>
      <c r="P2068" t="s">
        <v>26</v>
      </c>
      <c r="Q2068">
        <v>857.73370876910701</v>
      </c>
      <c r="R2068">
        <f ca="1">YEAR(TODAY())-Table1[[#This Row],[Year Built]]</f>
        <v>21</v>
      </c>
      <c r="S2068" t="str">
        <f>IF(Table1[[#This Row],[Days on Market]] &lt; 30,"Fast",IF(Table1[[#This Row],[Days on Market]]&lt;= 90,"Average", "Slow"))</f>
        <v>Slow</v>
      </c>
      <c r="T2068" t="str">
        <f>IF(Table1[[#This Row],[Price2]]&lt;500000,"Affordable",IF(Table1[[#This Row],[Price2]]&lt;1000000,"Mid range","Luxury"))</f>
        <v>Luxury</v>
      </c>
    </row>
    <row r="2069" spans="1:20" x14ac:dyDescent="0.35">
      <c r="A2069" s="3">
        <v>1066882</v>
      </c>
      <c r="B2069" s="2" t="s">
        <v>17</v>
      </c>
      <c r="C2069">
        <v>98695</v>
      </c>
      <c r="D2069" s="2" t="s">
        <v>13</v>
      </c>
      <c r="E2069">
        <v>1</v>
      </c>
      <c r="F2069">
        <v>2</v>
      </c>
      <c r="G2069" s="4">
        <f>VALUE(SUBSTITUTE(SUBSTITUTE(Table1[[#This Row],[Price]],"$",""),",",""))</f>
        <v>1066882</v>
      </c>
      <c r="H2069" s="1">
        <f>Table1[[#This Row],[Price2]]/Table1[[#This Row],[Area]]</f>
        <v>444.90492076730607</v>
      </c>
      <c r="I2069">
        <v>2398</v>
      </c>
      <c r="J2069">
        <v>2013</v>
      </c>
      <c r="K2069">
        <v>2</v>
      </c>
      <c r="L2069" t="s">
        <v>52</v>
      </c>
      <c r="M2069" t="s">
        <v>2371</v>
      </c>
      <c r="N2069" s="2" t="s">
        <v>3027</v>
      </c>
      <c r="O2069" t="s">
        <v>3028</v>
      </c>
      <c r="P2069" t="s">
        <v>21</v>
      </c>
      <c r="Q2069">
        <v>444.90492076730607</v>
      </c>
      <c r="R2069">
        <f ca="1">YEAR(TODAY())-Table1[[#This Row],[Year Built]]</f>
        <v>13</v>
      </c>
      <c r="S2069" t="str">
        <f>IF(Table1[[#This Row],[Days on Market]] &lt; 30,"Fast",IF(Table1[[#This Row],[Days on Market]]&lt;= 90,"Average", "Slow"))</f>
        <v>Fast</v>
      </c>
      <c r="T2069" t="str">
        <f>IF(Table1[[#This Row],[Price2]]&lt;500000,"Affordable",IF(Table1[[#This Row],[Price2]]&lt;1000000,"Mid range","Luxury"))</f>
        <v>Luxury</v>
      </c>
    </row>
    <row r="2070" spans="1:20" x14ac:dyDescent="0.35">
      <c r="A2070" s="3">
        <v>1067540</v>
      </c>
      <c r="B2070" s="2" t="s">
        <v>27</v>
      </c>
      <c r="C2070">
        <v>46051</v>
      </c>
      <c r="D2070" s="2" t="s">
        <v>13</v>
      </c>
      <c r="E2070">
        <v>3</v>
      </c>
      <c r="F2070">
        <v>2</v>
      </c>
      <c r="G2070" s="4">
        <f>VALUE(SUBSTITUTE(SUBSTITUTE(Table1[[#This Row],[Price]],"$",""),",",""))</f>
        <v>1067540</v>
      </c>
      <c r="H2070" s="1">
        <f>Table1[[#This Row],[Price2]]/Table1[[#This Row],[Area]]</f>
        <v>414.09619860356867</v>
      </c>
      <c r="I2070">
        <v>2578</v>
      </c>
      <c r="J2070">
        <v>1958</v>
      </c>
      <c r="K2070">
        <v>88</v>
      </c>
      <c r="L2070" t="s">
        <v>19</v>
      </c>
      <c r="M2070" t="s">
        <v>741</v>
      </c>
      <c r="N2070" s="2" t="s">
        <v>3033</v>
      </c>
      <c r="O2070" t="s">
        <v>3034</v>
      </c>
      <c r="P2070" t="s">
        <v>21</v>
      </c>
      <c r="Q2070">
        <v>414.09619860356867</v>
      </c>
      <c r="R2070">
        <f ca="1">YEAR(TODAY())-Table1[[#This Row],[Year Built]]</f>
        <v>68</v>
      </c>
      <c r="S2070" t="str">
        <f>IF(Table1[[#This Row],[Days on Market]] &lt; 30,"Fast",IF(Table1[[#This Row],[Days on Market]]&lt;= 90,"Average", "Slow"))</f>
        <v>Average</v>
      </c>
      <c r="T2070" t="str">
        <f>IF(Table1[[#This Row],[Price2]]&lt;500000,"Affordable",IF(Table1[[#This Row],[Price2]]&lt;1000000,"Mid range","Luxury"))</f>
        <v>Luxury</v>
      </c>
    </row>
    <row r="2071" spans="1:20" x14ac:dyDescent="0.35">
      <c r="A2071" s="3">
        <v>1068257</v>
      </c>
      <c r="B2071" s="2" t="s">
        <v>12</v>
      </c>
      <c r="C2071">
        <v>86089</v>
      </c>
      <c r="D2071" s="2" t="s">
        <v>13</v>
      </c>
      <c r="E2071">
        <v>2</v>
      </c>
      <c r="F2071">
        <v>3</v>
      </c>
      <c r="G2071" s="4">
        <f>VALUE(SUBSTITUTE(SUBSTITUTE(Table1[[#This Row],[Price]],"$",""),",",""))</f>
        <v>1068257</v>
      </c>
      <c r="H2071" s="1">
        <f>Table1[[#This Row],[Price2]]/Table1[[#This Row],[Area]]</f>
        <v>423.23969889064978</v>
      </c>
      <c r="I2071">
        <v>2524</v>
      </c>
      <c r="J2071">
        <v>1964</v>
      </c>
      <c r="K2071">
        <v>61</v>
      </c>
      <c r="L2071" t="s">
        <v>30</v>
      </c>
      <c r="M2071" t="s">
        <v>2874</v>
      </c>
      <c r="N2071" s="2" t="s">
        <v>3033</v>
      </c>
      <c r="O2071" t="s">
        <v>3034</v>
      </c>
      <c r="P2071" t="s">
        <v>21</v>
      </c>
      <c r="Q2071">
        <v>423.23969889064978</v>
      </c>
      <c r="R2071">
        <f ca="1">YEAR(TODAY())-Table1[[#This Row],[Year Built]]</f>
        <v>62</v>
      </c>
      <c r="S2071" t="str">
        <f>IF(Table1[[#This Row],[Days on Market]] &lt; 30,"Fast",IF(Table1[[#This Row],[Days on Market]]&lt;= 90,"Average", "Slow"))</f>
        <v>Average</v>
      </c>
      <c r="T2071" t="str">
        <f>IF(Table1[[#This Row],[Price2]]&lt;500000,"Affordable",IF(Table1[[#This Row],[Price2]]&lt;1000000,"Mid range","Luxury"))</f>
        <v>Luxury</v>
      </c>
    </row>
    <row r="2072" spans="1:20" x14ac:dyDescent="0.35">
      <c r="A2072" s="3">
        <v>1069438</v>
      </c>
      <c r="B2072" s="2" t="s">
        <v>27</v>
      </c>
      <c r="C2072">
        <v>16823</v>
      </c>
      <c r="D2072" s="2" t="s">
        <v>18</v>
      </c>
      <c r="E2072">
        <v>1</v>
      </c>
      <c r="F2072">
        <v>3</v>
      </c>
      <c r="G2072" s="4">
        <f>VALUE(SUBSTITUTE(SUBSTITUTE(Table1[[#This Row],[Price]],"$",""),",",""))</f>
        <v>1069438</v>
      </c>
      <c r="H2072" s="1">
        <f>Table1[[#This Row],[Price2]]/Table1[[#This Row],[Area]]</f>
        <v>635.05819477434682</v>
      </c>
      <c r="I2072">
        <v>1684</v>
      </c>
      <c r="J2072">
        <v>1992</v>
      </c>
      <c r="K2072">
        <v>82</v>
      </c>
      <c r="L2072" t="s">
        <v>30</v>
      </c>
      <c r="M2072" t="s">
        <v>264</v>
      </c>
      <c r="N2072" s="2" t="s">
        <v>3033</v>
      </c>
      <c r="O2072" t="s">
        <v>3034</v>
      </c>
      <c r="P2072" t="s">
        <v>26</v>
      </c>
      <c r="Q2072">
        <v>635.05819477434682</v>
      </c>
      <c r="R2072">
        <f ca="1">YEAR(TODAY())-Table1[[#This Row],[Year Built]]</f>
        <v>34</v>
      </c>
      <c r="S2072" t="str">
        <f>IF(Table1[[#This Row],[Days on Market]] &lt; 30,"Fast",IF(Table1[[#This Row],[Days on Market]]&lt;= 90,"Average", "Slow"))</f>
        <v>Average</v>
      </c>
      <c r="T2072" t="str">
        <f>IF(Table1[[#This Row],[Price2]]&lt;500000,"Affordable",IF(Table1[[#This Row],[Price2]]&lt;1000000,"Mid range","Luxury"))</f>
        <v>Luxury</v>
      </c>
    </row>
    <row r="2073" spans="1:20" x14ac:dyDescent="0.35">
      <c r="A2073" s="3">
        <v>1070802</v>
      </c>
      <c r="B2073" s="2" t="s">
        <v>34</v>
      </c>
      <c r="C2073">
        <v>57762</v>
      </c>
      <c r="D2073" s="2" t="s">
        <v>29</v>
      </c>
      <c r="E2073">
        <v>4</v>
      </c>
      <c r="F2073">
        <v>3</v>
      </c>
      <c r="G2073" s="4">
        <f>VALUE(SUBSTITUTE(SUBSTITUTE(Table1[[#This Row],[Price]],"$",""),",",""))</f>
        <v>1070802</v>
      </c>
      <c r="H2073" s="1">
        <f>Table1[[#This Row],[Price2]]/Table1[[#This Row],[Area]]</f>
        <v>723.51486486486488</v>
      </c>
      <c r="I2073">
        <v>1480</v>
      </c>
      <c r="J2073">
        <v>1999</v>
      </c>
      <c r="K2073">
        <v>99</v>
      </c>
      <c r="L2073" t="s">
        <v>14</v>
      </c>
      <c r="M2073" t="s">
        <v>1128</v>
      </c>
      <c r="N2073" s="2" t="s">
        <v>3035</v>
      </c>
      <c r="O2073" t="s">
        <v>3036</v>
      </c>
      <c r="P2073" t="s">
        <v>16</v>
      </c>
      <c r="Q2073">
        <v>723.51486486486488</v>
      </c>
      <c r="R2073">
        <f ca="1">YEAR(TODAY())-Table1[[#This Row],[Year Built]]</f>
        <v>27</v>
      </c>
      <c r="S2073" t="str">
        <f>IF(Table1[[#This Row],[Days on Market]] &lt; 30,"Fast",IF(Table1[[#This Row],[Days on Market]]&lt;= 90,"Average", "Slow"))</f>
        <v>Slow</v>
      </c>
      <c r="T2073" t="str">
        <f>IF(Table1[[#This Row],[Price2]]&lt;500000,"Affordable",IF(Table1[[#This Row],[Price2]]&lt;1000000,"Mid range","Luxury"))</f>
        <v>Luxury</v>
      </c>
    </row>
    <row r="2074" spans="1:20" x14ac:dyDescent="0.35">
      <c r="A2074" s="3">
        <v>1071749</v>
      </c>
      <c r="B2074" s="2" t="s">
        <v>12</v>
      </c>
      <c r="C2074">
        <v>12729</v>
      </c>
      <c r="D2074" s="2" t="s">
        <v>13</v>
      </c>
      <c r="E2074">
        <v>3</v>
      </c>
      <c r="F2074">
        <v>3</v>
      </c>
      <c r="G2074" s="4">
        <f>VALUE(SUBSTITUTE(SUBSTITUTE(Table1[[#This Row],[Price]],"$",""),",",""))</f>
        <v>1071749</v>
      </c>
      <c r="H2074" s="1">
        <f>Table1[[#This Row],[Price2]]/Table1[[#This Row],[Area]]</f>
        <v>316.05691536419937</v>
      </c>
      <c r="I2074">
        <v>3391</v>
      </c>
      <c r="J2074">
        <v>2008</v>
      </c>
      <c r="K2074">
        <v>52</v>
      </c>
      <c r="L2074" t="s">
        <v>30</v>
      </c>
      <c r="M2074" t="s">
        <v>832</v>
      </c>
      <c r="N2074" s="2" t="s">
        <v>3027</v>
      </c>
      <c r="O2074" t="s">
        <v>3028</v>
      </c>
      <c r="P2074" t="s">
        <v>26</v>
      </c>
      <c r="Q2074">
        <v>316.05691536419937</v>
      </c>
      <c r="R2074">
        <f ca="1">YEAR(TODAY())-Table1[[#This Row],[Year Built]]</f>
        <v>18</v>
      </c>
      <c r="S2074" t="str">
        <f>IF(Table1[[#This Row],[Days on Market]] &lt; 30,"Fast",IF(Table1[[#This Row],[Days on Market]]&lt;= 90,"Average", "Slow"))</f>
        <v>Average</v>
      </c>
      <c r="T2074" t="str">
        <f>IF(Table1[[#This Row],[Price2]]&lt;500000,"Affordable",IF(Table1[[#This Row],[Price2]]&lt;1000000,"Mid range","Luxury"))</f>
        <v>Luxury</v>
      </c>
    </row>
    <row r="2075" spans="1:20" x14ac:dyDescent="0.35">
      <c r="A2075" s="3">
        <v>1073723</v>
      </c>
      <c r="B2075" s="2" t="s">
        <v>12</v>
      </c>
      <c r="C2075">
        <v>70313</v>
      </c>
      <c r="D2075" s="2" t="s">
        <v>29</v>
      </c>
      <c r="E2075">
        <v>6</v>
      </c>
      <c r="F2075">
        <v>1</v>
      </c>
      <c r="G2075" s="4">
        <f>VALUE(SUBSTITUTE(SUBSTITUTE(Table1[[#This Row],[Price]],"$",""),",",""))</f>
        <v>1073723</v>
      </c>
      <c r="H2075" s="1">
        <f>Table1[[#This Row],[Price2]]/Table1[[#This Row],[Area]]</f>
        <v>769.14255014326648</v>
      </c>
      <c r="I2075">
        <v>1396</v>
      </c>
      <c r="J2075">
        <v>1989</v>
      </c>
      <c r="K2075">
        <v>88</v>
      </c>
      <c r="L2075" t="s">
        <v>19</v>
      </c>
      <c r="M2075" t="s">
        <v>66</v>
      </c>
      <c r="N2075" s="2" t="s">
        <v>3033</v>
      </c>
      <c r="O2075" t="s">
        <v>3034</v>
      </c>
      <c r="P2075" t="s">
        <v>16</v>
      </c>
      <c r="Q2075">
        <v>769.14255014326648</v>
      </c>
      <c r="R2075">
        <f ca="1">YEAR(TODAY())-Table1[[#This Row],[Year Built]]</f>
        <v>37</v>
      </c>
      <c r="S2075" t="str">
        <f>IF(Table1[[#This Row],[Days on Market]] &lt; 30,"Fast",IF(Table1[[#This Row],[Days on Market]]&lt;= 90,"Average", "Slow"))</f>
        <v>Average</v>
      </c>
      <c r="T2075" t="str">
        <f>IF(Table1[[#This Row],[Price2]]&lt;500000,"Affordable",IF(Table1[[#This Row],[Price2]]&lt;1000000,"Mid range","Luxury"))</f>
        <v>Luxury</v>
      </c>
    </row>
    <row r="2076" spans="1:20" x14ac:dyDescent="0.35">
      <c r="A2076" s="3">
        <v>1074024</v>
      </c>
      <c r="B2076" s="2" t="s">
        <v>17</v>
      </c>
      <c r="C2076">
        <v>12157</v>
      </c>
      <c r="D2076" s="2" t="s">
        <v>29</v>
      </c>
      <c r="E2076">
        <v>4</v>
      </c>
      <c r="F2076">
        <v>1</v>
      </c>
      <c r="G2076" s="4">
        <f>VALUE(SUBSTITUTE(SUBSTITUTE(Table1[[#This Row],[Price]],"$",""),",",""))</f>
        <v>1074024</v>
      </c>
      <c r="H2076" s="1">
        <f>Table1[[#This Row],[Price2]]/Table1[[#This Row],[Area]]</f>
        <v>288.79376176391503</v>
      </c>
      <c r="I2076">
        <v>3719</v>
      </c>
      <c r="J2076">
        <v>1981</v>
      </c>
      <c r="K2076">
        <v>4</v>
      </c>
      <c r="L2076" t="s">
        <v>14</v>
      </c>
      <c r="M2076" t="s">
        <v>1622</v>
      </c>
      <c r="N2076" s="2" t="s">
        <v>3029</v>
      </c>
      <c r="O2076" t="s">
        <v>3030</v>
      </c>
      <c r="P2076" t="s">
        <v>16</v>
      </c>
      <c r="Q2076">
        <v>288.79376176391503</v>
      </c>
      <c r="R2076">
        <f ca="1">YEAR(TODAY())-Table1[[#This Row],[Year Built]]</f>
        <v>45</v>
      </c>
      <c r="S2076" t="str">
        <f>IF(Table1[[#This Row],[Days on Market]] &lt; 30,"Fast",IF(Table1[[#This Row],[Days on Market]]&lt;= 90,"Average", "Slow"))</f>
        <v>Fast</v>
      </c>
      <c r="T2076" t="str">
        <f>IF(Table1[[#This Row],[Price2]]&lt;500000,"Affordable",IF(Table1[[#This Row],[Price2]]&lt;1000000,"Mid range","Luxury"))</f>
        <v>Luxury</v>
      </c>
    </row>
    <row r="2077" spans="1:20" x14ac:dyDescent="0.35">
      <c r="A2077" s="3">
        <v>1074925</v>
      </c>
      <c r="B2077" s="2" t="s">
        <v>12</v>
      </c>
      <c r="C2077">
        <v>38257</v>
      </c>
      <c r="D2077" s="2" t="s">
        <v>13</v>
      </c>
      <c r="E2077">
        <v>6</v>
      </c>
      <c r="F2077">
        <v>1</v>
      </c>
      <c r="G2077" s="4">
        <f>VALUE(SUBSTITUTE(SUBSTITUTE(Table1[[#This Row],[Price]],"$",""),",",""))</f>
        <v>1074925</v>
      </c>
      <c r="H2077" s="1">
        <f>Table1[[#This Row],[Price2]]/Table1[[#This Row],[Area]]</f>
        <v>1081.4134808853119</v>
      </c>
      <c r="I2077">
        <v>994</v>
      </c>
      <c r="J2077">
        <v>1995</v>
      </c>
      <c r="K2077">
        <v>36</v>
      </c>
      <c r="L2077" t="s">
        <v>14</v>
      </c>
      <c r="M2077" t="s">
        <v>854</v>
      </c>
      <c r="N2077" s="2" t="s">
        <v>3029</v>
      </c>
      <c r="O2077" t="s">
        <v>3030</v>
      </c>
      <c r="P2077" t="s">
        <v>21</v>
      </c>
      <c r="Q2077">
        <v>1081.4134808853119</v>
      </c>
      <c r="R2077">
        <f ca="1">YEAR(TODAY())-Table1[[#This Row],[Year Built]]</f>
        <v>31</v>
      </c>
      <c r="S2077" t="str">
        <f>IF(Table1[[#This Row],[Days on Market]] &lt; 30,"Fast",IF(Table1[[#This Row],[Days on Market]]&lt;= 90,"Average", "Slow"))</f>
        <v>Average</v>
      </c>
      <c r="T2077" t="str">
        <f>IF(Table1[[#This Row],[Price2]]&lt;500000,"Affordable",IF(Table1[[#This Row],[Price2]]&lt;1000000,"Mid range","Luxury"))</f>
        <v>Luxury</v>
      </c>
    </row>
    <row r="2078" spans="1:20" x14ac:dyDescent="0.35">
      <c r="A2078" s="3">
        <v>1075059</v>
      </c>
      <c r="B2078" s="2" t="s">
        <v>17</v>
      </c>
      <c r="C2078">
        <v>26896</v>
      </c>
      <c r="D2078" s="2" t="s">
        <v>13</v>
      </c>
      <c r="E2078">
        <v>4</v>
      </c>
      <c r="F2078">
        <v>2</v>
      </c>
      <c r="G2078" s="4">
        <f>VALUE(SUBSTITUTE(SUBSTITUTE(Table1[[#This Row],[Price]],"$",""),",",""))</f>
        <v>1075059</v>
      </c>
      <c r="H2078" s="1">
        <f>Table1[[#This Row],[Price2]]/Table1[[#This Row],[Area]]</f>
        <v>1333.820099255583</v>
      </c>
      <c r="I2078">
        <v>806</v>
      </c>
      <c r="J2078">
        <v>1990</v>
      </c>
      <c r="K2078">
        <v>22</v>
      </c>
      <c r="L2078" t="s">
        <v>19</v>
      </c>
      <c r="M2078" t="s">
        <v>79</v>
      </c>
      <c r="N2078" s="2" t="s">
        <v>3029</v>
      </c>
      <c r="O2078" t="s">
        <v>3030</v>
      </c>
      <c r="P2078" t="s">
        <v>26</v>
      </c>
      <c r="Q2078">
        <v>1333.820099255583</v>
      </c>
      <c r="R2078">
        <f ca="1">YEAR(TODAY())-Table1[[#This Row],[Year Built]]</f>
        <v>36</v>
      </c>
      <c r="S2078" t="str">
        <f>IF(Table1[[#This Row],[Days on Market]] &lt; 30,"Fast",IF(Table1[[#This Row],[Days on Market]]&lt;= 90,"Average", "Slow"))</f>
        <v>Fast</v>
      </c>
      <c r="T2078" t="str">
        <f>IF(Table1[[#This Row],[Price2]]&lt;500000,"Affordable",IF(Table1[[#This Row],[Price2]]&lt;1000000,"Mid range","Luxury"))</f>
        <v>Luxury</v>
      </c>
    </row>
    <row r="2079" spans="1:20" x14ac:dyDescent="0.35">
      <c r="A2079" s="3">
        <v>1075708</v>
      </c>
      <c r="B2079" s="2" t="s">
        <v>27</v>
      </c>
      <c r="C2079">
        <v>75254</v>
      </c>
      <c r="D2079" s="2" t="s">
        <v>35</v>
      </c>
      <c r="E2079">
        <v>1</v>
      </c>
      <c r="F2079">
        <v>4</v>
      </c>
      <c r="G2079" s="4">
        <f>VALUE(SUBSTITUTE(SUBSTITUTE(Table1[[#This Row],[Price]],"$",""),",",""))</f>
        <v>1075708</v>
      </c>
      <c r="H2079" s="1">
        <f>Table1[[#This Row],[Price2]]/Table1[[#This Row],[Area]]</f>
        <v>609.81179138322</v>
      </c>
      <c r="I2079">
        <v>1764</v>
      </c>
      <c r="J2079">
        <v>2019</v>
      </c>
      <c r="K2079">
        <v>55</v>
      </c>
      <c r="L2079" t="s">
        <v>30</v>
      </c>
      <c r="M2079" t="s">
        <v>1705</v>
      </c>
      <c r="N2079" s="2" t="s">
        <v>3027</v>
      </c>
      <c r="O2079" t="s">
        <v>3028</v>
      </c>
      <c r="P2079" t="s">
        <v>21</v>
      </c>
      <c r="Q2079">
        <v>609.81179138322</v>
      </c>
      <c r="R2079">
        <f ca="1">YEAR(TODAY())-Table1[[#This Row],[Year Built]]</f>
        <v>7</v>
      </c>
      <c r="S2079" t="str">
        <f>IF(Table1[[#This Row],[Days on Market]] &lt; 30,"Fast",IF(Table1[[#This Row],[Days on Market]]&lt;= 90,"Average", "Slow"))</f>
        <v>Average</v>
      </c>
      <c r="T2079" t="str">
        <f>IF(Table1[[#This Row],[Price2]]&lt;500000,"Affordable",IF(Table1[[#This Row],[Price2]]&lt;1000000,"Mid range","Luxury"))</f>
        <v>Luxury</v>
      </c>
    </row>
    <row r="2080" spans="1:20" x14ac:dyDescent="0.35">
      <c r="A2080" s="3">
        <v>1076130</v>
      </c>
      <c r="B2080" s="2" t="s">
        <v>12</v>
      </c>
      <c r="C2080">
        <v>56122</v>
      </c>
      <c r="D2080" s="2" t="s">
        <v>18</v>
      </c>
      <c r="E2080">
        <v>3</v>
      </c>
      <c r="F2080">
        <v>2</v>
      </c>
      <c r="G2080" s="4">
        <f>VALUE(SUBSTITUTE(SUBSTITUTE(Table1[[#This Row],[Price]],"$",""),",",""))</f>
        <v>1076130</v>
      </c>
      <c r="H2080" s="1">
        <f>Table1[[#This Row],[Price2]]/Table1[[#This Row],[Area]]</f>
        <v>316.04405286343615</v>
      </c>
      <c r="I2080">
        <v>3405</v>
      </c>
      <c r="J2080">
        <v>1995</v>
      </c>
      <c r="K2080">
        <v>70</v>
      </c>
      <c r="L2080" t="s">
        <v>30</v>
      </c>
      <c r="M2080" t="s">
        <v>1584</v>
      </c>
      <c r="N2080" s="2" t="s">
        <v>3027</v>
      </c>
      <c r="O2080" t="s">
        <v>3028</v>
      </c>
      <c r="P2080" t="s">
        <v>26</v>
      </c>
      <c r="Q2080">
        <v>316.04405286343615</v>
      </c>
      <c r="R2080">
        <f ca="1">YEAR(TODAY())-Table1[[#This Row],[Year Built]]</f>
        <v>31</v>
      </c>
      <c r="S2080" t="str">
        <f>IF(Table1[[#This Row],[Days on Market]] &lt; 30,"Fast",IF(Table1[[#This Row],[Days on Market]]&lt;= 90,"Average", "Slow"))</f>
        <v>Average</v>
      </c>
      <c r="T2080" t="str">
        <f>IF(Table1[[#This Row],[Price2]]&lt;500000,"Affordable",IF(Table1[[#This Row],[Price2]]&lt;1000000,"Mid range","Luxury"))</f>
        <v>Luxury</v>
      </c>
    </row>
    <row r="2081" spans="1:20" x14ac:dyDescent="0.35">
      <c r="A2081" s="3">
        <v>1076134</v>
      </c>
      <c r="B2081" s="2" t="s">
        <v>34</v>
      </c>
      <c r="C2081">
        <v>32018</v>
      </c>
      <c r="D2081" s="2" t="s">
        <v>18</v>
      </c>
      <c r="E2081">
        <v>1</v>
      </c>
      <c r="F2081">
        <v>4</v>
      </c>
      <c r="G2081" s="4">
        <f>VALUE(SUBSTITUTE(SUBSTITUTE(Table1[[#This Row],[Price]],"$",""),",",""))</f>
        <v>1076134</v>
      </c>
      <c r="H2081" s="1">
        <f>Table1[[#This Row],[Price2]]/Table1[[#This Row],[Area]]</f>
        <v>736.06976744186045</v>
      </c>
      <c r="I2081">
        <v>1462</v>
      </c>
      <c r="J2081">
        <v>1998</v>
      </c>
      <c r="K2081">
        <v>27</v>
      </c>
      <c r="L2081" t="s">
        <v>14</v>
      </c>
      <c r="M2081" t="s">
        <v>696</v>
      </c>
      <c r="N2081" s="2" t="s">
        <v>3027</v>
      </c>
      <c r="O2081" t="s">
        <v>3028</v>
      </c>
      <c r="P2081" t="s">
        <v>21</v>
      </c>
      <c r="Q2081">
        <v>736.06976744186045</v>
      </c>
      <c r="R2081">
        <f ca="1">YEAR(TODAY())-Table1[[#This Row],[Year Built]]</f>
        <v>28</v>
      </c>
      <c r="S2081" t="str">
        <f>IF(Table1[[#This Row],[Days on Market]] &lt; 30,"Fast",IF(Table1[[#This Row],[Days on Market]]&lt;= 90,"Average", "Slow"))</f>
        <v>Fast</v>
      </c>
      <c r="T2081" t="str">
        <f>IF(Table1[[#This Row],[Price2]]&lt;500000,"Affordable",IF(Table1[[#This Row],[Price2]]&lt;1000000,"Mid range","Luxury"))</f>
        <v>Luxury</v>
      </c>
    </row>
    <row r="2082" spans="1:20" x14ac:dyDescent="0.35">
      <c r="A2082" s="3">
        <v>1076673</v>
      </c>
      <c r="B2082" s="2" t="s">
        <v>34</v>
      </c>
      <c r="C2082">
        <v>58725</v>
      </c>
      <c r="D2082" s="2" t="s">
        <v>35</v>
      </c>
      <c r="E2082">
        <v>6</v>
      </c>
      <c r="F2082">
        <v>1</v>
      </c>
      <c r="G2082" s="4">
        <f>VALUE(SUBSTITUTE(SUBSTITUTE(Table1[[#This Row],[Price]],"$",""),",",""))</f>
        <v>1076673</v>
      </c>
      <c r="H2082" s="1">
        <f>Table1[[#This Row],[Price2]]/Table1[[#This Row],[Area]]</f>
        <v>283.70830039525691</v>
      </c>
      <c r="I2082">
        <v>3795</v>
      </c>
      <c r="J2082">
        <v>1977</v>
      </c>
      <c r="K2082">
        <v>90</v>
      </c>
      <c r="L2082" t="s">
        <v>30</v>
      </c>
      <c r="M2082" t="s">
        <v>2567</v>
      </c>
      <c r="N2082" s="2" t="s">
        <v>3033</v>
      </c>
      <c r="O2082" t="s">
        <v>3034</v>
      </c>
      <c r="P2082" t="s">
        <v>21</v>
      </c>
      <c r="Q2082">
        <v>283.70830039525691</v>
      </c>
      <c r="R2082">
        <f ca="1">YEAR(TODAY())-Table1[[#This Row],[Year Built]]</f>
        <v>49</v>
      </c>
      <c r="S2082" t="str">
        <f>IF(Table1[[#This Row],[Days on Market]] &lt; 30,"Fast",IF(Table1[[#This Row],[Days on Market]]&lt;= 90,"Average", "Slow"))</f>
        <v>Average</v>
      </c>
      <c r="T2082" t="str">
        <f>IF(Table1[[#This Row],[Price2]]&lt;500000,"Affordable",IF(Table1[[#This Row],[Price2]]&lt;1000000,"Mid range","Luxury"))</f>
        <v>Luxury</v>
      </c>
    </row>
    <row r="2083" spans="1:20" x14ac:dyDescent="0.35">
      <c r="A2083" s="3">
        <v>1077238</v>
      </c>
      <c r="B2083" s="2" t="s">
        <v>34</v>
      </c>
      <c r="C2083">
        <v>39812</v>
      </c>
      <c r="D2083" s="2" t="s">
        <v>23</v>
      </c>
      <c r="E2083">
        <v>2</v>
      </c>
      <c r="F2083">
        <v>4</v>
      </c>
      <c r="G2083" s="4">
        <f>VALUE(SUBSTITUTE(SUBSTITUTE(Table1[[#This Row],[Price]],"$",""),",",""))</f>
        <v>1077238</v>
      </c>
      <c r="H2083" s="1">
        <f>Table1[[#This Row],[Price2]]/Table1[[#This Row],[Area]]</f>
        <v>498.49051365108744</v>
      </c>
      <c r="I2083">
        <v>2161</v>
      </c>
      <c r="J2083">
        <v>2008</v>
      </c>
      <c r="K2083">
        <v>34</v>
      </c>
      <c r="L2083" t="s">
        <v>30</v>
      </c>
      <c r="M2083" t="s">
        <v>549</v>
      </c>
      <c r="N2083" s="2" t="s">
        <v>3035</v>
      </c>
      <c r="O2083" t="s">
        <v>3036</v>
      </c>
      <c r="P2083" t="s">
        <v>26</v>
      </c>
      <c r="Q2083">
        <v>498.49051365108744</v>
      </c>
      <c r="R2083">
        <f ca="1">YEAR(TODAY())-Table1[[#This Row],[Year Built]]</f>
        <v>18</v>
      </c>
      <c r="S2083" t="str">
        <f>IF(Table1[[#This Row],[Days on Market]] &lt; 30,"Fast",IF(Table1[[#This Row],[Days on Market]]&lt;= 90,"Average", "Slow"))</f>
        <v>Average</v>
      </c>
      <c r="T2083" t="str">
        <f>IF(Table1[[#This Row],[Price2]]&lt;500000,"Affordable",IF(Table1[[#This Row],[Price2]]&lt;1000000,"Mid range","Luxury"))</f>
        <v>Luxury</v>
      </c>
    </row>
    <row r="2084" spans="1:20" x14ac:dyDescent="0.35">
      <c r="A2084" s="3">
        <v>1077300</v>
      </c>
      <c r="B2084" s="2" t="s">
        <v>34</v>
      </c>
      <c r="C2084">
        <v>93937</v>
      </c>
      <c r="D2084" s="2" t="s">
        <v>29</v>
      </c>
      <c r="E2084">
        <v>3</v>
      </c>
      <c r="F2084">
        <v>2</v>
      </c>
      <c r="G2084" s="4">
        <f>VALUE(SUBSTITUTE(SUBSTITUTE(Table1[[#This Row],[Price]],"$",""),",",""))</f>
        <v>1077300</v>
      </c>
      <c r="H2084" s="1">
        <f>Table1[[#This Row],[Price2]]/Table1[[#This Row],[Area]]</f>
        <v>289.20805369127515</v>
      </c>
      <c r="I2084">
        <v>3725</v>
      </c>
      <c r="J2084">
        <v>1969</v>
      </c>
      <c r="K2084">
        <v>40</v>
      </c>
      <c r="L2084" t="s">
        <v>30</v>
      </c>
      <c r="M2084" t="s">
        <v>1460</v>
      </c>
      <c r="N2084" s="2" t="s">
        <v>3033</v>
      </c>
      <c r="O2084" t="s">
        <v>3034</v>
      </c>
      <c r="P2084" t="s">
        <v>16</v>
      </c>
      <c r="Q2084">
        <v>289.20805369127515</v>
      </c>
      <c r="R2084">
        <f ca="1">YEAR(TODAY())-Table1[[#This Row],[Year Built]]</f>
        <v>57</v>
      </c>
      <c r="S2084" t="str">
        <f>IF(Table1[[#This Row],[Days on Market]] &lt; 30,"Fast",IF(Table1[[#This Row],[Days on Market]]&lt;= 90,"Average", "Slow"))</f>
        <v>Average</v>
      </c>
      <c r="T2084" t="str">
        <f>IF(Table1[[#This Row],[Price2]]&lt;500000,"Affordable",IF(Table1[[#This Row],[Price2]]&lt;1000000,"Mid range","Luxury"))</f>
        <v>Luxury</v>
      </c>
    </row>
    <row r="2085" spans="1:20" x14ac:dyDescent="0.35">
      <c r="A2085" s="3">
        <v>1077526</v>
      </c>
      <c r="B2085" s="2" t="s">
        <v>17</v>
      </c>
      <c r="C2085">
        <v>85014</v>
      </c>
      <c r="D2085" s="2" t="s">
        <v>35</v>
      </c>
      <c r="E2085">
        <v>4</v>
      </c>
      <c r="F2085">
        <v>2</v>
      </c>
      <c r="G2085" s="4">
        <f>VALUE(SUBSTITUTE(SUBSTITUTE(Table1[[#This Row],[Price]],"$",""),",",""))</f>
        <v>1077526</v>
      </c>
      <c r="H2085" s="1">
        <f>Table1[[#This Row],[Price2]]/Table1[[#This Row],[Area]]</f>
        <v>330.12438725490193</v>
      </c>
      <c r="I2085">
        <v>3264</v>
      </c>
      <c r="J2085">
        <v>1990</v>
      </c>
      <c r="K2085">
        <v>87</v>
      </c>
      <c r="L2085" t="s">
        <v>40</v>
      </c>
      <c r="M2085" t="s">
        <v>2207</v>
      </c>
      <c r="N2085" s="2" t="s">
        <v>3031</v>
      </c>
      <c r="O2085" t="s">
        <v>3032</v>
      </c>
      <c r="P2085" t="s">
        <v>21</v>
      </c>
      <c r="Q2085">
        <v>330.12438725490193</v>
      </c>
      <c r="R2085">
        <f ca="1">YEAR(TODAY())-Table1[[#This Row],[Year Built]]</f>
        <v>36</v>
      </c>
      <c r="S2085" t="str">
        <f>IF(Table1[[#This Row],[Days on Market]] &lt; 30,"Fast",IF(Table1[[#This Row],[Days on Market]]&lt;= 90,"Average", "Slow"))</f>
        <v>Average</v>
      </c>
      <c r="T2085" t="str">
        <f>IF(Table1[[#This Row],[Price2]]&lt;500000,"Affordable",IF(Table1[[#This Row],[Price2]]&lt;1000000,"Mid range","Luxury"))</f>
        <v>Luxury</v>
      </c>
    </row>
    <row r="2086" spans="1:20" x14ac:dyDescent="0.35">
      <c r="A2086" s="3">
        <v>1077979</v>
      </c>
      <c r="B2086" s="2" t="s">
        <v>27</v>
      </c>
      <c r="C2086">
        <v>85976</v>
      </c>
      <c r="D2086" s="2" t="s">
        <v>13</v>
      </c>
      <c r="E2086">
        <v>3</v>
      </c>
      <c r="F2086">
        <v>4</v>
      </c>
      <c r="G2086" s="4">
        <f>VALUE(SUBSTITUTE(SUBSTITUTE(Table1[[#This Row],[Price]],"$",""),",",""))</f>
        <v>1077979</v>
      </c>
      <c r="H2086" s="1">
        <f>Table1[[#This Row],[Price2]]/Table1[[#This Row],[Area]]</f>
        <v>1010.2895970009372</v>
      </c>
      <c r="I2086">
        <v>1067</v>
      </c>
      <c r="J2086">
        <v>2009</v>
      </c>
      <c r="K2086">
        <v>2</v>
      </c>
      <c r="L2086" t="s">
        <v>14</v>
      </c>
      <c r="M2086" t="s">
        <v>1429</v>
      </c>
      <c r="N2086" s="2" t="s">
        <v>3027</v>
      </c>
      <c r="O2086" t="s">
        <v>3028</v>
      </c>
      <c r="P2086" t="s">
        <v>26</v>
      </c>
      <c r="Q2086">
        <v>1010.2895970009372</v>
      </c>
      <c r="R2086">
        <f ca="1">YEAR(TODAY())-Table1[[#This Row],[Year Built]]</f>
        <v>17</v>
      </c>
      <c r="S2086" t="str">
        <f>IF(Table1[[#This Row],[Days on Market]] &lt; 30,"Fast",IF(Table1[[#This Row],[Days on Market]]&lt;= 90,"Average", "Slow"))</f>
        <v>Fast</v>
      </c>
      <c r="T2086" t="str">
        <f>IF(Table1[[#This Row],[Price2]]&lt;500000,"Affordable",IF(Table1[[#This Row],[Price2]]&lt;1000000,"Mid range","Luxury"))</f>
        <v>Luxury</v>
      </c>
    </row>
    <row r="2087" spans="1:20" x14ac:dyDescent="0.35">
      <c r="A2087" s="3">
        <v>1079451</v>
      </c>
      <c r="B2087" s="2" t="s">
        <v>34</v>
      </c>
      <c r="C2087">
        <v>59594</v>
      </c>
      <c r="D2087" s="2" t="s">
        <v>23</v>
      </c>
      <c r="E2087">
        <v>1</v>
      </c>
      <c r="F2087">
        <v>2</v>
      </c>
      <c r="G2087" s="4">
        <f>VALUE(SUBSTITUTE(SUBSTITUTE(Table1[[#This Row],[Price]],"$",""),",",""))</f>
        <v>1079451</v>
      </c>
      <c r="H2087" s="1">
        <f>Table1[[#This Row],[Price2]]/Table1[[#This Row],[Area]]</f>
        <v>367.7856899488927</v>
      </c>
      <c r="I2087">
        <v>2935</v>
      </c>
      <c r="J2087">
        <v>1971</v>
      </c>
      <c r="K2087">
        <v>64</v>
      </c>
      <c r="L2087" t="s">
        <v>40</v>
      </c>
      <c r="M2087" t="s">
        <v>454</v>
      </c>
      <c r="N2087" s="2" t="s">
        <v>3033</v>
      </c>
      <c r="O2087" t="s">
        <v>3034</v>
      </c>
      <c r="P2087" t="s">
        <v>26</v>
      </c>
      <c r="Q2087">
        <v>367.7856899488927</v>
      </c>
      <c r="R2087">
        <f ca="1">YEAR(TODAY())-Table1[[#This Row],[Year Built]]</f>
        <v>55</v>
      </c>
      <c r="S2087" t="str">
        <f>IF(Table1[[#This Row],[Days on Market]] &lt; 30,"Fast",IF(Table1[[#This Row],[Days on Market]]&lt;= 90,"Average", "Slow"))</f>
        <v>Average</v>
      </c>
      <c r="T2087" t="str">
        <f>IF(Table1[[#This Row],[Price2]]&lt;500000,"Affordable",IF(Table1[[#This Row],[Price2]]&lt;1000000,"Mid range","Luxury"))</f>
        <v>Luxury</v>
      </c>
    </row>
    <row r="2088" spans="1:20" x14ac:dyDescent="0.35">
      <c r="A2088" s="3">
        <v>1080061</v>
      </c>
      <c r="B2088" s="2" t="s">
        <v>34</v>
      </c>
      <c r="C2088">
        <v>18441</v>
      </c>
      <c r="D2088" s="2" t="s">
        <v>18</v>
      </c>
      <c r="E2088">
        <v>2</v>
      </c>
      <c r="F2088">
        <v>1</v>
      </c>
      <c r="G2088" s="4">
        <f>VALUE(SUBSTITUTE(SUBSTITUTE(Table1[[#This Row],[Price]],"$",""),",",""))</f>
        <v>1080061</v>
      </c>
      <c r="H2088" s="1">
        <f>Table1[[#This Row],[Price2]]/Table1[[#This Row],[Area]]</f>
        <v>487.8324299909666</v>
      </c>
      <c r="I2088">
        <v>2214</v>
      </c>
      <c r="J2088">
        <v>2017</v>
      </c>
      <c r="K2088">
        <v>111</v>
      </c>
      <c r="L2088" t="s">
        <v>40</v>
      </c>
      <c r="M2088" t="s">
        <v>721</v>
      </c>
      <c r="N2088" s="2" t="s">
        <v>3033</v>
      </c>
      <c r="O2088" t="s">
        <v>3034</v>
      </c>
      <c r="P2088" t="s">
        <v>16</v>
      </c>
      <c r="Q2088">
        <v>487.8324299909666</v>
      </c>
      <c r="R2088">
        <f ca="1">YEAR(TODAY())-Table1[[#This Row],[Year Built]]</f>
        <v>9</v>
      </c>
      <c r="S2088" t="str">
        <f>IF(Table1[[#This Row],[Days on Market]] &lt; 30,"Fast",IF(Table1[[#This Row],[Days on Market]]&lt;= 90,"Average", "Slow"))</f>
        <v>Slow</v>
      </c>
      <c r="T2088" t="str">
        <f>IF(Table1[[#This Row],[Price2]]&lt;500000,"Affordable",IF(Table1[[#This Row],[Price2]]&lt;1000000,"Mid range","Luxury"))</f>
        <v>Luxury</v>
      </c>
    </row>
    <row r="2089" spans="1:20" x14ac:dyDescent="0.35">
      <c r="A2089" s="3">
        <v>1080304</v>
      </c>
      <c r="B2089" s="2" t="s">
        <v>17</v>
      </c>
      <c r="C2089">
        <v>83560</v>
      </c>
      <c r="D2089" s="2" t="s">
        <v>18</v>
      </c>
      <c r="E2089">
        <v>6</v>
      </c>
      <c r="F2089">
        <v>2</v>
      </c>
      <c r="G2089" s="4">
        <f>VALUE(SUBSTITUTE(SUBSTITUTE(Table1[[#This Row],[Price]],"$",""),",",""))</f>
        <v>1080304</v>
      </c>
      <c r="H2089" s="1">
        <f>Table1[[#This Row],[Price2]]/Table1[[#This Row],[Area]]</f>
        <v>597.51327433628319</v>
      </c>
      <c r="I2089">
        <v>1808</v>
      </c>
      <c r="J2089">
        <v>2023</v>
      </c>
      <c r="K2089">
        <v>80</v>
      </c>
      <c r="L2089" t="s">
        <v>30</v>
      </c>
      <c r="M2089" t="s">
        <v>985</v>
      </c>
      <c r="N2089" s="2" t="s">
        <v>3035</v>
      </c>
      <c r="O2089" t="s">
        <v>3036</v>
      </c>
      <c r="P2089" t="s">
        <v>21</v>
      </c>
      <c r="Q2089">
        <v>597.51327433628319</v>
      </c>
      <c r="R2089">
        <f ca="1">YEAR(TODAY())-Table1[[#This Row],[Year Built]]</f>
        <v>3</v>
      </c>
      <c r="S2089" t="str">
        <f>IF(Table1[[#This Row],[Days on Market]] &lt; 30,"Fast",IF(Table1[[#This Row],[Days on Market]]&lt;= 90,"Average", "Slow"))</f>
        <v>Average</v>
      </c>
      <c r="T2089" t="str">
        <f>IF(Table1[[#This Row],[Price2]]&lt;500000,"Affordable",IF(Table1[[#This Row],[Price2]]&lt;1000000,"Mid range","Luxury"))</f>
        <v>Luxury</v>
      </c>
    </row>
    <row r="2090" spans="1:20" x14ac:dyDescent="0.35">
      <c r="A2090" s="3">
        <v>1081035</v>
      </c>
      <c r="B2090" s="2" t="s">
        <v>27</v>
      </c>
      <c r="C2090">
        <v>23864</v>
      </c>
      <c r="D2090" s="2" t="s">
        <v>29</v>
      </c>
      <c r="E2090">
        <v>5</v>
      </c>
      <c r="F2090">
        <v>4</v>
      </c>
      <c r="G2090" s="4">
        <f>VALUE(SUBSTITUTE(SUBSTITUTE(Table1[[#This Row],[Price]],"$",""),",",""))</f>
        <v>1081035</v>
      </c>
      <c r="H2090" s="1">
        <f>Table1[[#This Row],[Price2]]/Table1[[#This Row],[Area]]</f>
        <v>373.80186721991703</v>
      </c>
      <c r="I2090">
        <v>2892</v>
      </c>
      <c r="J2090">
        <v>2002</v>
      </c>
      <c r="K2090">
        <v>52</v>
      </c>
      <c r="L2090" t="s">
        <v>30</v>
      </c>
      <c r="M2090" t="s">
        <v>103</v>
      </c>
      <c r="N2090" s="2" t="s">
        <v>3031</v>
      </c>
      <c r="O2090" t="s">
        <v>3032</v>
      </c>
      <c r="P2090" t="s">
        <v>16</v>
      </c>
      <c r="Q2090">
        <v>373.80186721991703</v>
      </c>
      <c r="R2090">
        <f ca="1">YEAR(TODAY())-Table1[[#This Row],[Year Built]]</f>
        <v>24</v>
      </c>
      <c r="S2090" t="str">
        <f>IF(Table1[[#This Row],[Days on Market]] &lt; 30,"Fast",IF(Table1[[#This Row],[Days on Market]]&lt;= 90,"Average", "Slow"))</f>
        <v>Average</v>
      </c>
      <c r="T2090" t="str">
        <f>IF(Table1[[#This Row],[Price2]]&lt;500000,"Affordable",IF(Table1[[#This Row],[Price2]]&lt;1000000,"Mid range","Luxury"))</f>
        <v>Luxury</v>
      </c>
    </row>
    <row r="2091" spans="1:20" x14ac:dyDescent="0.35">
      <c r="A2091" s="3">
        <v>1081583</v>
      </c>
      <c r="B2091" s="2" t="s">
        <v>27</v>
      </c>
      <c r="C2091">
        <v>85045</v>
      </c>
      <c r="D2091" s="2" t="s">
        <v>23</v>
      </c>
      <c r="E2091">
        <v>4</v>
      </c>
      <c r="F2091">
        <v>2</v>
      </c>
      <c r="G2091" s="4">
        <f>VALUE(SUBSTITUTE(SUBSTITUTE(Table1[[#This Row],[Price]],"$",""),",",""))</f>
        <v>1081583</v>
      </c>
      <c r="H2091" s="1">
        <f>Table1[[#This Row],[Price2]]/Table1[[#This Row],[Area]]</f>
        <v>1161.7432867883995</v>
      </c>
      <c r="I2091">
        <v>931</v>
      </c>
      <c r="J2091">
        <v>1990</v>
      </c>
      <c r="K2091">
        <v>51</v>
      </c>
      <c r="L2091" t="s">
        <v>19</v>
      </c>
      <c r="M2091" t="s">
        <v>1687</v>
      </c>
      <c r="N2091" s="2" t="s">
        <v>3027</v>
      </c>
      <c r="O2091" t="s">
        <v>3028</v>
      </c>
      <c r="P2091" t="s">
        <v>26</v>
      </c>
      <c r="Q2091">
        <v>1161.7432867883995</v>
      </c>
      <c r="R2091">
        <f ca="1">YEAR(TODAY())-Table1[[#This Row],[Year Built]]</f>
        <v>36</v>
      </c>
      <c r="S2091" t="str">
        <f>IF(Table1[[#This Row],[Days on Market]] &lt; 30,"Fast",IF(Table1[[#This Row],[Days on Market]]&lt;= 90,"Average", "Slow"))</f>
        <v>Average</v>
      </c>
      <c r="T2091" t="str">
        <f>IF(Table1[[#This Row],[Price2]]&lt;500000,"Affordable",IF(Table1[[#This Row],[Price2]]&lt;1000000,"Mid range","Luxury"))</f>
        <v>Luxury</v>
      </c>
    </row>
    <row r="2092" spans="1:20" x14ac:dyDescent="0.35">
      <c r="A2092" s="3">
        <v>1082651</v>
      </c>
      <c r="B2092" s="2" t="s">
        <v>22</v>
      </c>
      <c r="C2092">
        <v>82661</v>
      </c>
      <c r="D2092" s="2" t="s">
        <v>29</v>
      </c>
      <c r="E2092">
        <v>2</v>
      </c>
      <c r="F2092">
        <v>2</v>
      </c>
      <c r="G2092" s="4">
        <f>VALUE(SUBSTITUTE(SUBSTITUTE(Table1[[#This Row],[Price]],"$",""),",",""))</f>
        <v>1082651</v>
      </c>
      <c r="H2092" s="1">
        <f>Table1[[#This Row],[Price2]]/Table1[[#This Row],[Area]]</f>
        <v>355.90105193951348</v>
      </c>
      <c r="I2092">
        <v>3042</v>
      </c>
      <c r="J2092">
        <v>2023</v>
      </c>
      <c r="K2092">
        <v>61</v>
      </c>
      <c r="L2092" t="s">
        <v>30</v>
      </c>
      <c r="M2092" t="s">
        <v>576</v>
      </c>
      <c r="N2092" s="2" t="s">
        <v>3027</v>
      </c>
      <c r="O2092" t="s">
        <v>3028</v>
      </c>
      <c r="P2092" t="s">
        <v>26</v>
      </c>
      <c r="Q2092">
        <v>355.90105193951348</v>
      </c>
      <c r="R2092">
        <f ca="1">YEAR(TODAY())-Table1[[#This Row],[Year Built]]</f>
        <v>3</v>
      </c>
      <c r="S2092" t="str">
        <f>IF(Table1[[#This Row],[Days on Market]] &lt; 30,"Fast",IF(Table1[[#This Row],[Days on Market]]&lt;= 90,"Average", "Slow"))</f>
        <v>Average</v>
      </c>
      <c r="T2092" t="str">
        <f>IF(Table1[[#This Row],[Price2]]&lt;500000,"Affordable",IF(Table1[[#This Row],[Price2]]&lt;1000000,"Mid range","Luxury"))</f>
        <v>Luxury</v>
      </c>
    </row>
    <row r="2093" spans="1:20" x14ac:dyDescent="0.35">
      <c r="A2093" s="3">
        <v>1082966</v>
      </c>
      <c r="B2093" s="2" t="s">
        <v>22</v>
      </c>
      <c r="C2093">
        <v>35774</v>
      </c>
      <c r="D2093" s="2" t="s">
        <v>29</v>
      </c>
      <c r="E2093">
        <v>1</v>
      </c>
      <c r="F2093">
        <v>2</v>
      </c>
      <c r="G2093" s="4">
        <f>VALUE(SUBSTITUTE(SUBSTITUTE(Table1[[#This Row],[Price]],"$",""),",",""))</f>
        <v>1082966</v>
      </c>
      <c r="H2093" s="1">
        <f>Table1[[#This Row],[Price2]]/Table1[[#This Row],[Area]]</f>
        <v>444.7498973305955</v>
      </c>
      <c r="I2093">
        <v>2435</v>
      </c>
      <c r="J2093">
        <v>1967</v>
      </c>
      <c r="K2093">
        <v>18</v>
      </c>
      <c r="L2093" t="s">
        <v>40</v>
      </c>
      <c r="M2093" t="s">
        <v>2444</v>
      </c>
      <c r="N2093" s="2" t="s">
        <v>3031</v>
      </c>
      <c r="O2093" t="s">
        <v>3032</v>
      </c>
      <c r="P2093" t="s">
        <v>26</v>
      </c>
      <c r="Q2093">
        <v>444.7498973305955</v>
      </c>
      <c r="R2093">
        <f ca="1">YEAR(TODAY())-Table1[[#This Row],[Year Built]]</f>
        <v>59</v>
      </c>
      <c r="S2093" t="str">
        <f>IF(Table1[[#This Row],[Days on Market]] &lt; 30,"Fast",IF(Table1[[#This Row],[Days on Market]]&lt;= 90,"Average", "Slow"))</f>
        <v>Fast</v>
      </c>
      <c r="T2093" t="str">
        <f>IF(Table1[[#This Row],[Price2]]&lt;500000,"Affordable",IF(Table1[[#This Row],[Price2]]&lt;1000000,"Mid range","Luxury"))</f>
        <v>Luxury</v>
      </c>
    </row>
    <row r="2094" spans="1:20" x14ac:dyDescent="0.35">
      <c r="A2094" s="3">
        <v>1083361</v>
      </c>
      <c r="B2094" s="2" t="s">
        <v>22</v>
      </c>
      <c r="C2094">
        <v>64762</v>
      </c>
      <c r="D2094" s="2" t="s">
        <v>35</v>
      </c>
      <c r="E2094">
        <v>5</v>
      </c>
      <c r="F2094">
        <v>1</v>
      </c>
      <c r="G2094" s="4">
        <f>VALUE(SUBSTITUTE(SUBSTITUTE(Table1[[#This Row],[Price]],"$",""),",",""))</f>
        <v>1083361</v>
      </c>
      <c r="H2094" s="1">
        <f>Table1[[#This Row],[Price2]]/Table1[[#This Row],[Area]]</f>
        <v>867.38270616493196</v>
      </c>
      <c r="I2094">
        <v>1249</v>
      </c>
      <c r="J2094">
        <v>1961</v>
      </c>
      <c r="K2094">
        <v>82</v>
      </c>
      <c r="L2094" t="s">
        <v>40</v>
      </c>
      <c r="M2094" t="s">
        <v>717</v>
      </c>
      <c r="N2094" s="2" t="s">
        <v>3035</v>
      </c>
      <c r="O2094" t="s">
        <v>3036</v>
      </c>
      <c r="P2094" t="s">
        <v>26</v>
      </c>
      <c r="Q2094">
        <v>867.38270616493196</v>
      </c>
      <c r="R2094">
        <f ca="1">YEAR(TODAY())-Table1[[#This Row],[Year Built]]</f>
        <v>65</v>
      </c>
      <c r="S2094" t="str">
        <f>IF(Table1[[#This Row],[Days on Market]] &lt; 30,"Fast",IF(Table1[[#This Row],[Days on Market]]&lt;= 90,"Average", "Slow"))</f>
        <v>Average</v>
      </c>
      <c r="T2094" t="str">
        <f>IF(Table1[[#This Row],[Price2]]&lt;500000,"Affordable",IF(Table1[[#This Row],[Price2]]&lt;1000000,"Mid range","Luxury"))</f>
        <v>Luxury</v>
      </c>
    </row>
    <row r="2095" spans="1:20" x14ac:dyDescent="0.35">
      <c r="A2095" s="3">
        <v>1083676</v>
      </c>
      <c r="B2095" s="2" t="s">
        <v>34</v>
      </c>
      <c r="C2095">
        <v>30494</v>
      </c>
      <c r="D2095" s="2" t="s">
        <v>13</v>
      </c>
      <c r="E2095">
        <v>4</v>
      </c>
      <c r="F2095">
        <v>4</v>
      </c>
      <c r="G2095" s="4">
        <f>VALUE(SUBSTITUTE(SUBSTITUTE(Table1[[#This Row],[Price]],"$",""),",",""))</f>
        <v>1083676</v>
      </c>
      <c r="H2095" s="1">
        <f>Table1[[#This Row],[Price2]]/Table1[[#This Row],[Area]]</f>
        <v>766.93276716206651</v>
      </c>
      <c r="I2095">
        <v>1413</v>
      </c>
      <c r="J2095">
        <v>1982</v>
      </c>
      <c r="K2095">
        <v>35</v>
      </c>
      <c r="L2095" t="s">
        <v>40</v>
      </c>
      <c r="M2095" t="s">
        <v>2463</v>
      </c>
      <c r="N2095" s="2" t="s">
        <v>3031</v>
      </c>
      <c r="O2095" t="s">
        <v>3032</v>
      </c>
      <c r="P2095" t="s">
        <v>16</v>
      </c>
      <c r="Q2095">
        <v>766.93276716206651</v>
      </c>
      <c r="R2095">
        <f ca="1">YEAR(TODAY())-Table1[[#This Row],[Year Built]]</f>
        <v>44</v>
      </c>
      <c r="S2095" t="str">
        <f>IF(Table1[[#This Row],[Days on Market]] &lt; 30,"Fast",IF(Table1[[#This Row],[Days on Market]]&lt;= 90,"Average", "Slow"))</f>
        <v>Average</v>
      </c>
      <c r="T2095" t="str">
        <f>IF(Table1[[#This Row],[Price2]]&lt;500000,"Affordable",IF(Table1[[#This Row],[Price2]]&lt;1000000,"Mid range","Luxury"))</f>
        <v>Luxury</v>
      </c>
    </row>
    <row r="2096" spans="1:20" x14ac:dyDescent="0.35">
      <c r="A2096" s="3">
        <v>1084043</v>
      </c>
      <c r="B2096" s="2" t="s">
        <v>17</v>
      </c>
      <c r="C2096">
        <v>36849</v>
      </c>
      <c r="D2096" s="2" t="s">
        <v>35</v>
      </c>
      <c r="E2096">
        <v>5</v>
      </c>
      <c r="F2096">
        <v>4</v>
      </c>
      <c r="G2096" s="4">
        <f>VALUE(SUBSTITUTE(SUBSTITUTE(Table1[[#This Row],[Price]],"$",""),",",""))</f>
        <v>1084043</v>
      </c>
      <c r="H2096" s="1">
        <f>Table1[[#This Row],[Price2]]/Table1[[#This Row],[Area]]</f>
        <v>364.01712558764274</v>
      </c>
      <c r="I2096">
        <v>2978</v>
      </c>
      <c r="J2096">
        <v>2012</v>
      </c>
      <c r="K2096">
        <v>28</v>
      </c>
      <c r="L2096" t="s">
        <v>40</v>
      </c>
      <c r="M2096" t="s">
        <v>2767</v>
      </c>
      <c r="N2096" s="2" t="s">
        <v>3027</v>
      </c>
      <c r="O2096" t="s">
        <v>3028</v>
      </c>
      <c r="P2096" t="s">
        <v>21</v>
      </c>
      <c r="Q2096">
        <v>364.01712558764274</v>
      </c>
      <c r="R2096">
        <f ca="1">YEAR(TODAY())-Table1[[#This Row],[Year Built]]</f>
        <v>14</v>
      </c>
      <c r="S2096" t="str">
        <f>IF(Table1[[#This Row],[Days on Market]] &lt; 30,"Fast",IF(Table1[[#This Row],[Days on Market]]&lt;= 90,"Average", "Slow"))</f>
        <v>Fast</v>
      </c>
      <c r="T2096" t="str">
        <f>IF(Table1[[#This Row],[Price2]]&lt;500000,"Affordable",IF(Table1[[#This Row],[Price2]]&lt;1000000,"Mid range","Luxury"))</f>
        <v>Luxury</v>
      </c>
    </row>
    <row r="2097" spans="1:20" x14ac:dyDescent="0.35">
      <c r="A2097" s="3">
        <v>1085094</v>
      </c>
      <c r="B2097" s="2" t="s">
        <v>34</v>
      </c>
      <c r="C2097">
        <v>94121</v>
      </c>
      <c r="D2097" s="2" t="s">
        <v>23</v>
      </c>
      <c r="E2097">
        <v>5</v>
      </c>
      <c r="F2097">
        <v>3</v>
      </c>
      <c r="G2097" s="4">
        <f>VALUE(SUBSTITUTE(SUBSTITUTE(Table1[[#This Row],[Price]],"$",""),",",""))</f>
        <v>1085094</v>
      </c>
      <c r="H2097" s="1">
        <f>Table1[[#This Row],[Price2]]/Table1[[#This Row],[Area]]</f>
        <v>493.44884038199183</v>
      </c>
      <c r="I2097">
        <v>2199</v>
      </c>
      <c r="J2097">
        <v>2017</v>
      </c>
      <c r="K2097">
        <v>62</v>
      </c>
      <c r="L2097" t="s">
        <v>40</v>
      </c>
      <c r="M2097" t="s">
        <v>340</v>
      </c>
      <c r="N2097" s="2" t="s">
        <v>3035</v>
      </c>
      <c r="O2097" t="s">
        <v>3036</v>
      </c>
      <c r="P2097" t="s">
        <v>26</v>
      </c>
      <c r="Q2097">
        <v>493.44884038199183</v>
      </c>
      <c r="R2097">
        <f ca="1">YEAR(TODAY())-Table1[[#This Row],[Year Built]]</f>
        <v>9</v>
      </c>
      <c r="S2097" t="str">
        <f>IF(Table1[[#This Row],[Days on Market]] &lt; 30,"Fast",IF(Table1[[#This Row],[Days on Market]]&lt;= 90,"Average", "Slow"))</f>
        <v>Average</v>
      </c>
      <c r="T2097" t="str">
        <f>IF(Table1[[#This Row],[Price2]]&lt;500000,"Affordable",IF(Table1[[#This Row],[Price2]]&lt;1000000,"Mid range","Luxury"))</f>
        <v>Luxury</v>
      </c>
    </row>
    <row r="2098" spans="1:20" x14ac:dyDescent="0.35">
      <c r="A2098" s="3">
        <v>1085745</v>
      </c>
      <c r="B2098" s="2" t="s">
        <v>12</v>
      </c>
      <c r="C2098">
        <v>64486</v>
      </c>
      <c r="D2098" s="2" t="s">
        <v>23</v>
      </c>
      <c r="E2098">
        <v>4</v>
      </c>
      <c r="F2098">
        <v>3</v>
      </c>
      <c r="G2098" s="4">
        <f>VALUE(SUBSTITUTE(SUBSTITUTE(Table1[[#This Row],[Price]],"$",""),",",""))</f>
        <v>1085745</v>
      </c>
      <c r="H2098" s="1">
        <f>Table1[[#This Row],[Price2]]/Table1[[#This Row],[Area]]</f>
        <v>339.61370034407258</v>
      </c>
      <c r="I2098">
        <v>3197</v>
      </c>
      <c r="J2098">
        <v>2012</v>
      </c>
      <c r="K2098">
        <v>97</v>
      </c>
      <c r="L2098" t="s">
        <v>30</v>
      </c>
      <c r="M2098" t="s">
        <v>2612</v>
      </c>
      <c r="N2098" s="2" t="s">
        <v>3033</v>
      </c>
      <c r="O2098" t="s">
        <v>3034</v>
      </c>
      <c r="P2098" t="s">
        <v>21</v>
      </c>
      <c r="Q2098">
        <v>339.61370034407258</v>
      </c>
      <c r="R2098">
        <f ca="1">YEAR(TODAY())-Table1[[#This Row],[Year Built]]</f>
        <v>14</v>
      </c>
      <c r="S2098" t="str">
        <f>IF(Table1[[#This Row],[Days on Market]] &lt; 30,"Fast",IF(Table1[[#This Row],[Days on Market]]&lt;= 90,"Average", "Slow"))</f>
        <v>Slow</v>
      </c>
      <c r="T2098" t="str">
        <f>IF(Table1[[#This Row],[Price2]]&lt;500000,"Affordable",IF(Table1[[#This Row],[Price2]]&lt;1000000,"Mid range","Luxury"))</f>
        <v>Luxury</v>
      </c>
    </row>
    <row r="2099" spans="1:20" x14ac:dyDescent="0.35">
      <c r="A2099" s="3">
        <v>1086792</v>
      </c>
      <c r="B2099" s="2" t="s">
        <v>17</v>
      </c>
      <c r="C2099">
        <v>44378</v>
      </c>
      <c r="D2099" s="2" t="s">
        <v>35</v>
      </c>
      <c r="E2099">
        <v>1</v>
      </c>
      <c r="F2099">
        <v>3</v>
      </c>
      <c r="G2099" s="4">
        <f>VALUE(SUBSTITUTE(SUBSTITUTE(Table1[[#This Row],[Price]],"$",""),",",""))</f>
        <v>1086792</v>
      </c>
      <c r="H2099" s="1">
        <f>Table1[[#This Row],[Price2]]/Table1[[#This Row],[Area]]</f>
        <v>437.51690821256039</v>
      </c>
      <c r="I2099">
        <v>2484</v>
      </c>
      <c r="J2099">
        <v>1994</v>
      </c>
      <c r="K2099">
        <v>88</v>
      </c>
      <c r="L2099" t="s">
        <v>30</v>
      </c>
      <c r="M2099" t="s">
        <v>2866</v>
      </c>
      <c r="N2099" s="2" t="s">
        <v>3029</v>
      </c>
      <c r="O2099" t="s">
        <v>3030</v>
      </c>
      <c r="P2099" t="s">
        <v>21</v>
      </c>
      <c r="Q2099">
        <v>437.51690821256039</v>
      </c>
      <c r="R2099">
        <f ca="1">YEAR(TODAY())-Table1[[#This Row],[Year Built]]</f>
        <v>32</v>
      </c>
      <c r="S2099" t="str">
        <f>IF(Table1[[#This Row],[Days on Market]] &lt; 30,"Fast",IF(Table1[[#This Row],[Days on Market]]&lt;= 90,"Average", "Slow"))</f>
        <v>Average</v>
      </c>
      <c r="T2099" t="str">
        <f>IF(Table1[[#This Row],[Price2]]&lt;500000,"Affordable",IF(Table1[[#This Row],[Price2]]&lt;1000000,"Mid range","Luxury"))</f>
        <v>Luxury</v>
      </c>
    </row>
    <row r="2100" spans="1:20" x14ac:dyDescent="0.35">
      <c r="A2100" s="3">
        <v>1086904</v>
      </c>
      <c r="B2100" s="2" t="s">
        <v>22</v>
      </c>
      <c r="C2100">
        <v>48318</v>
      </c>
      <c r="D2100" s="2" t="s">
        <v>35</v>
      </c>
      <c r="E2100">
        <v>6</v>
      </c>
      <c r="F2100">
        <v>2</v>
      </c>
      <c r="G2100" s="4">
        <f>VALUE(SUBSTITUTE(SUBSTITUTE(Table1[[#This Row],[Price]],"$",""),",",""))</f>
        <v>1086904</v>
      </c>
      <c r="H2100" s="1">
        <f>Table1[[#This Row],[Price2]]/Table1[[#This Row],[Area]]</f>
        <v>402.55703703703705</v>
      </c>
      <c r="I2100">
        <v>2700</v>
      </c>
      <c r="J2100">
        <v>2008</v>
      </c>
      <c r="K2100">
        <v>68</v>
      </c>
      <c r="L2100" t="s">
        <v>19</v>
      </c>
      <c r="M2100" t="s">
        <v>2758</v>
      </c>
      <c r="N2100" s="2" t="s">
        <v>3031</v>
      </c>
      <c r="O2100" t="s">
        <v>3032</v>
      </c>
      <c r="P2100" t="s">
        <v>26</v>
      </c>
      <c r="Q2100">
        <v>402.55703703703705</v>
      </c>
      <c r="R2100">
        <f ca="1">YEAR(TODAY())-Table1[[#This Row],[Year Built]]</f>
        <v>18</v>
      </c>
      <c r="S2100" t="str">
        <f>IF(Table1[[#This Row],[Days on Market]] &lt; 30,"Fast",IF(Table1[[#This Row],[Days on Market]]&lt;= 90,"Average", "Slow"))</f>
        <v>Average</v>
      </c>
      <c r="T2100" t="str">
        <f>IF(Table1[[#This Row],[Price2]]&lt;500000,"Affordable",IF(Table1[[#This Row],[Price2]]&lt;1000000,"Mid range","Luxury"))</f>
        <v>Luxury</v>
      </c>
    </row>
    <row r="2101" spans="1:20" x14ac:dyDescent="0.35">
      <c r="A2101" s="3">
        <v>1087111</v>
      </c>
      <c r="B2101" s="2" t="s">
        <v>27</v>
      </c>
      <c r="C2101">
        <v>43139</v>
      </c>
      <c r="D2101" s="2" t="s">
        <v>35</v>
      </c>
      <c r="E2101">
        <v>1</v>
      </c>
      <c r="F2101">
        <v>3</v>
      </c>
      <c r="G2101" s="4">
        <f>VALUE(SUBSTITUTE(SUBSTITUTE(Table1[[#This Row],[Price]],"$",""),",",""))</f>
        <v>1087111</v>
      </c>
      <c r="H2101" s="1">
        <f>Table1[[#This Row],[Price2]]/Table1[[#This Row],[Area]]</f>
        <v>304.086993006993</v>
      </c>
      <c r="I2101">
        <v>3575</v>
      </c>
      <c r="J2101">
        <v>1963</v>
      </c>
      <c r="K2101">
        <v>5</v>
      </c>
      <c r="L2101" t="s">
        <v>30</v>
      </c>
      <c r="M2101" t="s">
        <v>1939</v>
      </c>
      <c r="N2101" s="2" t="s">
        <v>3027</v>
      </c>
      <c r="O2101" t="s">
        <v>3028</v>
      </c>
      <c r="P2101" t="s">
        <v>26</v>
      </c>
      <c r="Q2101">
        <v>304.086993006993</v>
      </c>
      <c r="R2101">
        <f ca="1">YEAR(TODAY())-Table1[[#This Row],[Year Built]]</f>
        <v>63</v>
      </c>
      <c r="S2101" t="str">
        <f>IF(Table1[[#This Row],[Days on Market]] &lt; 30,"Fast",IF(Table1[[#This Row],[Days on Market]]&lt;= 90,"Average", "Slow"))</f>
        <v>Fast</v>
      </c>
      <c r="T2101" t="str">
        <f>IF(Table1[[#This Row],[Price2]]&lt;500000,"Affordable",IF(Table1[[#This Row],[Price2]]&lt;1000000,"Mid range","Luxury"))</f>
        <v>Luxury</v>
      </c>
    </row>
    <row r="2102" spans="1:20" x14ac:dyDescent="0.35">
      <c r="A2102" s="3">
        <v>1088823</v>
      </c>
      <c r="B2102" s="2" t="s">
        <v>22</v>
      </c>
      <c r="C2102">
        <v>71689</v>
      </c>
      <c r="D2102" s="2" t="s">
        <v>29</v>
      </c>
      <c r="E2102">
        <v>5</v>
      </c>
      <c r="F2102">
        <v>3</v>
      </c>
      <c r="G2102" s="4">
        <f>VALUE(SUBSTITUTE(SUBSTITUTE(Table1[[#This Row],[Price]],"$",""),",",""))</f>
        <v>1088823</v>
      </c>
      <c r="H2102" s="1">
        <f>Table1[[#This Row],[Price2]]/Table1[[#This Row],[Area]]</f>
        <v>843.39504260263357</v>
      </c>
      <c r="I2102">
        <v>1291</v>
      </c>
      <c r="J2102">
        <v>1982</v>
      </c>
      <c r="K2102">
        <v>119</v>
      </c>
      <c r="L2102" t="s">
        <v>40</v>
      </c>
      <c r="M2102" t="s">
        <v>1602</v>
      </c>
      <c r="N2102" s="2" t="s">
        <v>3027</v>
      </c>
      <c r="O2102" t="s">
        <v>3028</v>
      </c>
      <c r="P2102" t="s">
        <v>26</v>
      </c>
      <c r="Q2102">
        <v>843.39504260263357</v>
      </c>
      <c r="R2102">
        <f ca="1">YEAR(TODAY())-Table1[[#This Row],[Year Built]]</f>
        <v>44</v>
      </c>
      <c r="S2102" t="str">
        <f>IF(Table1[[#This Row],[Days on Market]] &lt; 30,"Fast",IF(Table1[[#This Row],[Days on Market]]&lt;= 90,"Average", "Slow"))</f>
        <v>Slow</v>
      </c>
      <c r="T2102" t="str">
        <f>IF(Table1[[#This Row],[Price2]]&lt;500000,"Affordable",IF(Table1[[#This Row],[Price2]]&lt;1000000,"Mid range","Luxury"))</f>
        <v>Luxury</v>
      </c>
    </row>
    <row r="2103" spans="1:20" x14ac:dyDescent="0.35">
      <c r="A2103" s="3">
        <v>1089190</v>
      </c>
      <c r="B2103" s="2" t="s">
        <v>34</v>
      </c>
      <c r="C2103">
        <v>93992</v>
      </c>
      <c r="D2103" s="2" t="s">
        <v>13</v>
      </c>
      <c r="E2103">
        <v>4</v>
      </c>
      <c r="F2103">
        <v>1</v>
      </c>
      <c r="G2103" s="4">
        <f>VALUE(SUBSTITUTE(SUBSTITUTE(Table1[[#This Row],[Price]],"$",""),",",""))</f>
        <v>1089190</v>
      </c>
      <c r="H2103" s="1">
        <f>Table1[[#This Row],[Price2]]/Table1[[#This Row],[Area]]</f>
        <v>1383.977128335451</v>
      </c>
      <c r="I2103">
        <v>787</v>
      </c>
      <c r="J2103">
        <v>1999</v>
      </c>
      <c r="K2103">
        <v>119</v>
      </c>
      <c r="L2103" t="s">
        <v>52</v>
      </c>
      <c r="M2103" t="s">
        <v>120</v>
      </c>
      <c r="N2103" s="2" t="s">
        <v>3029</v>
      </c>
      <c r="O2103" t="s">
        <v>3030</v>
      </c>
      <c r="P2103" t="s">
        <v>16</v>
      </c>
      <c r="Q2103">
        <v>1383.977128335451</v>
      </c>
      <c r="R2103">
        <f ca="1">YEAR(TODAY())-Table1[[#This Row],[Year Built]]</f>
        <v>27</v>
      </c>
      <c r="S2103" t="str">
        <f>IF(Table1[[#This Row],[Days on Market]] &lt; 30,"Fast",IF(Table1[[#This Row],[Days on Market]]&lt;= 90,"Average", "Slow"))</f>
        <v>Slow</v>
      </c>
      <c r="T2103" t="str">
        <f>IF(Table1[[#This Row],[Price2]]&lt;500000,"Affordable",IF(Table1[[#This Row],[Price2]]&lt;1000000,"Mid range","Luxury"))</f>
        <v>Luxury</v>
      </c>
    </row>
    <row r="2104" spans="1:20" x14ac:dyDescent="0.35">
      <c r="A2104" s="3">
        <v>1089772</v>
      </c>
      <c r="B2104" s="2" t="s">
        <v>22</v>
      </c>
      <c r="C2104">
        <v>65482</v>
      </c>
      <c r="D2104" s="2" t="s">
        <v>35</v>
      </c>
      <c r="E2104">
        <v>1</v>
      </c>
      <c r="F2104">
        <v>4</v>
      </c>
      <c r="G2104" s="4">
        <f>VALUE(SUBSTITUTE(SUBSTITUTE(Table1[[#This Row],[Price]],"$",""),",",""))</f>
        <v>1089772</v>
      </c>
      <c r="H2104" s="1">
        <f>Table1[[#This Row],[Price2]]/Table1[[#This Row],[Area]]</f>
        <v>462.15945716709075</v>
      </c>
      <c r="I2104">
        <v>2358</v>
      </c>
      <c r="J2104">
        <v>1967</v>
      </c>
      <c r="K2104">
        <v>52</v>
      </c>
      <c r="L2104" t="s">
        <v>14</v>
      </c>
      <c r="M2104" t="s">
        <v>1349</v>
      </c>
      <c r="N2104" s="2" t="s">
        <v>3035</v>
      </c>
      <c r="O2104" t="s">
        <v>3036</v>
      </c>
      <c r="P2104" t="s">
        <v>26</v>
      </c>
      <c r="Q2104">
        <v>462.15945716709075</v>
      </c>
      <c r="R2104">
        <f ca="1">YEAR(TODAY())-Table1[[#This Row],[Year Built]]</f>
        <v>59</v>
      </c>
      <c r="S2104" t="str">
        <f>IF(Table1[[#This Row],[Days on Market]] &lt; 30,"Fast",IF(Table1[[#This Row],[Days on Market]]&lt;= 90,"Average", "Slow"))</f>
        <v>Average</v>
      </c>
      <c r="T2104" t="str">
        <f>IF(Table1[[#This Row],[Price2]]&lt;500000,"Affordable",IF(Table1[[#This Row],[Price2]]&lt;1000000,"Mid range","Luxury"))</f>
        <v>Luxury</v>
      </c>
    </row>
    <row r="2105" spans="1:20" x14ac:dyDescent="0.35">
      <c r="A2105" s="3">
        <v>1090823</v>
      </c>
      <c r="B2105" s="2" t="s">
        <v>27</v>
      </c>
      <c r="C2105">
        <v>89851</v>
      </c>
      <c r="D2105" s="2" t="s">
        <v>23</v>
      </c>
      <c r="E2105">
        <v>4</v>
      </c>
      <c r="F2105">
        <v>4</v>
      </c>
      <c r="G2105" s="4">
        <f>VALUE(SUBSTITUTE(SUBSTITUTE(Table1[[#This Row],[Price]],"$",""),",",""))</f>
        <v>1090823</v>
      </c>
      <c r="H2105" s="1">
        <f>Table1[[#This Row],[Price2]]/Table1[[#This Row],[Area]]</f>
        <v>653.57878969442777</v>
      </c>
      <c r="I2105">
        <v>1669</v>
      </c>
      <c r="J2105">
        <v>2014</v>
      </c>
      <c r="K2105">
        <v>114</v>
      </c>
      <c r="L2105" t="s">
        <v>52</v>
      </c>
      <c r="M2105" t="s">
        <v>1297</v>
      </c>
      <c r="N2105" s="2" t="s">
        <v>3035</v>
      </c>
      <c r="O2105" t="s">
        <v>3036</v>
      </c>
      <c r="P2105" t="s">
        <v>16</v>
      </c>
      <c r="Q2105">
        <v>653.57878969442777</v>
      </c>
      <c r="R2105">
        <f ca="1">YEAR(TODAY())-Table1[[#This Row],[Year Built]]</f>
        <v>12</v>
      </c>
      <c r="S2105" t="str">
        <f>IF(Table1[[#This Row],[Days on Market]] &lt; 30,"Fast",IF(Table1[[#This Row],[Days on Market]]&lt;= 90,"Average", "Slow"))</f>
        <v>Slow</v>
      </c>
      <c r="T2105" t="str">
        <f>IF(Table1[[#This Row],[Price2]]&lt;500000,"Affordable",IF(Table1[[#This Row],[Price2]]&lt;1000000,"Mid range","Luxury"))</f>
        <v>Luxury</v>
      </c>
    </row>
    <row r="2106" spans="1:20" x14ac:dyDescent="0.35">
      <c r="A2106" s="3">
        <v>1090941</v>
      </c>
      <c r="B2106" s="2" t="s">
        <v>12</v>
      </c>
      <c r="C2106">
        <v>77457</v>
      </c>
      <c r="D2106" s="2" t="s">
        <v>35</v>
      </c>
      <c r="E2106">
        <v>3</v>
      </c>
      <c r="F2106">
        <v>4</v>
      </c>
      <c r="G2106" s="4">
        <f>VALUE(SUBSTITUTE(SUBSTITUTE(Table1[[#This Row],[Price]],"$",""),",",""))</f>
        <v>1090941</v>
      </c>
      <c r="H2106" s="1">
        <f>Table1[[#This Row],[Price2]]/Table1[[#This Row],[Area]]</f>
        <v>1225.7764044943819</v>
      </c>
      <c r="I2106">
        <v>890</v>
      </c>
      <c r="J2106">
        <v>1999</v>
      </c>
      <c r="K2106">
        <v>29</v>
      </c>
      <c r="L2106" t="s">
        <v>40</v>
      </c>
      <c r="M2106" t="s">
        <v>799</v>
      </c>
      <c r="N2106" s="2" t="s">
        <v>3029</v>
      </c>
      <c r="O2106" t="s">
        <v>3030</v>
      </c>
      <c r="P2106" t="s">
        <v>16</v>
      </c>
      <c r="Q2106">
        <v>1225.7764044943819</v>
      </c>
      <c r="R2106">
        <f ca="1">YEAR(TODAY())-Table1[[#This Row],[Year Built]]</f>
        <v>27</v>
      </c>
      <c r="S2106" t="str">
        <f>IF(Table1[[#This Row],[Days on Market]] &lt; 30,"Fast",IF(Table1[[#This Row],[Days on Market]]&lt;= 90,"Average", "Slow"))</f>
        <v>Fast</v>
      </c>
      <c r="T2106" t="str">
        <f>IF(Table1[[#This Row],[Price2]]&lt;500000,"Affordable",IF(Table1[[#This Row],[Price2]]&lt;1000000,"Mid range","Luxury"))</f>
        <v>Luxury</v>
      </c>
    </row>
    <row r="2107" spans="1:20" x14ac:dyDescent="0.35">
      <c r="A2107" s="3">
        <v>1091643</v>
      </c>
      <c r="B2107" s="2" t="s">
        <v>12</v>
      </c>
      <c r="C2107">
        <v>75584</v>
      </c>
      <c r="D2107" s="2" t="s">
        <v>35</v>
      </c>
      <c r="E2107">
        <v>1</v>
      </c>
      <c r="F2107">
        <v>4</v>
      </c>
      <c r="G2107" s="4">
        <f>VALUE(SUBSTITUTE(SUBSTITUTE(Table1[[#This Row],[Price]],"$",""),",",""))</f>
        <v>1091643</v>
      </c>
      <c r="H2107" s="1">
        <f>Table1[[#This Row],[Price2]]/Table1[[#This Row],[Area]]</f>
        <v>578.20074152542372</v>
      </c>
      <c r="I2107">
        <v>1888</v>
      </c>
      <c r="J2107">
        <v>2004</v>
      </c>
      <c r="K2107">
        <v>40</v>
      </c>
      <c r="L2107" t="s">
        <v>14</v>
      </c>
      <c r="M2107" t="s">
        <v>1154</v>
      </c>
      <c r="N2107" s="2" t="s">
        <v>3029</v>
      </c>
      <c r="O2107" t="s">
        <v>3030</v>
      </c>
      <c r="P2107" t="s">
        <v>16</v>
      </c>
      <c r="Q2107">
        <v>578.20074152542372</v>
      </c>
      <c r="R2107">
        <f ca="1">YEAR(TODAY())-Table1[[#This Row],[Year Built]]</f>
        <v>22</v>
      </c>
      <c r="S2107" t="str">
        <f>IF(Table1[[#This Row],[Days on Market]] &lt; 30,"Fast",IF(Table1[[#This Row],[Days on Market]]&lt;= 90,"Average", "Slow"))</f>
        <v>Average</v>
      </c>
      <c r="T2107" t="str">
        <f>IF(Table1[[#This Row],[Price2]]&lt;500000,"Affordable",IF(Table1[[#This Row],[Price2]]&lt;1000000,"Mid range","Luxury"))</f>
        <v>Luxury</v>
      </c>
    </row>
    <row r="2108" spans="1:20" x14ac:dyDescent="0.35">
      <c r="A2108" s="3">
        <v>1091840</v>
      </c>
      <c r="B2108" s="2" t="s">
        <v>17</v>
      </c>
      <c r="C2108">
        <v>91456</v>
      </c>
      <c r="D2108" s="2" t="s">
        <v>35</v>
      </c>
      <c r="E2108">
        <v>6</v>
      </c>
      <c r="F2108">
        <v>1</v>
      </c>
      <c r="G2108" s="4">
        <f>VALUE(SUBSTITUTE(SUBSTITUTE(Table1[[#This Row],[Price]],"$",""),",",""))</f>
        <v>1091840</v>
      </c>
      <c r="H2108" s="1">
        <f>Table1[[#This Row],[Price2]]/Table1[[#This Row],[Area]]</f>
        <v>336.57213316892722</v>
      </c>
      <c r="I2108">
        <v>3244</v>
      </c>
      <c r="J2108">
        <v>2011</v>
      </c>
      <c r="K2108">
        <v>14</v>
      </c>
      <c r="L2108" t="s">
        <v>19</v>
      </c>
      <c r="M2108" t="s">
        <v>2751</v>
      </c>
      <c r="N2108" s="2" t="s">
        <v>3029</v>
      </c>
      <c r="O2108" t="s">
        <v>3030</v>
      </c>
      <c r="P2108" t="s">
        <v>16</v>
      </c>
      <c r="Q2108">
        <v>336.57213316892722</v>
      </c>
      <c r="R2108">
        <f ca="1">YEAR(TODAY())-Table1[[#This Row],[Year Built]]</f>
        <v>15</v>
      </c>
      <c r="S2108" t="str">
        <f>IF(Table1[[#This Row],[Days on Market]] &lt; 30,"Fast",IF(Table1[[#This Row],[Days on Market]]&lt;= 90,"Average", "Slow"))</f>
        <v>Fast</v>
      </c>
      <c r="T2108" t="str">
        <f>IF(Table1[[#This Row],[Price2]]&lt;500000,"Affordable",IF(Table1[[#This Row],[Price2]]&lt;1000000,"Mid range","Luxury"))</f>
        <v>Luxury</v>
      </c>
    </row>
    <row r="2109" spans="1:20" x14ac:dyDescent="0.35">
      <c r="A2109" s="3">
        <v>1091920</v>
      </c>
      <c r="B2109" s="2" t="s">
        <v>22</v>
      </c>
      <c r="C2109">
        <v>39040</v>
      </c>
      <c r="D2109" s="2" t="s">
        <v>35</v>
      </c>
      <c r="E2109">
        <v>2</v>
      </c>
      <c r="F2109">
        <v>2</v>
      </c>
      <c r="G2109" s="4">
        <f>VALUE(SUBSTITUTE(SUBSTITUTE(Table1[[#This Row],[Price]],"$",""),",",""))</f>
        <v>1091920</v>
      </c>
      <c r="H2109" s="1">
        <f>Table1[[#This Row],[Price2]]/Table1[[#This Row],[Area]]</f>
        <v>446.59304703476482</v>
      </c>
      <c r="I2109">
        <v>2445</v>
      </c>
      <c r="J2109">
        <v>1970</v>
      </c>
      <c r="K2109">
        <v>82</v>
      </c>
      <c r="L2109" t="s">
        <v>52</v>
      </c>
      <c r="M2109" t="s">
        <v>1624</v>
      </c>
      <c r="N2109" s="2" t="s">
        <v>3035</v>
      </c>
      <c r="O2109" t="s">
        <v>3036</v>
      </c>
      <c r="P2109" t="s">
        <v>26</v>
      </c>
      <c r="Q2109">
        <v>446.59304703476482</v>
      </c>
      <c r="R2109">
        <f ca="1">YEAR(TODAY())-Table1[[#This Row],[Year Built]]</f>
        <v>56</v>
      </c>
      <c r="S2109" t="str">
        <f>IF(Table1[[#This Row],[Days on Market]] &lt; 30,"Fast",IF(Table1[[#This Row],[Days on Market]]&lt;= 90,"Average", "Slow"))</f>
        <v>Average</v>
      </c>
      <c r="T2109" t="str">
        <f>IF(Table1[[#This Row],[Price2]]&lt;500000,"Affordable",IF(Table1[[#This Row],[Price2]]&lt;1000000,"Mid range","Luxury"))</f>
        <v>Luxury</v>
      </c>
    </row>
    <row r="2110" spans="1:20" x14ac:dyDescent="0.35">
      <c r="A2110" s="3">
        <v>1092098</v>
      </c>
      <c r="B2110" s="2" t="s">
        <v>12</v>
      </c>
      <c r="C2110">
        <v>96253</v>
      </c>
      <c r="D2110" s="2" t="s">
        <v>29</v>
      </c>
      <c r="E2110">
        <v>5</v>
      </c>
      <c r="F2110">
        <v>4</v>
      </c>
      <c r="G2110" s="4">
        <f>VALUE(SUBSTITUTE(SUBSTITUTE(Table1[[#This Row],[Price]],"$",""),",",""))</f>
        <v>1092098</v>
      </c>
      <c r="H2110" s="1">
        <f>Table1[[#This Row],[Price2]]/Table1[[#This Row],[Area]]</f>
        <v>552.6811740890688</v>
      </c>
      <c r="I2110">
        <v>1976</v>
      </c>
      <c r="J2110">
        <v>1996</v>
      </c>
      <c r="K2110">
        <v>111</v>
      </c>
      <c r="L2110" t="s">
        <v>14</v>
      </c>
      <c r="M2110" t="s">
        <v>1125</v>
      </c>
      <c r="N2110" s="2" t="s">
        <v>3027</v>
      </c>
      <c r="O2110" t="s">
        <v>3028</v>
      </c>
      <c r="P2110" t="s">
        <v>16</v>
      </c>
      <c r="Q2110">
        <v>552.6811740890688</v>
      </c>
      <c r="R2110">
        <f ca="1">YEAR(TODAY())-Table1[[#This Row],[Year Built]]</f>
        <v>30</v>
      </c>
      <c r="S2110" t="str">
        <f>IF(Table1[[#This Row],[Days on Market]] &lt; 30,"Fast",IF(Table1[[#This Row],[Days on Market]]&lt;= 90,"Average", "Slow"))</f>
        <v>Slow</v>
      </c>
      <c r="T2110" t="str">
        <f>IF(Table1[[#This Row],[Price2]]&lt;500000,"Affordable",IF(Table1[[#This Row],[Price2]]&lt;1000000,"Mid range","Luxury"))</f>
        <v>Luxury</v>
      </c>
    </row>
    <row r="2111" spans="1:20" x14ac:dyDescent="0.35">
      <c r="A2111" s="3">
        <v>1092223</v>
      </c>
      <c r="B2111" s="2" t="s">
        <v>34</v>
      </c>
      <c r="C2111">
        <v>81859</v>
      </c>
      <c r="D2111" s="2" t="s">
        <v>29</v>
      </c>
      <c r="E2111">
        <v>1</v>
      </c>
      <c r="F2111">
        <v>4</v>
      </c>
      <c r="G2111" s="4">
        <f>VALUE(SUBSTITUTE(SUBSTITUTE(Table1[[#This Row],[Price]],"$",""),",",""))</f>
        <v>1092223</v>
      </c>
      <c r="H2111" s="1">
        <f>Table1[[#This Row],[Price2]]/Table1[[#This Row],[Area]]</f>
        <v>1549.2524822695036</v>
      </c>
      <c r="I2111">
        <v>705</v>
      </c>
      <c r="J2111">
        <v>2012</v>
      </c>
      <c r="K2111">
        <v>99</v>
      </c>
      <c r="L2111" t="s">
        <v>30</v>
      </c>
      <c r="M2111" t="s">
        <v>324</v>
      </c>
      <c r="N2111" s="2" t="s">
        <v>3031</v>
      </c>
      <c r="O2111" t="s">
        <v>3032</v>
      </c>
      <c r="P2111" t="s">
        <v>16</v>
      </c>
      <c r="Q2111">
        <v>1549.2524822695036</v>
      </c>
      <c r="R2111">
        <f ca="1">YEAR(TODAY())-Table1[[#This Row],[Year Built]]</f>
        <v>14</v>
      </c>
      <c r="S2111" t="str">
        <f>IF(Table1[[#This Row],[Days on Market]] &lt; 30,"Fast",IF(Table1[[#This Row],[Days on Market]]&lt;= 90,"Average", "Slow"))</f>
        <v>Slow</v>
      </c>
      <c r="T2111" t="str">
        <f>IF(Table1[[#This Row],[Price2]]&lt;500000,"Affordable",IF(Table1[[#This Row],[Price2]]&lt;1000000,"Mid range","Luxury"))</f>
        <v>Luxury</v>
      </c>
    </row>
    <row r="2112" spans="1:20" x14ac:dyDescent="0.35">
      <c r="A2112" s="3">
        <v>1092255</v>
      </c>
      <c r="B2112" s="2" t="s">
        <v>12</v>
      </c>
      <c r="C2112">
        <v>31872</v>
      </c>
      <c r="D2112" s="2" t="s">
        <v>29</v>
      </c>
      <c r="E2112">
        <v>6</v>
      </c>
      <c r="F2112">
        <v>1</v>
      </c>
      <c r="G2112" s="4">
        <f>VALUE(SUBSTITUTE(SUBSTITUTE(Table1[[#This Row],[Price]],"$",""),",",""))</f>
        <v>1092255</v>
      </c>
      <c r="H2112" s="1">
        <f>Table1[[#This Row],[Price2]]/Table1[[#This Row],[Area]]</f>
        <v>1092.2550000000001</v>
      </c>
      <c r="I2112">
        <v>1000</v>
      </c>
      <c r="J2112">
        <v>2008</v>
      </c>
      <c r="K2112">
        <v>104</v>
      </c>
      <c r="L2112" t="s">
        <v>30</v>
      </c>
      <c r="M2112" t="s">
        <v>2251</v>
      </c>
      <c r="N2112" s="2" t="s">
        <v>3027</v>
      </c>
      <c r="O2112" t="s">
        <v>3028</v>
      </c>
      <c r="P2112" t="s">
        <v>16</v>
      </c>
      <c r="Q2112">
        <v>1092.2550000000001</v>
      </c>
      <c r="R2112">
        <f ca="1">YEAR(TODAY())-Table1[[#This Row],[Year Built]]</f>
        <v>18</v>
      </c>
      <c r="S2112" t="str">
        <f>IF(Table1[[#This Row],[Days on Market]] &lt; 30,"Fast",IF(Table1[[#This Row],[Days on Market]]&lt;= 90,"Average", "Slow"))</f>
        <v>Slow</v>
      </c>
      <c r="T2112" t="str">
        <f>IF(Table1[[#This Row],[Price2]]&lt;500000,"Affordable",IF(Table1[[#This Row],[Price2]]&lt;1000000,"Mid range","Luxury"))</f>
        <v>Luxury</v>
      </c>
    </row>
    <row r="2113" spans="1:20" x14ac:dyDescent="0.35">
      <c r="A2113" s="3">
        <v>1092879</v>
      </c>
      <c r="B2113" s="2" t="s">
        <v>27</v>
      </c>
      <c r="C2113">
        <v>96529</v>
      </c>
      <c r="D2113" s="2" t="s">
        <v>29</v>
      </c>
      <c r="E2113">
        <v>1</v>
      </c>
      <c r="F2113">
        <v>4</v>
      </c>
      <c r="G2113" s="4">
        <f>VALUE(SUBSTITUTE(SUBSTITUTE(Table1[[#This Row],[Price]],"$",""),",",""))</f>
        <v>1092879</v>
      </c>
      <c r="H2113" s="1">
        <f>Table1[[#This Row],[Price2]]/Table1[[#This Row],[Area]]</f>
        <v>436.10494812450122</v>
      </c>
      <c r="I2113">
        <v>2506</v>
      </c>
      <c r="J2113">
        <v>1973</v>
      </c>
      <c r="K2113">
        <v>104</v>
      </c>
      <c r="L2113" t="s">
        <v>40</v>
      </c>
      <c r="M2113" t="s">
        <v>398</v>
      </c>
      <c r="N2113" s="2" t="s">
        <v>3031</v>
      </c>
      <c r="O2113" t="s">
        <v>3032</v>
      </c>
      <c r="P2113" t="s">
        <v>26</v>
      </c>
      <c r="Q2113">
        <v>436.10494812450122</v>
      </c>
      <c r="R2113">
        <f ca="1">YEAR(TODAY())-Table1[[#This Row],[Year Built]]</f>
        <v>53</v>
      </c>
      <c r="S2113" t="str">
        <f>IF(Table1[[#This Row],[Days on Market]] &lt; 30,"Fast",IF(Table1[[#This Row],[Days on Market]]&lt;= 90,"Average", "Slow"))</f>
        <v>Slow</v>
      </c>
      <c r="T2113" t="str">
        <f>IF(Table1[[#This Row],[Price2]]&lt;500000,"Affordable",IF(Table1[[#This Row],[Price2]]&lt;1000000,"Mid range","Luxury"))</f>
        <v>Luxury</v>
      </c>
    </row>
    <row r="2114" spans="1:20" x14ac:dyDescent="0.35">
      <c r="A2114" s="3">
        <v>1093409</v>
      </c>
      <c r="B2114" s="2" t="s">
        <v>17</v>
      </c>
      <c r="C2114">
        <v>17323</v>
      </c>
      <c r="D2114" s="2" t="s">
        <v>18</v>
      </c>
      <c r="E2114">
        <v>2</v>
      </c>
      <c r="F2114">
        <v>1</v>
      </c>
      <c r="G2114" s="4">
        <f>VALUE(SUBSTITUTE(SUBSTITUTE(Table1[[#This Row],[Price]],"$",""),",",""))</f>
        <v>1093409</v>
      </c>
      <c r="H2114" s="1">
        <f>Table1[[#This Row],[Price2]]/Table1[[#This Row],[Area]]</f>
        <v>509.98554104477614</v>
      </c>
      <c r="I2114">
        <v>2144</v>
      </c>
      <c r="J2114">
        <v>1996</v>
      </c>
      <c r="K2114">
        <v>102</v>
      </c>
      <c r="L2114" t="s">
        <v>30</v>
      </c>
      <c r="M2114" t="s">
        <v>628</v>
      </c>
      <c r="N2114" s="2" t="s">
        <v>3027</v>
      </c>
      <c r="O2114" t="s">
        <v>3028</v>
      </c>
      <c r="P2114" t="s">
        <v>21</v>
      </c>
      <c r="Q2114">
        <v>509.98554104477614</v>
      </c>
      <c r="R2114">
        <f ca="1">YEAR(TODAY())-Table1[[#This Row],[Year Built]]</f>
        <v>30</v>
      </c>
      <c r="S2114" t="str">
        <f>IF(Table1[[#This Row],[Days on Market]] &lt; 30,"Fast",IF(Table1[[#This Row],[Days on Market]]&lt;= 90,"Average", "Slow"))</f>
        <v>Slow</v>
      </c>
      <c r="T2114" t="str">
        <f>IF(Table1[[#This Row],[Price2]]&lt;500000,"Affordable",IF(Table1[[#This Row],[Price2]]&lt;1000000,"Mid range","Luxury"))</f>
        <v>Luxury</v>
      </c>
    </row>
    <row r="2115" spans="1:20" x14ac:dyDescent="0.35">
      <c r="A2115" s="3">
        <v>1093419</v>
      </c>
      <c r="B2115" s="2" t="s">
        <v>27</v>
      </c>
      <c r="C2115">
        <v>16323</v>
      </c>
      <c r="D2115" s="2" t="s">
        <v>13</v>
      </c>
      <c r="E2115">
        <v>4</v>
      </c>
      <c r="F2115">
        <v>2</v>
      </c>
      <c r="G2115" s="4">
        <f>VALUE(SUBSTITUTE(SUBSTITUTE(Table1[[#This Row],[Price]],"$",""),",",""))</f>
        <v>1093419</v>
      </c>
      <c r="H2115" s="1">
        <f>Table1[[#This Row],[Price2]]/Table1[[#This Row],[Area]]</f>
        <v>1192.3871319520174</v>
      </c>
      <c r="I2115">
        <v>917</v>
      </c>
      <c r="J2115">
        <v>1952</v>
      </c>
      <c r="K2115">
        <v>49</v>
      </c>
      <c r="L2115" t="s">
        <v>14</v>
      </c>
      <c r="M2115" t="s">
        <v>2842</v>
      </c>
      <c r="N2115" s="2" t="s">
        <v>3027</v>
      </c>
      <c r="O2115" t="s">
        <v>3028</v>
      </c>
      <c r="P2115" t="s">
        <v>16</v>
      </c>
      <c r="Q2115">
        <v>1192.3871319520174</v>
      </c>
      <c r="R2115">
        <f ca="1">YEAR(TODAY())-Table1[[#This Row],[Year Built]]</f>
        <v>74</v>
      </c>
      <c r="S2115" t="str">
        <f>IF(Table1[[#This Row],[Days on Market]] &lt; 30,"Fast",IF(Table1[[#This Row],[Days on Market]]&lt;= 90,"Average", "Slow"))</f>
        <v>Average</v>
      </c>
      <c r="T2115" t="str">
        <f>IF(Table1[[#This Row],[Price2]]&lt;500000,"Affordable",IF(Table1[[#This Row],[Price2]]&lt;1000000,"Mid range","Luxury"))</f>
        <v>Luxury</v>
      </c>
    </row>
    <row r="2116" spans="1:20" x14ac:dyDescent="0.35">
      <c r="A2116" s="3">
        <v>1093528</v>
      </c>
      <c r="B2116" s="2" t="s">
        <v>12</v>
      </c>
      <c r="C2116">
        <v>14756</v>
      </c>
      <c r="D2116" s="2" t="s">
        <v>35</v>
      </c>
      <c r="E2116">
        <v>2</v>
      </c>
      <c r="F2116">
        <v>3</v>
      </c>
      <c r="G2116" s="4">
        <f>VALUE(SUBSTITUTE(SUBSTITUTE(Table1[[#This Row],[Price]],"$",""),",",""))</f>
        <v>1093528</v>
      </c>
      <c r="H2116" s="1">
        <f>Table1[[#This Row],[Price2]]/Table1[[#This Row],[Area]]</f>
        <v>710.08311688311687</v>
      </c>
      <c r="I2116">
        <v>1540</v>
      </c>
      <c r="J2116">
        <v>1960</v>
      </c>
      <c r="K2116">
        <v>38</v>
      </c>
      <c r="L2116" t="s">
        <v>30</v>
      </c>
      <c r="M2116" t="s">
        <v>2514</v>
      </c>
      <c r="N2116" s="2" t="s">
        <v>3033</v>
      </c>
      <c r="O2116" t="s">
        <v>3034</v>
      </c>
      <c r="P2116" t="s">
        <v>16</v>
      </c>
      <c r="Q2116">
        <v>710.08311688311687</v>
      </c>
      <c r="R2116">
        <f ca="1">YEAR(TODAY())-Table1[[#This Row],[Year Built]]</f>
        <v>66</v>
      </c>
      <c r="S2116" t="str">
        <f>IF(Table1[[#This Row],[Days on Market]] &lt; 30,"Fast",IF(Table1[[#This Row],[Days on Market]]&lt;= 90,"Average", "Slow"))</f>
        <v>Average</v>
      </c>
      <c r="T2116" t="str">
        <f>IF(Table1[[#This Row],[Price2]]&lt;500000,"Affordable",IF(Table1[[#This Row],[Price2]]&lt;1000000,"Mid range","Luxury"))</f>
        <v>Luxury</v>
      </c>
    </row>
    <row r="2117" spans="1:20" x14ac:dyDescent="0.35">
      <c r="A2117" s="3">
        <v>1093748</v>
      </c>
      <c r="B2117" s="2" t="s">
        <v>27</v>
      </c>
      <c r="C2117">
        <v>81118</v>
      </c>
      <c r="D2117" s="2" t="s">
        <v>29</v>
      </c>
      <c r="E2117">
        <v>5</v>
      </c>
      <c r="F2117">
        <v>1</v>
      </c>
      <c r="G2117" s="4">
        <f>VALUE(SUBSTITUTE(SUBSTITUTE(Table1[[#This Row],[Price]],"$",""),",",""))</f>
        <v>1093748</v>
      </c>
      <c r="H2117" s="1">
        <f>Table1[[#This Row],[Price2]]/Table1[[#This Row],[Area]]</f>
        <v>295.60756756756757</v>
      </c>
      <c r="I2117">
        <v>3700</v>
      </c>
      <c r="J2117">
        <v>1965</v>
      </c>
      <c r="K2117">
        <v>8</v>
      </c>
      <c r="L2117" t="s">
        <v>40</v>
      </c>
      <c r="M2117" t="s">
        <v>2897</v>
      </c>
      <c r="N2117" s="2" t="s">
        <v>3031</v>
      </c>
      <c r="O2117" t="s">
        <v>3032</v>
      </c>
      <c r="P2117" t="s">
        <v>16</v>
      </c>
      <c r="Q2117">
        <v>295.60756756756757</v>
      </c>
      <c r="R2117">
        <f ca="1">YEAR(TODAY())-Table1[[#This Row],[Year Built]]</f>
        <v>61</v>
      </c>
      <c r="S2117" t="str">
        <f>IF(Table1[[#This Row],[Days on Market]] &lt; 30,"Fast",IF(Table1[[#This Row],[Days on Market]]&lt;= 90,"Average", "Slow"))</f>
        <v>Fast</v>
      </c>
      <c r="T2117" t="str">
        <f>IF(Table1[[#This Row],[Price2]]&lt;500000,"Affordable",IF(Table1[[#This Row],[Price2]]&lt;1000000,"Mid range","Luxury"))</f>
        <v>Luxury</v>
      </c>
    </row>
    <row r="2118" spans="1:20" x14ac:dyDescent="0.35">
      <c r="A2118" s="3">
        <v>1094698</v>
      </c>
      <c r="B2118" s="2" t="s">
        <v>17</v>
      </c>
      <c r="C2118">
        <v>21097</v>
      </c>
      <c r="D2118" s="2" t="s">
        <v>13</v>
      </c>
      <c r="E2118">
        <v>4</v>
      </c>
      <c r="F2118">
        <v>4</v>
      </c>
      <c r="G2118" s="4">
        <f>VALUE(SUBSTITUTE(SUBSTITUTE(Table1[[#This Row],[Price]],"$",""),",",""))</f>
        <v>1094698</v>
      </c>
      <c r="H2118" s="1">
        <f>Table1[[#This Row],[Price2]]/Table1[[#This Row],[Area]]</f>
        <v>710.84285714285716</v>
      </c>
      <c r="I2118">
        <v>1540</v>
      </c>
      <c r="J2118">
        <v>2017</v>
      </c>
      <c r="K2118">
        <v>47</v>
      </c>
      <c r="L2118" t="s">
        <v>52</v>
      </c>
      <c r="M2118" t="s">
        <v>2156</v>
      </c>
      <c r="N2118" s="2" t="s">
        <v>3027</v>
      </c>
      <c r="O2118" t="s">
        <v>3028</v>
      </c>
      <c r="P2118" t="s">
        <v>26</v>
      </c>
      <c r="Q2118">
        <v>710.84285714285716</v>
      </c>
      <c r="R2118">
        <f ca="1">YEAR(TODAY())-Table1[[#This Row],[Year Built]]</f>
        <v>9</v>
      </c>
      <c r="S2118" t="str">
        <f>IF(Table1[[#This Row],[Days on Market]] &lt; 30,"Fast",IF(Table1[[#This Row],[Days on Market]]&lt;= 90,"Average", "Slow"))</f>
        <v>Average</v>
      </c>
      <c r="T2118" t="str">
        <f>IF(Table1[[#This Row],[Price2]]&lt;500000,"Affordable",IF(Table1[[#This Row],[Price2]]&lt;1000000,"Mid range","Luxury"))</f>
        <v>Luxury</v>
      </c>
    </row>
    <row r="2119" spans="1:20" x14ac:dyDescent="0.35">
      <c r="A2119" s="3">
        <v>1095371</v>
      </c>
      <c r="B2119" s="2" t="s">
        <v>27</v>
      </c>
      <c r="C2119">
        <v>54519</v>
      </c>
      <c r="D2119" s="2" t="s">
        <v>29</v>
      </c>
      <c r="E2119">
        <v>2</v>
      </c>
      <c r="F2119">
        <v>2</v>
      </c>
      <c r="G2119" s="4">
        <f>VALUE(SUBSTITUTE(SUBSTITUTE(Table1[[#This Row],[Price]],"$",""),",",""))</f>
        <v>1095371</v>
      </c>
      <c r="H2119" s="1">
        <f>Table1[[#This Row],[Price2]]/Table1[[#This Row],[Area]]</f>
        <v>757.51798063623789</v>
      </c>
      <c r="I2119">
        <v>1446</v>
      </c>
      <c r="J2119">
        <v>1982</v>
      </c>
      <c r="K2119">
        <v>31</v>
      </c>
      <c r="L2119" t="s">
        <v>19</v>
      </c>
      <c r="M2119" t="s">
        <v>1707</v>
      </c>
      <c r="N2119" s="2" t="s">
        <v>3035</v>
      </c>
      <c r="O2119" t="s">
        <v>3036</v>
      </c>
      <c r="P2119" t="s">
        <v>21</v>
      </c>
      <c r="Q2119">
        <v>757.51798063623789</v>
      </c>
      <c r="R2119">
        <f ca="1">YEAR(TODAY())-Table1[[#This Row],[Year Built]]</f>
        <v>44</v>
      </c>
      <c r="S2119" t="str">
        <f>IF(Table1[[#This Row],[Days on Market]] &lt; 30,"Fast",IF(Table1[[#This Row],[Days on Market]]&lt;= 90,"Average", "Slow"))</f>
        <v>Average</v>
      </c>
      <c r="T2119" t="str">
        <f>IF(Table1[[#This Row],[Price2]]&lt;500000,"Affordable",IF(Table1[[#This Row],[Price2]]&lt;1000000,"Mid range","Luxury"))</f>
        <v>Luxury</v>
      </c>
    </row>
    <row r="2120" spans="1:20" x14ac:dyDescent="0.35">
      <c r="A2120" s="3">
        <v>1095500</v>
      </c>
      <c r="B2120" s="2" t="s">
        <v>34</v>
      </c>
      <c r="C2120">
        <v>95757</v>
      </c>
      <c r="D2120" s="2" t="s">
        <v>23</v>
      </c>
      <c r="E2120">
        <v>2</v>
      </c>
      <c r="F2120">
        <v>3</v>
      </c>
      <c r="G2120" s="4">
        <f>VALUE(SUBSTITUTE(SUBSTITUTE(Table1[[#This Row],[Price]],"$",""),",",""))</f>
        <v>1095500</v>
      </c>
      <c r="H2120" s="1">
        <f>Table1[[#This Row],[Price2]]/Table1[[#This Row],[Area]]</f>
        <v>969.46902654867256</v>
      </c>
      <c r="I2120">
        <v>1130</v>
      </c>
      <c r="J2120">
        <v>2018</v>
      </c>
      <c r="K2120">
        <v>118</v>
      </c>
      <c r="L2120" t="s">
        <v>30</v>
      </c>
      <c r="M2120" t="s">
        <v>1130</v>
      </c>
      <c r="N2120" s="2" t="s">
        <v>3035</v>
      </c>
      <c r="O2120" t="s">
        <v>3036</v>
      </c>
      <c r="P2120" t="s">
        <v>21</v>
      </c>
      <c r="Q2120">
        <v>969.46902654867256</v>
      </c>
      <c r="R2120">
        <f ca="1">YEAR(TODAY())-Table1[[#This Row],[Year Built]]</f>
        <v>8</v>
      </c>
      <c r="S2120" t="str">
        <f>IF(Table1[[#This Row],[Days on Market]] &lt; 30,"Fast",IF(Table1[[#This Row],[Days on Market]]&lt;= 90,"Average", "Slow"))</f>
        <v>Slow</v>
      </c>
      <c r="T2120" t="str">
        <f>IF(Table1[[#This Row],[Price2]]&lt;500000,"Affordable",IF(Table1[[#This Row],[Price2]]&lt;1000000,"Mid range","Luxury"))</f>
        <v>Luxury</v>
      </c>
    </row>
    <row r="2121" spans="1:20" x14ac:dyDescent="0.35">
      <c r="A2121" s="3">
        <v>1095716</v>
      </c>
      <c r="B2121" s="2" t="s">
        <v>22</v>
      </c>
      <c r="C2121">
        <v>52087</v>
      </c>
      <c r="D2121" s="2" t="s">
        <v>13</v>
      </c>
      <c r="E2121">
        <v>4</v>
      </c>
      <c r="F2121">
        <v>1</v>
      </c>
      <c r="G2121" s="4">
        <f>VALUE(SUBSTITUTE(SUBSTITUTE(Table1[[#This Row],[Price]],"$",""),",",""))</f>
        <v>1095716</v>
      </c>
      <c r="H2121" s="1">
        <f>Table1[[#This Row],[Price2]]/Table1[[#This Row],[Area]]</f>
        <v>742.35501355013548</v>
      </c>
      <c r="I2121">
        <v>1476</v>
      </c>
      <c r="J2121">
        <v>2000</v>
      </c>
      <c r="K2121">
        <v>22</v>
      </c>
      <c r="L2121" t="s">
        <v>19</v>
      </c>
      <c r="M2121" t="s">
        <v>2160</v>
      </c>
      <c r="N2121" s="2" t="s">
        <v>3035</v>
      </c>
      <c r="O2121" t="s">
        <v>3036</v>
      </c>
      <c r="P2121" t="s">
        <v>21</v>
      </c>
      <c r="Q2121">
        <v>742.35501355013548</v>
      </c>
      <c r="R2121">
        <f ca="1">YEAR(TODAY())-Table1[[#This Row],[Year Built]]</f>
        <v>26</v>
      </c>
      <c r="S2121" t="str">
        <f>IF(Table1[[#This Row],[Days on Market]] &lt; 30,"Fast",IF(Table1[[#This Row],[Days on Market]]&lt;= 90,"Average", "Slow"))</f>
        <v>Fast</v>
      </c>
      <c r="T2121" t="str">
        <f>IF(Table1[[#This Row],[Price2]]&lt;500000,"Affordable",IF(Table1[[#This Row],[Price2]]&lt;1000000,"Mid range","Luxury"))</f>
        <v>Luxury</v>
      </c>
    </row>
    <row r="2122" spans="1:20" x14ac:dyDescent="0.35">
      <c r="A2122" s="3">
        <v>1096197</v>
      </c>
      <c r="B2122" s="2" t="s">
        <v>12</v>
      </c>
      <c r="C2122">
        <v>54933</v>
      </c>
      <c r="D2122" s="2" t="s">
        <v>35</v>
      </c>
      <c r="E2122">
        <v>5</v>
      </c>
      <c r="F2122">
        <v>3</v>
      </c>
      <c r="G2122" s="4">
        <f>VALUE(SUBSTITUTE(SUBSTITUTE(Table1[[#This Row],[Price]],"$",""),",",""))</f>
        <v>1096197</v>
      </c>
      <c r="H2122" s="1">
        <f>Table1[[#This Row],[Price2]]/Table1[[#This Row],[Area]]</f>
        <v>550.0235825388861</v>
      </c>
      <c r="I2122">
        <v>1993</v>
      </c>
      <c r="J2122">
        <v>1951</v>
      </c>
      <c r="K2122">
        <v>77</v>
      </c>
      <c r="L2122" t="s">
        <v>40</v>
      </c>
      <c r="M2122" t="s">
        <v>814</v>
      </c>
      <c r="N2122" s="2" t="s">
        <v>3035</v>
      </c>
      <c r="O2122" t="s">
        <v>3036</v>
      </c>
      <c r="P2122" t="s">
        <v>21</v>
      </c>
      <c r="Q2122">
        <v>550.0235825388861</v>
      </c>
      <c r="R2122">
        <f ca="1">YEAR(TODAY())-Table1[[#This Row],[Year Built]]</f>
        <v>75</v>
      </c>
      <c r="S2122" t="str">
        <f>IF(Table1[[#This Row],[Days on Market]] &lt; 30,"Fast",IF(Table1[[#This Row],[Days on Market]]&lt;= 90,"Average", "Slow"))</f>
        <v>Average</v>
      </c>
      <c r="T2122" t="str">
        <f>IF(Table1[[#This Row],[Price2]]&lt;500000,"Affordable",IF(Table1[[#This Row],[Price2]]&lt;1000000,"Mid range","Luxury"))</f>
        <v>Luxury</v>
      </c>
    </row>
    <row r="2123" spans="1:20" x14ac:dyDescent="0.35">
      <c r="A2123" s="3">
        <v>1097241</v>
      </c>
      <c r="B2123" s="2" t="s">
        <v>27</v>
      </c>
      <c r="C2123">
        <v>29157</v>
      </c>
      <c r="D2123" s="2" t="s">
        <v>13</v>
      </c>
      <c r="E2123">
        <v>3</v>
      </c>
      <c r="F2123">
        <v>1</v>
      </c>
      <c r="G2123" s="4">
        <f>VALUE(SUBSTITUTE(SUBSTITUTE(Table1[[#This Row],[Price]],"$",""),",",""))</f>
        <v>1097241</v>
      </c>
      <c r="H2123" s="1">
        <f>Table1[[#This Row],[Price2]]/Table1[[#This Row],[Area]]</f>
        <v>558.10834181078337</v>
      </c>
      <c r="I2123">
        <v>1966</v>
      </c>
      <c r="J2123">
        <v>1970</v>
      </c>
      <c r="K2123">
        <v>15</v>
      </c>
      <c r="L2123" t="s">
        <v>30</v>
      </c>
      <c r="M2123" t="s">
        <v>2784</v>
      </c>
      <c r="N2123" s="2" t="s">
        <v>3035</v>
      </c>
      <c r="O2123" t="s">
        <v>3036</v>
      </c>
      <c r="P2123" t="s">
        <v>21</v>
      </c>
      <c r="Q2123">
        <v>558.10834181078337</v>
      </c>
      <c r="R2123">
        <f ca="1">YEAR(TODAY())-Table1[[#This Row],[Year Built]]</f>
        <v>56</v>
      </c>
      <c r="S2123" t="str">
        <f>IF(Table1[[#This Row],[Days on Market]] &lt; 30,"Fast",IF(Table1[[#This Row],[Days on Market]]&lt;= 90,"Average", "Slow"))</f>
        <v>Fast</v>
      </c>
      <c r="T2123" t="str">
        <f>IF(Table1[[#This Row],[Price2]]&lt;500000,"Affordable",IF(Table1[[#This Row],[Price2]]&lt;1000000,"Mid range","Luxury"))</f>
        <v>Luxury</v>
      </c>
    </row>
    <row r="2124" spans="1:20" x14ac:dyDescent="0.35">
      <c r="A2124" s="3">
        <v>1097319</v>
      </c>
      <c r="B2124" s="2" t="s">
        <v>22</v>
      </c>
      <c r="C2124">
        <v>48149</v>
      </c>
      <c r="D2124" s="2" t="s">
        <v>35</v>
      </c>
      <c r="E2124">
        <v>4</v>
      </c>
      <c r="F2124">
        <v>2</v>
      </c>
      <c r="G2124" s="4">
        <f>VALUE(SUBSTITUTE(SUBSTITUTE(Table1[[#This Row],[Price]],"$",""),",",""))</f>
        <v>1097319</v>
      </c>
      <c r="H2124" s="1">
        <f>Table1[[#This Row],[Price2]]/Table1[[#This Row],[Area]]</f>
        <v>279.00305110602591</v>
      </c>
      <c r="I2124">
        <v>3933</v>
      </c>
      <c r="J2124">
        <v>1976</v>
      </c>
      <c r="K2124">
        <v>58</v>
      </c>
      <c r="L2124" t="s">
        <v>40</v>
      </c>
      <c r="M2124" t="s">
        <v>1106</v>
      </c>
      <c r="N2124" s="2" t="s">
        <v>3033</v>
      </c>
      <c r="O2124" t="s">
        <v>3034</v>
      </c>
      <c r="P2124" t="s">
        <v>21</v>
      </c>
      <c r="Q2124">
        <v>279.00305110602591</v>
      </c>
      <c r="R2124">
        <f ca="1">YEAR(TODAY())-Table1[[#This Row],[Year Built]]</f>
        <v>50</v>
      </c>
      <c r="S2124" t="str">
        <f>IF(Table1[[#This Row],[Days on Market]] &lt; 30,"Fast",IF(Table1[[#This Row],[Days on Market]]&lt;= 90,"Average", "Slow"))</f>
        <v>Average</v>
      </c>
      <c r="T2124" t="str">
        <f>IF(Table1[[#This Row],[Price2]]&lt;500000,"Affordable",IF(Table1[[#This Row],[Price2]]&lt;1000000,"Mid range","Luxury"))</f>
        <v>Luxury</v>
      </c>
    </row>
    <row r="2125" spans="1:20" x14ac:dyDescent="0.35">
      <c r="A2125" s="3">
        <v>1098610</v>
      </c>
      <c r="B2125" s="2" t="s">
        <v>27</v>
      </c>
      <c r="C2125">
        <v>29741</v>
      </c>
      <c r="D2125" s="2" t="s">
        <v>18</v>
      </c>
      <c r="E2125">
        <v>6</v>
      </c>
      <c r="F2125">
        <v>1</v>
      </c>
      <c r="G2125" s="4">
        <f>VALUE(SUBSTITUTE(SUBSTITUTE(Table1[[#This Row],[Price]],"$",""),",",""))</f>
        <v>1098610</v>
      </c>
      <c r="H2125" s="1">
        <f>Table1[[#This Row],[Price2]]/Table1[[#This Row],[Area]]</f>
        <v>1117.6093591047813</v>
      </c>
      <c r="I2125">
        <v>983</v>
      </c>
      <c r="J2125">
        <v>1979</v>
      </c>
      <c r="K2125">
        <v>98</v>
      </c>
      <c r="L2125" t="s">
        <v>40</v>
      </c>
      <c r="M2125" t="s">
        <v>1211</v>
      </c>
      <c r="N2125" s="2" t="s">
        <v>3031</v>
      </c>
      <c r="O2125" t="s">
        <v>3032</v>
      </c>
      <c r="P2125" t="s">
        <v>26</v>
      </c>
      <c r="Q2125">
        <v>1117.6093591047813</v>
      </c>
      <c r="R2125">
        <f ca="1">YEAR(TODAY())-Table1[[#This Row],[Year Built]]</f>
        <v>47</v>
      </c>
      <c r="S2125" t="str">
        <f>IF(Table1[[#This Row],[Days on Market]] &lt; 30,"Fast",IF(Table1[[#This Row],[Days on Market]]&lt;= 90,"Average", "Slow"))</f>
        <v>Slow</v>
      </c>
      <c r="T2125" t="str">
        <f>IF(Table1[[#This Row],[Price2]]&lt;500000,"Affordable",IF(Table1[[#This Row],[Price2]]&lt;1000000,"Mid range","Luxury"))</f>
        <v>Luxury</v>
      </c>
    </row>
    <row r="2126" spans="1:20" x14ac:dyDescent="0.35">
      <c r="A2126" s="3">
        <v>1099602</v>
      </c>
      <c r="B2126" s="2" t="s">
        <v>22</v>
      </c>
      <c r="C2126">
        <v>18166</v>
      </c>
      <c r="D2126" s="2" t="s">
        <v>29</v>
      </c>
      <c r="E2126">
        <v>6</v>
      </c>
      <c r="F2126">
        <v>1</v>
      </c>
      <c r="G2126" s="4">
        <f>VALUE(SUBSTITUTE(SUBSTITUTE(Table1[[#This Row],[Price]],"$",""),",",""))</f>
        <v>1099602</v>
      </c>
      <c r="H2126" s="1">
        <f>Table1[[#This Row],[Price2]]/Table1[[#This Row],[Area]]</f>
        <v>754.70281400137264</v>
      </c>
      <c r="I2126">
        <v>1457</v>
      </c>
      <c r="J2126">
        <v>2014</v>
      </c>
      <c r="K2126">
        <v>18</v>
      </c>
      <c r="L2126" t="s">
        <v>19</v>
      </c>
      <c r="M2126" t="s">
        <v>1831</v>
      </c>
      <c r="N2126" s="2" t="s">
        <v>3033</v>
      </c>
      <c r="O2126" t="s">
        <v>3034</v>
      </c>
      <c r="P2126" t="s">
        <v>16</v>
      </c>
      <c r="Q2126">
        <v>754.70281400137264</v>
      </c>
      <c r="R2126">
        <f ca="1">YEAR(TODAY())-Table1[[#This Row],[Year Built]]</f>
        <v>12</v>
      </c>
      <c r="S2126" t="str">
        <f>IF(Table1[[#This Row],[Days on Market]] &lt; 30,"Fast",IF(Table1[[#This Row],[Days on Market]]&lt;= 90,"Average", "Slow"))</f>
        <v>Fast</v>
      </c>
      <c r="T2126" t="str">
        <f>IF(Table1[[#This Row],[Price2]]&lt;500000,"Affordable",IF(Table1[[#This Row],[Price2]]&lt;1000000,"Mid range","Luxury"))</f>
        <v>Luxury</v>
      </c>
    </row>
    <row r="2127" spans="1:20" x14ac:dyDescent="0.35">
      <c r="A2127" s="3">
        <v>1099863</v>
      </c>
      <c r="B2127" s="2" t="s">
        <v>17</v>
      </c>
      <c r="C2127">
        <v>77711</v>
      </c>
      <c r="D2127" s="2" t="s">
        <v>35</v>
      </c>
      <c r="E2127">
        <v>5</v>
      </c>
      <c r="F2127">
        <v>1</v>
      </c>
      <c r="G2127" s="4">
        <f>VALUE(SUBSTITUTE(SUBSTITUTE(Table1[[#This Row],[Price]],"$",""),",",""))</f>
        <v>1099863</v>
      </c>
      <c r="H2127" s="1">
        <f>Table1[[#This Row],[Price2]]/Table1[[#This Row],[Area]]</f>
        <v>495.65705272645334</v>
      </c>
      <c r="I2127">
        <v>2219</v>
      </c>
      <c r="J2127">
        <v>2001</v>
      </c>
      <c r="K2127">
        <v>106</v>
      </c>
      <c r="L2127" t="s">
        <v>19</v>
      </c>
      <c r="M2127" t="s">
        <v>2893</v>
      </c>
      <c r="N2127" s="2" t="s">
        <v>3031</v>
      </c>
      <c r="O2127" t="s">
        <v>3032</v>
      </c>
      <c r="P2127" t="s">
        <v>16</v>
      </c>
      <c r="Q2127">
        <v>495.65705272645334</v>
      </c>
      <c r="R2127">
        <f ca="1">YEAR(TODAY())-Table1[[#This Row],[Year Built]]</f>
        <v>25</v>
      </c>
      <c r="S2127" t="str">
        <f>IF(Table1[[#This Row],[Days on Market]] &lt; 30,"Fast",IF(Table1[[#This Row],[Days on Market]]&lt;= 90,"Average", "Slow"))</f>
        <v>Slow</v>
      </c>
      <c r="T2127" t="str">
        <f>IF(Table1[[#This Row],[Price2]]&lt;500000,"Affordable",IF(Table1[[#This Row],[Price2]]&lt;1000000,"Mid range","Luxury"))</f>
        <v>Luxury</v>
      </c>
    </row>
    <row r="2128" spans="1:20" x14ac:dyDescent="0.35">
      <c r="A2128" s="3">
        <v>1100894</v>
      </c>
      <c r="B2128" s="2" t="s">
        <v>12</v>
      </c>
      <c r="C2128">
        <v>59136</v>
      </c>
      <c r="D2128" s="2" t="s">
        <v>29</v>
      </c>
      <c r="E2128">
        <v>6</v>
      </c>
      <c r="F2128">
        <v>4</v>
      </c>
      <c r="G2128" s="4">
        <f>VALUE(SUBSTITUTE(SUBSTITUTE(Table1[[#This Row],[Price]],"$",""),",",""))</f>
        <v>1100894</v>
      </c>
      <c r="H2128" s="1">
        <f>Table1[[#This Row],[Price2]]/Table1[[#This Row],[Area]]</f>
        <v>632.33429063756466</v>
      </c>
      <c r="I2128">
        <v>1741</v>
      </c>
      <c r="J2128">
        <v>1970</v>
      </c>
      <c r="K2128">
        <v>86</v>
      </c>
      <c r="L2128" t="s">
        <v>19</v>
      </c>
      <c r="M2128" t="s">
        <v>134</v>
      </c>
      <c r="N2128" s="2" t="s">
        <v>3029</v>
      </c>
      <c r="O2128" t="s">
        <v>3030</v>
      </c>
      <c r="P2128" t="s">
        <v>26</v>
      </c>
      <c r="Q2128">
        <v>632.33429063756466</v>
      </c>
      <c r="R2128">
        <f ca="1">YEAR(TODAY())-Table1[[#This Row],[Year Built]]</f>
        <v>56</v>
      </c>
      <c r="S2128" t="str">
        <f>IF(Table1[[#This Row],[Days on Market]] &lt; 30,"Fast",IF(Table1[[#This Row],[Days on Market]]&lt;= 90,"Average", "Slow"))</f>
        <v>Average</v>
      </c>
      <c r="T2128" t="str">
        <f>IF(Table1[[#This Row],[Price2]]&lt;500000,"Affordable",IF(Table1[[#This Row],[Price2]]&lt;1000000,"Mid range","Luxury"))</f>
        <v>Luxury</v>
      </c>
    </row>
    <row r="2129" spans="1:20" x14ac:dyDescent="0.35">
      <c r="A2129" s="3">
        <v>1101329</v>
      </c>
      <c r="B2129" s="2" t="s">
        <v>22</v>
      </c>
      <c r="C2129">
        <v>42548</v>
      </c>
      <c r="D2129" s="2" t="s">
        <v>13</v>
      </c>
      <c r="E2129">
        <v>2</v>
      </c>
      <c r="F2129">
        <v>1</v>
      </c>
      <c r="G2129" s="4">
        <f>VALUE(SUBSTITUTE(SUBSTITUTE(Table1[[#This Row],[Price]],"$",""),",",""))</f>
        <v>1101329</v>
      </c>
      <c r="H2129" s="1">
        <f>Table1[[#This Row],[Price2]]/Table1[[#This Row],[Area]]</f>
        <v>867.87155240346726</v>
      </c>
      <c r="I2129">
        <v>1269</v>
      </c>
      <c r="J2129">
        <v>2006</v>
      </c>
      <c r="K2129">
        <v>41</v>
      </c>
      <c r="L2129" t="s">
        <v>30</v>
      </c>
      <c r="M2129" t="s">
        <v>383</v>
      </c>
      <c r="N2129" s="2" t="s">
        <v>3027</v>
      </c>
      <c r="O2129" t="s">
        <v>3028</v>
      </c>
      <c r="P2129" t="s">
        <v>16</v>
      </c>
      <c r="Q2129">
        <v>867.87155240346726</v>
      </c>
      <c r="R2129">
        <f ca="1">YEAR(TODAY())-Table1[[#This Row],[Year Built]]</f>
        <v>20</v>
      </c>
      <c r="S2129" t="str">
        <f>IF(Table1[[#This Row],[Days on Market]] &lt; 30,"Fast",IF(Table1[[#This Row],[Days on Market]]&lt;= 90,"Average", "Slow"))</f>
        <v>Average</v>
      </c>
      <c r="T2129" t="str">
        <f>IF(Table1[[#This Row],[Price2]]&lt;500000,"Affordable",IF(Table1[[#This Row],[Price2]]&lt;1000000,"Mid range","Luxury"))</f>
        <v>Luxury</v>
      </c>
    </row>
    <row r="2130" spans="1:20" x14ac:dyDescent="0.35">
      <c r="A2130" s="3">
        <v>1101382</v>
      </c>
      <c r="B2130" s="2" t="s">
        <v>17</v>
      </c>
      <c r="C2130">
        <v>85461</v>
      </c>
      <c r="D2130" s="2" t="s">
        <v>18</v>
      </c>
      <c r="E2130">
        <v>3</v>
      </c>
      <c r="F2130">
        <v>3</v>
      </c>
      <c r="G2130" s="4">
        <f>VALUE(SUBSTITUTE(SUBSTITUTE(Table1[[#This Row],[Price]],"$",""),",",""))</f>
        <v>1101382</v>
      </c>
      <c r="H2130" s="1">
        <f>Table1[[#This Row],[Price2]]/Table1[[#This Row],[Area]]</f>
        <v>461.21524288107202</v>
      </c>
      <c r="I2130">
        <v>2388</v>
      </c>
      <c r="J2130">
        <v>1981</v>
      </c>
      <c r="K2130">
        <v>46</v>
      </c>
      <c r="L2130" t="s">
        <v>19</v>
      </c>
      <c r="M2130" t="s">
        <v>2933</v>
      </c>
      <c r="N2130" s="2" t="s">
        <v>3035</v>
      </c>
      <c r="O2130" t="s">
        <v>3036</v>
      </c>
      <c r="P2130" t="s">
        <v>16</v>
      </c>
      <c r="Q2130">
        <v>461.21524288107202</v>
      </c>
      <c r="R2130">
        <f ca="1">YEAR(TODAY())-Table1[[#This Row],[Year Built]]</f>
        <v>45</v>
      </c>
      <c r="S2130" t="str">
        <f>IF(Table1[[#This Row],[Days on Market]] &lt; 30,"Fast",IF(Table1[[#This Row],[Days on Market]]&lt;= 90,"Average", "Slow"))</f>
        <v>Average</v>
      </c>
      <c r="T2130" t="str">
        <f>IF(Table1[[#This Row],[Price2]]&lt;500000,"Affordable",IF(Table1[[#This Row],[Price2]]&lt;1000000,"Mid range","Luxury"))</f>
        <v>Luxury</v>
      </c>
    </row>
    <row r="2131" spans="1:20" x14ac:dyDescent="0.35">
      <c r="A2131" s="3">
        <v>1101864</v>
      </c>
      <c r="B2131" s="2" t="s">
        <v>12</v>
      </c>
      <c r="C2131">
        <v>40512</v>
      </c>
      <c r="D2131" s="2" t="s">
        <v>13</v>
      </c>
      <c r="E2131">
        <v>2</v>
      </c>
      <c r="F2131">
        <v>1</v>
      </c>
      <c r="G2131" s="4">
        <f>VALUE(SUBSTITUTE(SUBSTITUTE(Table1[[#This Row],[Price]],"$",""),",",""))</f>
        <v>1101864</v>
      </c>
      <c r="H2131" s="1">
        <f>Table1[[#This Row],[Price2]]/Table1[[#This Row],[Area]]</f>
        <v>744</v>
      </c>
      <c r="I2131">
        <v>1481</v>
      </c>
      <c r="J2131">
        <v>1998</v>
      </c>
      <c r="K2131">
        <v>109</v>
      </c>
      <c r="L2131" t="s">
        <v>14</v>
      </c>
      <c r="M2131" t="s">
        <v>1169</v>
      </c>
      <c r="N2131" s="2" t="s">
        <v>3031</v>
      </c>
      <c r="O2131" t="s">
        <v>3032</v>
      </c>
      <c r="P2131" t="s">
        <v>16</v>
      </c>
      <c r="Q2131">
        <v>744</v>
      </c>
      <c r="R2131">
        <f ca="1">YEAR(TODAY())-Table1[[#This Row],[Year Built]]</f>
        <v>28</v>
      </c>
      <c r="S2131" t="str">
        <f>IF(Table1[[#This Row],[Days on Market]] &lt; 30,"Fast",IF(Table1[[#This Row],[Days on Market]]&lt;= 90,"Average", "Slow"))</f>
        <v>Slow</v>
      </c>
      <c r="T2131" t="str">
        <f>IF(Table1[[#This Row],[Price2]]&lt;500000,"Affordable",IF(Table1[[#This Row],[Price2]]&lt;1000000,"Mid range","Luxury"))</f>
        <v>Luxury</v>
      </c>
    </row>
    <row r="2132" spans="1:20" x14ac:dyDescent="0.35">
      <c r="A2132" s="3">
        <v>1102017</v>
      </c>
      <c r="B2132" s="2" t="s">
        <v>17</v>
      </c>
      <c r="C2132">
        <v>22468</v>
      </c>
      <c r="D2132" s="2" t="s">
        <v>29</v>
      </c>
      <c r="E2132">
        <v>2</v>
      </c>
      <c r="F2132">
        <v>1</v>
      </c>
      <c r="G2132" s="4">
        <f>VALUE(SUBSTITUTE(SUBSTITUTE(Table1[[#This Row],[Price]],"$",""),",",""))</f>
        <v>1102017</v>
      </c>
      <c r="H2132" s="1">
        <f>Table1[[#This Row],[Price2]]/Table1[[#This Row],[Area]]</f>
        <v>358.03021442495128</v>
      </c>
      <c r="I2132">
        <v>3078</v>
      </c>
      <c r="J2132">
        <v>2004</v>
      </c>
      <c r="K2132">
        <v>30</v>
      </c>
      <c r="L2132" t="s">
        <v>52</v>
      </c>
      <c r="M2132" t="s">
        <v>1567</v>
      </c>
      <c r="N2132" s="2" t="s">
        <v>3029</v>
      </c>
      <c r="O2132" t="s">
        <v>3030</v>
      </c>
      <c r="P2132" t="s">
        <v>21</v>
      </c>
      <c r="Q2132">
        <v>358.03021442495128</v>
      </c>
      <c r="R2132">
        <f ca="1">YEAR(TODAY())-Table1[[#This Row],[Year Built]]</f>
        <v>22</v>
      </c>
      <c r="S2132" t="str">
        <f>IF(Table1[[#This Row],[Days on Market]] &lt; 30,"Fast",IF(Table1[[#This Row],[Days on Market]]&lt;= 90,"Average", "Slow"))</f>
        <v>Average</v>
      </c>
      <c r="T2132" t="str">
        <f>IF(Table1[[#This Row],[Price2]]&lt;500000,"Affordable",IF(Table1[[#This Row],[Price2]]&lt;1000000,"Mid range","Luxury"))</f>
        <v>Luxury</v>
      </c>
    </row>
    <row r="2133" spans="1:20" x14ac:dyDescent="0.35">
      <c r="A2133" s="3">
        <v>1102154</v>
      </c>
      <c r="B2133" s="2" t="s">
        <v>34</v>
      </c>
      <c r="C2133">
        <v>46426</v>
      </c>
      <c r="D2133" s="2" t="s">
        <v>13</v>
      </c>
      <c r="E2133">
        <v>6</v>
      </c>
      <c r="F2133">
        <v>3</v>
      </c>
      <c r="G2133" s="4">
        <f>VALUE(SUBSTITUTE(SUBSTITUTE(Table1[[#This Row],[Price]],"$",""),",",""))</f>
        <v>1102154</v>
      </c>
      <c r="H2133" s="1">
        <f>Table1[[#This Row],[Price2]]/Table1[[#This Row],[Area]]</f>
        <v>287.24367995830073</v>
      </c>
      <c r="I2133">
        <v>3837</v>
      </c>
      <c r="J2133">
        <v>2002</v>
      </c>
      <c r="K2133">
        <v>65</v>
      </c>
      <c r="L2133" t="s">
        <v>14</v>
      </c>
      <c r="M2133" t="s">
        <v>1442</v>
      </c>
      <c r="N2133" s="2" t="s">
        <v>3027</v>
      </c>
      <c r="O2133" t="s">
        <v>3028</v>
      </c>
      <c r="P2133" t="s">
        <v>21</v>
      </c>
      <c r="Q2133">
        <v>287.24367995830073</v>
      </c>
      <c r="R2133">
        <f ca="1">YEAR(TODAY())-Table1[[#This Row],[Year Built]]</f>
        <v>24</v>
      </c>
      <c r="S2133" t="str">
        <f>IF(Table1[[#This Row],[Days on Market]] &lt; 30,"Fast",IF(Table1[[#This Row],[Days on Market]]&lt;= 90,"Average", "Slow"))</f>
        <v>Average</v>
      </c>
      <c r="T2133" t="str">
        <f>IF(Table1[[#This Row],[Price2]]&lt;500000,"Affordable",IF(Table1[[#This Row],[Price2]]&lt;1000000,"Mid range","Luxury"))</f>
        <v>Luxury</v>
      </c>
    </row>
    <row r="2134" spans="1:20" x14ac:dyDescent="0.35">
      <c r="A2134" s="3">
        <v>1102363</v>
      </c>
      <c r="B2134" s="2" t="s">
        <v>34</v>
      </c>
      <c r="C2134">
        <v>30748</v>
      </c>
      <c r="D2134" s="2" t="s">
        <v>35</v>
      </c>
      <c r="E2134">
        <v>1</v>
      </c>
      <c r="F2134">
        <v>3</v>
      </c>
      <c r="G2134" s="4">
        <f>VALUE(SUBSTITUTE(SUBSTITUTE(Table1[[#This Row],[Price]],"$",""),",",""))</f>
        <v>1102363</v>
      </c>
      <c r="H2134" s="1">
        <f>Table1[[#This Row],[Price2]]/Table1[[#This Row],[Area]]</f>
        <v>784.6</v>
      </c>
      <c r="I2134">
        <v>1405</v>
      </c>
      <c r="J2134">
        <v>2001</v>
      </c>
      <c r="K2134">
        <v>85</v>
      </c>
      <c r="L2134" t="s">
        <v>19</v>
      </c>
      <c r="M2134" t="s">
        <v>939</v>
      </c>
      <c r="N2134" s="2" t="s">
        <v>3031</v>
      </c>
      <c r="O2134" t="s">
        <v>3032</v>
      </c>
      <c r="P2134" t="s">
        <v>16</v>
      </c>
      <c r="Q2134">
        <v>784.6</v>
      </c>
      <c r="R2134">
        <f ca="1">YEAR(TODAY())-Table1[[#This Row],[Year Built]]</f>
        <v>25</v>
      </c>
      <c r="S2134" t="str">
        <f>IF(Table1[[#This Row],[Days on Market]] &lt; 30,"Fast",IF(Table1[[#This Row],[Days on Market]]&lt;= 90,"Average", "Slow"))</f>
        <v>Average</v>
      </c>
      <c r="T2134" t="str">
        <f>IF(Table1[[#This Row],[Price2]]&lt;500000,"Affordable",IF(Table1[[#This Row],[Price2]]&lt;1000000,"Mid range","Luxury"))</f>
        <v>Luxury</v>
      </c>
    </row>
    <row r="2135" spans="1:20" x14ac:dyDescent="0.35">
      <c r="A2135" s="3">
        <v>1102499</v>
      </c>
      <c r="B2135" s="2" t="s">
        <v>12</v>
      </c>
      <c r="C2135">
        <v>13222</v>
      </c>
      <c r="D2135" s="2" t="s">
        <v>18</v>
      </c>
      <c r="E2135">
        <v>6</v>
      </c>
      <c r="F2135">
        <v>4</v>
      </c>
      <c r="G2135" s="4">
        <f>VALUE(SUBSTITUTE(SUBSTITUTE(Table1[[#This Row],[Price]],"$",""),",",""))</f>
        <v>1102499</v>
      </c>
      <c r="H2135" s="1">
        <f>Table1[[#This Row],[Price2]]/Table1[[#This Row],[Area]]</f>
        <v>434.39676910953506</v>
      </c>
      <c r="I2135">
        <v>2538</v>
      </c>
      <c r="J2135">
        <v>1984</v>
      </c>
      <c r="K2135">
        <v>35</v>
      </c>
      <c r="L2135" t="s">
        <v>40</v>
      </c>
      <c r="M2135" t="s">
        <v>2162</v>
      </c>
      <c r="N2135" s="2" t="s">
        <v>3027</v>
      </c>
      <c r="O2135" t="s">
        <v>3028</v>
      </c>
      <c r="P2135" t="s">
        <v>21</v>
      </c>
      <c r="Q2135">
        <v>434.39676910953506</v>
      </c>
      <c r="R2135">
        <f ca="1">YEAR(TODAY())-Table1[[#This Row],[Year Built]]</f>
        <v>42</v>
      </c>
      <c r="S2135" t="str">
        <f>IF(Table1[[#This Row],[Days on Market]] &lt; 30,"Fast",IF(Table1[[#This Row],[Days on Market]]&lt;= 90,"Average", "Slow"))</f>
        <v>Average</v>
      </c>
      <c r="T2135" t="str">
        <f>IF(Table1[[#This Row],[Price2]]&lt;500000,"Affordable",IF(Table1[[#This Row],[Price2]]&lt;1000000,"Mid range","Luxury"))</f>
        <v>Luxury</v>
      </c>
    </row>
    <row r="2136" spans="1:20" x14ac:dyDescent="0.35">
      <c r="A2136" s="3">
        <v>1102666</v>
      </c>
      <c r="B2136" s="2" t="s">
        <v>34</v>
      </c>
      <c r="C2136">
        <v>12985</v>
      </c>
      <c r="D2136" s="2" t="s">
        <v>29</v>
      </c>
      <c r="E2136">
        <v>3</v>
      </c>
      <c r="F2136">
        <v>2</v>
      </c>
      <c r="G2136" s="4">
        <f>VALUE(SUBSTITUTE(SUBSTITUTE(Table1[[#This Row],[Price]],"$",""),",",""))</f>
        <v>1102666</v>
      </c>
      <c r="H2136" s="1">
        <f>Table1[[#This Row],[Price2]]/Table1[[#This Row],[Area]]</f>
        <v>701.44147582697201</v>
      </c>
      <c r="I2136">
        <v>1572</v>
      </c>
      <c r="J2136">
        <v>1979</v>
      </c>
      <c r="K2136">
        <v>71</v>
      </c>
      <c r="L2136" t="s">
        <v>19</v>
      </c>
      <c r="M2136" t="s">
        <v>2921</v>
      </c>
      <c r="N2136" s="2" t="s">
        <v>3033</v>
      </c>
      <c r="O2136" t="s">
        <v>3034</v>
      </c>
      <c r="P2136" t="s">
        <v>16</v>
      </c>
      <c r="Q2136">
        <v>701.44147582697201</v>
      </c>
      <c r="R2136">
        <f ca="1">YEAR(TODAY())-Table1[[#This Row],[Year Built]]</f>
        <v>47</v>
      </c>
      <c r="S2136" t="str">
        <f>IF(Table1[[#This Row],[Days on Market]] &lt; 30,"Fast",IF(Table1[[#This Row],[Days on Market]]&lt;= 90,"Average", "Slow"))</f>
        <v>Average</v>
      </c>
      <c r="T2136" t="str">
        <f>IF(Table1[[#This Row],[Price2]]&lt;500000,"Affordable",IF(Table1[[#This Row],[Price2]]&lt;1000000,"Mid range","Luxury"))</f>
        <v>Luxury</v>
      </c>
    </row>
    <row r="2137" spans="1:20" x14ac:dyDescent="0.35">
      <c r="A2137" s="3">
        <v>1103122</v>
      </c>
      <c r="B2137" s="2" t="s">
        <v>22</v>
      </c>
      <c r="C2137">
        <v>65871</v>
      </c>
      <c r="D2137" s="2" t="s">
        <v>13</v>
      </c>
      <c r="E2137">
        <v>2</v>
      </c>
      <c r="F2137">
        <v>2</v>
      </c>
      <c r="G2137" s="4">
        <f>VALUE(SUBSTITUTE(SUBSTITUTE(Table1[[#This Row],[Price]],"$",""),",",""))</f>
        <v>1103122</v>
      </c>
      <c r="H2137" s="1">
        <f>Table1[[#This Row],[Price2]]/Table1[[#This Row],[Area]]</f>
        <v>376.3636983964517</v>
      </c>
      <c r="I2137">
        <v>2931</v>
      </c>
      <c r="J2137">
        <v>1970</v>
      </c>
      <c r="K2137">
        <v>98</v>
      </c>
      <c r="L2137" t="s">
        <v>30</v>
      </c>
      <c r="M2137" t="s">
        <v>272</v>
      </c>
      <c r="N2137" s="2" t="s">
        <v>3029</v>
      </c>
      <c r="O2137" t="s">
        <v>3030</v>
      </c>
      <c r="P2137" t="s">
        <v>21</v>
      </c>
      <c r="Q2137">
        <v>376.3636983964517</v>
      </c>
      <c r="R2137">
        <f ca="1">YEAR(TODAY())-Table1[[#This Row],[Year Built]]</f>
        <v>56</v>
      </c>
      <c r="S2137" t="str">
        <f>IF(Table1[[#This Row],[Days on Market]] &lt; 30,"Fast",IF(Table1[[#This Row],[Days on Market]]&lt;= 90,"Average", "Slow"))</f>
        <v>Slow</v>
      </c>
      <c r="T2137" t="str">
        <f>IF(Table1[[#This Row],[Price2]]&lt;500000,"Affordable",IF(Table1[[#This Row],[Price2]]&lt;1000000,"Mid range","Luxury"))</f>
        <v>Luxury</v>
      </c>
    </row>
    <row r="2138" spans="1:20" x14ac:dyDescent="0.35">
      <c r="A2138" s="3">
        <v>1103146</v>
      </c>
      <c r="B2138" s="2" t="s">
        <v>12</v>
      </c>
      <c r="C2138">
        <v>14744</v>
      </c>
      <c r="D2138" s="2" t="s">
        <v>35</v>
      </c>
      <c r="E2138">
        <v>5</v>
      </c>
      <c r="F2138">
        <v>3</v>
      </c>
      <c r="G2138" s="4">
        <f>VALUE(SUBSTITUTE(SUBSTITUTE(Table1[[#This Row],[Price]],"$",""),",",""))</f>
        <v>1103146</v>
      </c>
      <c r="H2138" s="1">
        <f>Table1[[#This Row],[Price2]]/Table1[[#This Row],[Area]]</f>
        <v>694.23914411579608</v>
      </c>
      <c r="I2138">
        <v>1589</v>
      </c>
      <c r="J2138">
        <v>2019</v>
      </c>
      <c r="K2138">
        <v>50</v>
      </c>
      <c r="L2138" t="s">
        <v>14</v>
      </c>
      <c r="M2138" t="s">
        <v>1380</v>
      </c>
      <c r="N2138" s="2" t="s">
        <v>3027</v>
      </c>
      <c r="O2138" t="s">
        <v>3028</v>
      </c>
      <c r="P2138" t="s">
        <v>21</v>
      </c>
      <c r="Q2138">
        <v>694.23914411579608</v>
      </c>
      <c r="R2138">
        <f ca="1">YEAR(TODAY())-Table1[[#This Row],[Year Built]]</f>
        <v>7</v>
      </c>
      <c r="S2138" t="str">
        <f>IF(Table1[[#This Row],[Days on Market]] &lt; 30,"Fast",IF(Table1[[#This Row],[Days on Market]]&lt;= 90,"Average", "Slow"))</f>
        <v>Average</v>
      </c>
      <c r="T2138" t="str">
        <f>IF(Table1[[#This Row],[Price2]]&lt;500000,"Affordable",IF(Table1[[#This Row],[Price2]]&lt;1000000,"Mid range","Luxury"))</f>
        <v>Luxury</v>
      </c>
    </row>
    <row r="2139" spans="1:20" x14ac:dyDescent="0.35">
      <c r="A2139" s="3">
        <v>1103488</v>
      </c>
      <c r="B2139" s="2" t="s">
        <v>34</v>
      </c>
      <c r="C2139">
        <v>49247</v>
      </c>
      <c r="D2139" s="2" t="s">
        <v>35</v>
      </c>
      <c r="E2139">
        <v>1</v>
      </c>
      <c r="F2139">
        <v>2</v>
      </c>
      <c r="G2139" s="4">
        <f>VALUE(SUBSTITUTE(SUBSTITUTE(Table1[[#This Row],[Price]],"$",""),",",""))</f>
        <v>1103488</v>
      </c>
      <c r="H2139" s="1">
        <f>Table1[[#This Row],[Price2]]/Table1[[#This Row],[Area]]</f>
        <v>442.63457681508226</v>
      </c>
      <c r="I2139">
        <v>2493</v>
      </c>
      <c r="J2139">
        <v>1984</v>
      </c>
      <c r="K2139">
        <v>79</v>
      </c>
      <c r="L2139" t="s">
        <v>30</v>
      </c>
      <c r="M2139" t="s">
        <v>1101</v>
      </c>
      <c r="N2139" s="2" t="s">
        <v>3035</v>
      </c>
      <c r="O2139" t="s">
        <v>3036</v>
      </c>
      <c r="P2139" t="s">
        <v>21</v>
      </c>
      <c r="Q2139">
        <v>442.63457681508226</v>
      </c>
      <c r="R2139">
        <f ca="1">YEAR(TODAY())-Table1[[#This Row],[Year Built]]</f>
        <v>42</v>
      </c>
      <c r="S2139" t="str">
        <f>IF(Table1[[#This Row],[Days on Market]] &lt; 30,"Fast",IF(Table1[[#This Row],[Days on Market]]&lt;= 90,"Average", "Slow"))</f>
        <v>Average</v>
      </c>
      <c r="T2139" t="str">
        <f>IF(Table1[[#This Row],[Price2]]&lt;500000,"Affordable",IF(Table1[[#This Row],[Price2]]&lt;1000000,"Mid range","Luxury"))</f>
        <v>Luxury</v>
      </c>
    </row>
    <row r="2140" spans="1:20" x14ac:dyDescent="0.35">
      <c r="A2140" s="3">
        <v>1103898</v>
      </c>
      <c r="B2140" s="2" t="s">
        <v>22</v>
      </c>
      <c r="C2140">
        <v>36251</v>
      </c>
      <c r="D2140" s="2" t="s">
        <v>23</v>
      </c>
      <c r="E2140">
        <v>2</v>
      </c>
      <c r="F2140">
        <v>1</v>
      </c>
      <c r="G2140" s="4">
        <f>VALUE(SUBSTITUTE(SUBSTITUTE(Table1[[#This Row],[Price]],"$",""),",",""))</f>
        <v>1103898</v>
      </c>
      <c r="H2140" s="1">
        <f>Table1[[#This Row],[Price2]]/Table1[[#This Row],[Area]]</f>
        <v>1014.6121323529412</v>
      </c>
      <c r="I2140">
        <v>1088</v>
      </c>
      <c r="J2140">
        <v>1983</v>
      </c>
      <c r="K2140">
        <v>58</v>
      </c>
      <c r="L2140" t="s">
        <v>30</v>
      </c>
      <c r="M2140" t="s">
        <v>100</v>
      </c>
      <c r="N2140" s="2" t="s">
        <v>3033</v>
      </c>
      <c r="O2140" t="s">
        <v>3034</v>
      </c>
      <c r="P2140" t="s">
        <v>21</v>
      </c>
      <c r="Q2140">
        <v>1014.6121323529412</v>
      </c>
      <c r="R2140">
        <f ca="1">YEAR(TODAY())-Table1[[#This Row],[Year Built]]</f>
        <v>43</v>
      </c>
      <c r="S2140" t="str">
        <f>IF(Table1[[#This Row],[Days on Market]] &lt; 30,"Fast",IF(Table1[[#This Row],[Days on Market]]&lt;= 90,"Average", "Slow"))</f>
        <v>Average</v>
      </c>
      <c r="T2140" t="str">
        <f>IF(Table1[[#This Row],[Price2]]&lt;500000,"Affordable",IF(Table1[[#This Row],[Price2]]&lt;1000000,"Mid range","Luxury"))</f>
        <v>Luxury</v>
      </c>
    </row>
    <row r="2141" spans="1:20" x14ac:dyDescent="0.35">
      <c r="A2141" s="3">
        <v>1104138</v>
      </c>
      <c r="B2141" s="2" t="s">
        <v>27</v>
      </c>
      <c r="C2141">
        <v>48435</v>
      </c>
      <c r="D2141" s="2" t="s">
        <v>13</v>
      </c>
      <c r="E2141">
        <v>2</v>
      </c>
      <c r="F2141">
        <v>2</v>
      </c>
      <c r="G2141" s="4">
        <f>VALUE(SUBSTITUTE(SUBSTITUTE(Table1[[#This Row],[Price]],"$",""),",",""))</f>
        <v>1104138</v>
      </c>
      <c r="H2141" s="1">
        <f>Table1[[#This Row],[Price2]]/Table1[[#This Row],[Area]]</f>
        <v>493.80053667262968</v>
      </c>
      <c r="I2141">
        <v>2236</v>
      </c>
      <c r="J2141">
        <v>2005</v>
      </c>
      <c r="K2141">
        <v>39</v>
      </c>
      <c r="L2141" t="s">
        <v>14</v>
      </c>
      <c r="M2141" t="s">
        <v>1982</v>
      </c>
      <c r="N2141" s="2" t="s">
        <v>3033</v>
      </c>
      <c r="O2141" t="s">
        <v>3034</v>
      </c>
      <c r="P2141" t="s">
        <v>16</v>
      </c>
      <c r="Q2141">
        <v>493.80053667262968</v>
      </c>
      <c r="R2141">
        <f ca="1">YEAR(TODAY())-Table1[[#This Row],[Year Built]]</f>
        <v>21</v>
      </c>
      <c r="S2141" t="str">
        <f>IF(Table1[[#This Row],[Days on Market]] &lt; 30,"Fast",IF(Table1[[#This Row],[Days on Market]]&lt;= 90,"Average", "Slow"))</f>
        <v>Average</v>
      </c>
      <c r="T2141" t="str">
        <f>IF(Table1[[#This Row],[Price2]]&lt;500000,"Affordable",IF(Table1[[#This Row],[Price2]]&lt;1000000,"Mid range","Luxury"))</f>
        <v>Luxury</v>
      </c>
    </row>
    <row r="2142" spans="1:20" x14ac:dyDescent="0.35">
      <c r="A2142" s="3">
        <v>1105081</v>
      </c>
      <c r="B2142" s="2" t="s">
        <v>34</v>
      </c>
      <c r="C2142">
        <v>60062</v>
      </c>
      <c r="D2142" s="2" t="s">
        <v>23</v>
      </c>
      <c r="E2142">
        <v>3</v>
      </c>
      <c r="F2142">
        <v>4</v>
      </c>
      <c r="G2142" s="4">
        <f>VALUE(SUBSTITUTE(SUBSTITUTE(Table1[[#This Row],[Price]],"$",""),",",""))</f>
        <v>1105081</v>
      </c>
      <c r="H2142" s="1">
        <f>Table1[[#This Row],[Price2]]/Table1[[#This Row],[Area]]</f>
        <v>287.85647303985411</v>
      </c>
      <c r="I2142">
        <v>3839</v>
      </c>
      <c r="J2142">
        <v>2015</v>
      </c>
      <c r="K2142">
        <v>29</v>
      </c>
      <c r="L2142" t="s">
        <v>40</v>
      </c>
      <c r="M2142" t="s">
        <v>2625</v>
      </c>
      <c r="N2142" s="2" t="s">
        <v>3031</v>
      </c>
      <c r="O2142" t="s">
        <v>3032</v>
      </c>
      <c r="P2142" t="s">
        <v>16</v>
      </c>
      <c r="Q2142">
        <v>287.85647303985411</v>
      </c>
      <c r="R2142">
        <f ca="1">YEAR(TODAY())-Table1[[#This Row],[Year Built]]</f>
        <v>11</v>
      </c>
      <c r="S2142" t="str">
        <f>IF(Table1[[#This Row],[Days on Market]] &lt; 30,"Fast",IF(Table1[[#This Row],[Days on Market]]&lt;= 90,"Average", "Slow"))</f>
        <v>Fast</v>
      </c>
      <c r="T2142" t="str">
        <f>IF(Table1[[#This Row],[Price2]]&lt;500000,"Affordable",IF(Table1[[#This Row],[Price2]]&lt;1000000,"Mid range","Luxury"))</f>
        <v>Luxury</v>
      </c>
    </row>
    <row r="2143" spans="1:20" x14ac:dyDescent="0.35">
      <c r="A2143" s="3">
        <v>1105600</v>
      </c>
      <c r="B2143" s="2" t="s">
        <v>34</v>
      </c>
      <c r="C2143">
        <v>63073</v>
      </c>
      <c r="D2143" s="2" t="s">
        <v>13</v>
      </c>
      <c r="E2143">
        <v>3</v>
      </c>
      <c r="F2143">
        <v>4</v>
      </c>
      <c r="G2143" s="4">
        <f>VALUE(SUBSTITUTE(SUBSTITUTE(Table1[[#This Row],[Price]],"$",""),",",""))</f>
        <v>1105600</v>
      </c>
      <c r="H2143" s="1">
        <f>Table1[[#This Row],[Price2]]/Table1[[#This Row],[Area]]</f>
        <v>284.36213991769546</v>
      </c>
      <c r="I2143">
        <v>3888</v>
      </c>
      <c r="J2143">
        <v>1961</v>
      </c>
      <c r="K2143">
        <v>56</v>
      </c>
      <c r="L2143" t="s">
        <v>40</v>
      </c>
      <c r="M2143" t="s">
        <v>705</v>
      </c>
      <c r="N2143" s="2" t="s">
        <v>3035</v>
      </c>
      <c r="O2143" t="s">
        <v>3036</v>
      </c>
      <c r="P2143" t="s">
        <v>21</v>
      </c>
      <c r="Q2143">
        <v>284.36213991769546</v>
      </c>
      <c r="R2143">
        <f ca="1">YEAR(TODAY())-Table1[[#This Row],[Year Built]]</f>
        <v>65</v>
      </c>
      <c r="S2143" t="str">
        <f>IF(Table1[[#This Row],[Days on Market]] &lt; 30,"Fast",IF(Table1[[#This Row],[Days on Market]]&lt;= 90,"Average", "Slow"))</f>
        <v>Average</v>
      </c>
      <c r="T2143" t="str">
        <f>IF(Table1[[#This Row],[Price2]]&lt;500000,"Affordable",IF(Table1[[#This Row],[Price2]]&lt;1000000,"Mid range","Luxury"))</f>
        <v>Luxury</v>
      </c>
    </row>
    <row r="2144" spans="1:20" x14ac:dyDescent="0.35">
      <c r="A2144" s="3">
        <v>1105789</v>
      </c>
      <c r="B2144" s="2" t="s">
        <v>34</v>
      </c>
      <c r="C2144">
        <v>12051</v>
      </c>
      <c r="D2144" s="2" t="s">
        <v>35</v>
      </c>
      <c r="E2144">
        <v>6</v>
      </c>
      <c r="F2144">
        <v>4</v>
      </c>
      <c r="G2144" s="4">
        <f>VALUE(SUBSTITUTE(SUBSTITUTE(Table1[[#This Row],[Price]],"$",""),",",""))</f>
        <v>1105789</v>
      </c>
      <c r="H2144" s="1">
        <f>Table1[[#This Row],[Price2]]/Table1[[#This Row],[Area]]</f>
        <v>530.60892514395391</v>
      </c>
      <c r="I2144">
        <v>2084</v>
      </c>
      <c r="J2144">
        <v>2000</v>
      </c>
      <c r="K2144">
        <v>52</v>
      </c>
      <c r="L2144" t="s">
        <v>30</v>
      </c>
      <c r="M2144" t="s">
        <v>1413</v>
      </c>
      <c r="N2144" s="2" t="s">
        <v>3027</v>
      </c>
      <c r="O2144" t="s">
        <v>3028</v>
      </c>
      <c r="P2144" t="s">
        <v>26</v>
      </c>
      <c r="Q2144">
        <v>530.60892514395391</v>
      </c>
      <c r="R2144">
        <f ca="1">YEAR(TODAY())-Table1[[#This Row],[Year Built]]</f>
        <v>26</v>
      </c>
      <c r="S2144" t="str">
        <f>IF(Table1[[#This Row],[Days on Market]] &lt; 30,"Fast",IF(Table1[[#This Row],[Days on Market]]&lt;= 90,"Average", "Slow"))</f>
        <v>Average</v>
      </c>
      <c r="T2144" t="str">
        <f>IF(Table1[[#This Row],[Price2]]&lt;500000,"Affordable",IF(Table1[[#This Row],[Price2]]&lt;1000000,"Mid range","Luxury"))</f>
        <v>Luxury</v>
      </c>
    </row>
    <row r="2145" spans="1:20" x14ac:dyDescent="0.35">
      <c r="A2145" s="3">
        <v>1106000</v>
      </c>
      <c r="B2145" s="2" t="s">
        <v>12</v>
      </c>
      <c r="C2145">
        <v>72949</v>
      </c>
      <c r="D2145" s="2" t="s">
        <v>23</v>
      </c>
      <c r="E2145">
        <v>2</v>
      </c>
      <c r="F2145">
        <v>4</v>
      </c>
      <c r="G2145" s="4">
        <f>VALUE(SUBSTITUTE(SUBSTITUTE(Table1[[#This Row],[Price]],"$",""),",",""))</f>
        <v>1106000</v>
      </c>
      <c r="H2145" s="1">
        <f>Table1[[#This Row],[Price2]]/Table1[[#This Row],[Area]]</f>
        <v>584.56659619450318</v>
      </c>
      <c r="I2145">
        <v>1892</v>
      </c>
      <c r="J2145">
        <v>1960</v>
      </c>
      <c r="K2145">
        <v>20</v>
      </c>
      <c r="L2145" t="s">
        <v>30</v>
      </c>
      <c r="M2145" t="s">
        <v>2532</v>
      </c>
      <c r="N2145" s="2" t="s">
        <v>3031</v>
      </c>
      <c r="O2145" t="s">
        <v>3032</v>
      </c>
      <c r="P2145" t="s">
        <v>16</v>
      </c>
      <c r="Q2145">
        <v>584.56659619450318</v>
      </c>
      <c r="R2145">
        <f ca="1">YEAR(TODAY())-Table1[[#This Row],[Year Built]]</f>
        <v>66</v>
      </c>
      <c r="S2145" t="str">
        <f>IF(Table1[[#This Row],[Days on Market]] &lt; 30,"Fast",IF(Table1[[#This Row],[Days on Market]]&lt;= 90,"Average", "Slow"))</f>
        <v>Fast</v>
      </c>
      <c r="T2145" t="str">
        <f>IF(Table1[[#This Row],[Price2]]&lt;500000,"Affordable",IF(Table1[[#This Row],[Price2]]&lt;1000000,"Mid range","Luxury"))</f>
        <v>Luxury</v>
      </c>
    </row>
    <row r="2146" spans="1:20" x14ac:dyDescent="0.35">
      <c r="A2146" s="3">
        <v>1106308</v>
      </c>
      <c r="B2146" s="2" t="s">
        <v>17</v>
      </c>
      <c r="C2146">
        <v>72704</v>
      </c>
      <c r="D2146" s="2" t="s">
        <v>35</v>
      </c>
      <c r="E2146">
        <v>5</v>
      </c>
      <c r="F2146">
        <v>3</v>
      </c>
      <c r="G2146" s="4">
        <f>VALUE(SUBSTITUTE(SUBSTITUTE(Table1[[#This Row],[Price]],"$",""),",",""))</f>
        <v>1106308</v>
      </c>
      <c r="H2146" s="1">
        <f>Table1[[#This Row],[Price2]]/Table1[[#This Row],[Area]]</f>
        <v>437.7950138504155</v>
      </c>
      <c r="I2146">
        <v>2527</v>
      </c>
      <c r="J2146">
        <v>1973</v>
      </c>
      <c r="K2146">
        <v>32</v>
      </c>
      <c r="L2146" t="s">
        <v>52</v>
      </c>
      <c r="M2146" t="s">
        <v>2576</v>
      </c>
      <c r="N2146" s="2" t="s">
        <v>3027</v>
      </c>
      <c r="O2146" t="s">
        <v>3028</v>
      </c>
      <c r="P2146" t="s">
        <v>21</v>
      </c>
      <c r="Q2146">
        <v>437.7950138504155</v>
      </c>
      <c r="R2146">
        <f ca="1">YEAR(TODAY())-Table1[[#This Row],[Year Built]]</f>
        <v>53</v>
      </c>
      <c r="S2146" t="str">
        <f>IF(Table1[[#This Row],[Days on Market]] &lt; 30,"Fast",IF(Table1[[#This Row],[Days on Market]]&lt;= 90,"Average", "Slow"))</f>
        <v>Average</v>
      </c>
      <c r="T2146" t="str">
        <f>IF(Table1[[#This Row],[Price2]]&lt;500000,"Affordable",IF(Table1[[#This Row],[Price2]]&lt;1000000,"Mid range","Luxury"))</f>
        <v>Luxury</v>
      </c>
    </row>
    <row r="2147" spans="1:20" x14ac:dyDescent="0.35">
      <c r="A2147" s="3">
        <v>1107286</v>
      </c>
      <c r="B2147" s="2" t="s">
        <v>34</v>
      </c>
      <c r="C2147">
        <v>98660</v>
      </c>
      <c r="D2147" s="2" t="s">
        <v>18</v>
      </c>
      <c r="E2147">
        <v>4</v>
      </c>
      <c r="F2147">
        <v>1</v>
      </c>
      <c r="G2147" s="4">
        <f>VALUE(SUBSTITUTE(SUBSTITUTE(Table1[[#This Row],[Price]],"$",""),",",""))</f>
        <v>1107286</v>
      </c>
      <c r="H2147" s="1">
        <f>Table1[[#This Row],[Price2]]/Table1[[#This Row],[Area]]</f>
        <v>1202.2649294245386</v>
      </c>
      <c r="I2147">
        <v>921</v>
      </c>
      <c r="J2147">
        <v>2014</v>
      </c>
      <c r="K2147">
        <v>92</v>
      </c>
      <c r="L2147" t="s">
        <v>30</v>
      </c>
      <c r="M2147" t="s">
        <v>2416</v>
      </c>
      <c r="N2147" s="2" t="s">
        <v>3035</v>
      </c>
      <c r="O2147" t="s">
        <v>3036</v>
      </c>
      <c r="P2147" t="s">
        <v>21</v>
      </c>
      <c r="Q2147">
        <v>1202.2649294245386</v>
      </c>
      <c r="R2147">
        <f ca="1">YEAR(TODAY())-Table1[[#This Row],[Year Built]]</f>
        <v>12</v>
      </c>
      <c r="S2147" t="str">
        <f>IF(Table1[[#This Row],[Days on Market]] &lt; 30,"Fast",IF(Table1[[#This Row],[Days on Market]]&lt;= 90,"Average", "Slow"))</f>
        <v>Slow</v>
      </c>
      <c r="T2147" t="str">
        <f>IF(Table1[[#This Row],[Price2]]&lt;500000,"Affordable",IF(Table1[[#This Row],[Price2]]&lt;1000000,"Mid range","Luxury"))</f>
        <v>Luxury</v>
      </c>
    </row>
    <row r="2148" spans="1:20" x14ac:dyDescent="0.35">
      <c r="A2148" s="3">
        <v>1107344</v>
      </c>
      <c r="B2148" s="2" t="s">
        <v>12</v>
      </c>
      <c r="C2148">
        <v>82941</v>
      </c>
      <c r="D2148" s="2" t="s">
        <v>13</v>
      </c>
      <c r="E2148">
        <v>6</v>
      </c>
      <c r="F2148">
        <v>2</v>
      </c>
      <c r="G2148" s="4">
        <f>VALUE(SUBSTITUTE(SUBSTITUTE(Table1[[#This Row],[Price]],"$",""),",",""))</f>
        <v>1107344</v>
      </c>
      <c r="H2148" s="1">
        <f>Table1[[#This Row],[Price2]]/Table1[[#This Row],[Area]]</f>
        <v>764.74033149171271</v>
      </c>
      <c r="I2148">
        <v>1448</v>
      </c>
      <c r="J2148">
        <v>1990</v>
      </c>
      <c r="K2148">
        <v>87</v>
      </c>
      <c r="L2148" t="s">
        <v>30</v>
      </c>
      <c r="M2148" t="s">
        <v>183</v>
      </c>
      <c r="N2148" s="2" t="s">
        <v>3033</v>
      </c>
      <c r="O2148" t="s">
        <v>3034</v>
      </c>
      <c r="P2148" t="s">
        <v>26</v>
      </c>
      <c r="Q2148">
        <v>764.74033149171271</v>
      </c>
      <c r="R2148">
        <f ca="1">YEAR(TODAY())-Table1[[#This Row],[Year Built]]</f>
        <v>36</v>
      </c>
      <c r="S2148" t="str">
        <f>IF(Table1[[#This Row],[Days on Market]] &lt; 30,"Fast",IF(Table1[[#This Row],[Days on Market]]&lt;= 90,"Average", "Slow"))</f>
        <v>Average</v>
      </c>
      <c r="T2148" t="str">
        <f>IF(Table1[[#This Row],[Price2]]&lt;500000,"Affordable",IF(Table1[[#This Row],[Price2]]&lt;1000000,"Mid range","Luxury"))</f>
        <v>Luxury</v>
      </c>
    </row>
    <row r="2149" spans="1:20" x14ac:dyDescent="0.35">
      <c r="A2149" s="3">
        <v>1107473</v>
      </c>
      <c r="B2149" s="2" t="s">
        <v>27</v>
      </c>
      <c r="C2149">
        <v>18152</v>
      </c>
      <c r="D2149" s="2" t="s">
        <v>18</v>
      </c>
      <c r="E2149">
        <v>6</v>
      </c>
      <c r="F2149">
        <v>1</v>
      </c>
      <c r="G2149" s="4">
        <f>VALUE(SUBSTITUTE(SUBSTITUTE(Table1[[#This Row],[Price]],"$",""),",",""))</f>
        <v>1107473</v>
      </c>
      <c r="H2149" s="1">
        <f>Table1[[#This Row],[Price2]]/Table1[[#This Row],[Area]]</f>
        <v>1393.0477987421384</v>
      </c>
      <c r="I2149">
        <v>795</v>
      </c>
      <c r="J2149">
        <v>2009</v>
      </c>
      <c r="K2149">
        <v>43</v>
      </c>
      <c r="L2149" t="s">
        <v>19</v>
      </c>
      <c r="M2149" t="s">
        <v>574</v>
      </c>
      <c r="N2149" s="2" t="s">
        <v>3029</v>
      </c>
      <c r="O2149" t="s">
        <v>3030</v>
      </c>
      <c r="P2149" t="s">
        <v>16</v>
      </c>
      <c r="Q2149">
        <v>1393.0477987421384</v>
      </c>
      <c r="R2149">
        <f ca="1">YEAR(TODAY())-Table1[[#This Row],[Year Built]]</f>
        <v>17</v>
      </c>
      <c r="S2149" t="str">
        <f>IF(Table1[[#This Row],[Days on Market]] &lt; 30,"Fast",IF(Table1[[#This Row],[Days on Market]]&lt;= 90,"Average", "Slow"))</f>
        <v>Average</v>
      </c>
      <c r="T2149" t="str">
        <f>IF(Table1[[#This Row],[Price2]]&lt;500000,"Affordable",IF(Table1[[#This Row],[Price2]]&lt;1000000,"Mid range","Luxury"))</f>
        <v>Luxury</v>
      </c>
    </row>
    <row r="2150" spans="1:20" x14ac:dyDescent="0.35">
      <c r="A2150" s="3">
        <v>1107780</v>
      </c>
      <c r="B2150" s="2" t="s">
        <v>27</v>
      </c>
      <c r="C2150">
        <v>71445</v>
      </c>
      <c r="D2150" s="2" t="s">
        <v>35</v>
      </c>
      <c r="E2150">
        <v>6</v>
      </c>
      <c r="F2150">
        <v>4</v>
      </c>
      <c r="G2150" s="4">
        <f>VALUE(SUBSTITUTE(SUBSTITUTE(Table1[[#This Row],[Price]],"$",""),",",""))</f>
        <v>1107780</v>
      </c>
      <c r="H2150" s="1">
        <f>Table1[[#This Row],[Price2]]/Table1[[#This Row],[Area]]</f>
        <v>965.80645161290317</v>
      </c>
      <c r="I2150">
        <v>1147</v>
      </c>
      <c r="J2150">
        <v>1992</v>
      </c>
      <c r="K2150">
        <v>92</v>
      </c>
      <c r="L2150" t="s">
        <v>14</v>
      </c>
      <c r="M2150" t="s">
        <v>2094</v>
      </c>
      <c r="N2150" s="2" t="s">
        <v>3029</v>
      </c>
      <c r="O2150" t="s">
        <v>3030</v>
      </c>
      <c r="P2150" t="s">
        <v>21</v>
      </c>
      <c r="Q2150">
        <v>965.80645161290317</v>
      </c>
      <c r="R2150">
        <f ca="1">YEAR(TODAY())-Table1[[#This Row],[Year Built]]</f>
        <v>34</v>
      </c>
      <c r="S2150" t="str">
        <f>IF(Table1[[#This Row],[Days on Market]] &lt; 30,"Fast",IF(Table1[[#This Row],[Days on Market]]&lt;= 90,"Average", "Slow"))</f>
        <v>Slow</v>
      </c>
      <c r="T2150" t="str">
        <f>IF(Table1[[#This Row],[Price2]]&lt;500000,"Affordable",IF(Table1[[#This Row],[Price2]]&lt;1000000,"Mid range","Luxury"))</f>
        <v>Luxury</v>
      </c>
    </row>
    <row r="2151" spans="1:20" x14ac:dyDescent="0.35">
      <c r="A2151" s="3">
        <v>1108288</v>
      </c>
      <c r="B2151" s="2" t="s">
        <v>27</v>
      </c>
      <c r="C2151">
        <v>11690</v>
      </c>
      <c r="D2151" s="2" t="s">
        <v>29</v>
      </c>
      <c r="E2151">
        <v>6</v>
      </c>
      <c r="F2151">
        <v>3</v>
      </c>
      <c r="G2151" s="4">
        <f>VALUE(SUBSTITUTE(SUBSTITUTE(Table1[[#This Row],[Price]],"$",""),",",""))</f>
        <v>1108288</v>
      </c>
      <c r="H2151" s="1">
        <f>Table1[[#This Row],[Price2]]/Table1[[#This Row],[Area]]</f>
        <v>958.72664359861596</v>
      </c>
      <c r="I2151">
        <v>1156</v>
      </c>
      <c r="J2151">
        <v>1958</v>
      </c>
      <c r="K2151">
        <v>28</v>
      </c>
      <c r="L2151" t="s">
        <v>40</v>
      </c>
      <c r="M2151" t="s">
        <v>47</v>
      </c>
      <c r="N2151" s="2" t="s">
        <v>3029</v>
      </c>
      <c r="O2151" t="s">
        <v>3030</v>
      </c>
      <c r="P2151" t="s">
        <v>21</v>
      </c>
      <c r="Q2151">
        <v>958.72664359861596</v>
      </c>
      <c r="R2151">
        <f ca="1">YEAR(TODAY())-Table1[[#This Row],[Year Built]]</f>
        <v>68</v>
      </c>
      <c r="S2151" t="str">
        <f>IF(Table1[[#This Row],[Days on Market]] &lt; 30,"Fast",IF(Table1[[#This Row],[Days on Market]]&lt;= 90,"Average", "Slow"))</f>
        <v>Fast</v>
      </c>
      <c r="T2151" t="str">
        <f>IF(Table1[[#This Row],[Price2]]&lt;500000,"Affordable",IF(Table1[[#This Row],[Price2]]&lt;1000000,"Mid range","Luxury"))</f>
        <v>Luxury</v>
      </c>
    </row>
    <row r="2152" spans="1:20" x14ac:dyDescent="0.35">
      <c r="A2152" s="3">
        <v>1108409</v>
      </c>
      <c r="B2152" s="2" t="s">
        <v>12</v>
      </c>
      <c r="C2152">
        <v>17279</v>
      </c>
      <c r="D2152" s="2" t="s">
        <v>13</v>
      </c>
      <c r="E2152">
        <v>6</v>
      </c>
      <c r="F2152">
        <v>1</v>
      </c>
      <c r="G2152" s="4">
        <f>VALUE(SUBSTITUTE(SUBSTITUTE(Table1[[#This Row],[Price]],"$",""),",",""))</f>
        <v>1108409</v>
      </c>
      <c r="H2152" s="1">
        <f>Table1[[#This Row],[Price2]]/Table1[[#This Row],[Area]]</f>
        <v>302.67859093391587</v>
      </c>
      <c r="I2152">
        <v>3662</v>
      </c>
      <c r="J2152">
        <v>1956</v>
      </c>
      <c r="K2152">
        <v>12</v>
      </c>
      <c r="L2152" t="s">
        <v>14</v>
      </c>
      <c r="M2152" t="s">
        <v>2705</v>
      </c>
      <c r="N2152" s="2" t="s">
        <v>3033</v>
      </c>
      <c r="O2152" t="s">
        <v>3034</v>
      </c>
      <c r="P2152" t="s">
        <v>16</v>
      </c>
      <c r="Q2152">
        <v>302.67859093391587</v>
      </c>
      <c r="R2152">
        <f ca="1">YEAR(TODAY())-Table1[[#This Row],[Year Built]]</f>
        <v>70</v>
      </c>
      <c r="S2152" t="str">
        <f>IF(Table1[[#This Row],[Days on Market]] &lt; 30,"Fast",IF(Table1[[#This Row],[Days on Market]]&lt;= 90,"Average", "Slow"))</f>
        <v>Fast</v>
      </c>
      <c r="T2152" t="str">
        <f>IF(Table1[[#This Row],[Price2]]&lt;500000,"Affordable",IF(Table1[[#This Row],[Price2]]&lt;1000000,"Mid range","Luxury"))</f>
        <v>Luxury</v>
      </c>
    </row>
    <row r="2153" spans="1:20" x14ac:dyDescent="0.35">
      <c r="A2153" s="3">
        <v>1108587</v>
      </c>
      <c r="B2153" s="2" t="s">
        <v>34</v>
      </c>
      <c r="C2153">
        <v>89641</v>
      </c>
      <c r="D2153" s="2" t="s">
        <v>23</v>
      </c>
      <c r="E2153">
        <v>2</v>
      </c>
      <c r="F2153">
        <v>2</v>
      </c>
      <c r="G2153" s="4">
        <f>VALUE(SUBSTITUTE(SUBSTITUTE(Table1[[#This Row],[Price]],"$",""),",",""))</f>
        <v>1108587</v>
      </c>
      <c r="H2153" s="1">
        <f>Table1[[#This Row],[Price2]]/Table1[[#This Row],[Area]]</f>
        <v>336.24112829845313</v>
      </c>
      <c r="I2153">
        <v>3297</v>
      </c>
      <c r="J2153">
        <v>2020</v>
      </c>
      <c r="K2153">
        <v>84</v>
      </c>
      <c r="L2153" t="s">
        <v>30</v>
      </c>
      <c r="M2153" t="s">
        <v>2174</v>
      </c>
      <c r="N2153" s="2" t="s">
        <v>3031</v>
      </c>
      <c r="O2153" t="s">
        <v>3032</v>
      </c>
      <c r="P2153" t="s">
        <v>21</v>
      </c>
      <c r="Q2153">
        <v>336.24112829845313</v>
      </c>
      <c r="R2153">
        <f ca="1">YEAR(TODAY())-Table1[[#This Row],[Year Built]]</f>
        <v>6</v>
      </c>
      <c r="S2153" t="str">
        <f>IF(Table1[[#This Row],[Days on Market]] &lt; 30,"Fast",IF(Table1[[#This Row],[Days on Market]]&lt;= 90,"Average", "Slow"))</f>
        <v>Average</v>
      </c>
      <c r="T2153" t="str">
        <f>IF(Table1[[#This Row],[Price2]]&lt;500000,"Affordable",IF(Table1[[#This Row],[Price2]]&lt;1000000,"Mid range","Luxury"))</f>
        <v>Luxury</v>
      </c>
    </row>
    <row r="2154" spans="1:20" x14ac:dyDescent="0.35">
      <c r="A2154" s="3">
        <v>1109257</v>
      </c>
      <c r="B2154" s="2" t="s">
        <v>22</v>
      </c>
      <c r="C2154">
        <v>81002</v>
      </c>
      <c r="D2154" s="2" t="s">
        <v>18</v>
      </c>
      <c r="E2154">
        <v>1</v>
      </c>
      <c r="F2154">
        <v>2</v>
      </c>
      <c r="G2154" s="4">
        <f>VALUE(SUBSTITUTE(SUBSTITUTE(Table1[[#This Row],[Price]],"$",""),",",""))</f>
        <v>1109257</v>
      </c>
      <c r="H2154" s="1">
        <f>Table1[[#This Row],[Price2]]/Table1[[#This Row],[Area]]</f>
        <v>343.74248528044626</v>
      </c>
      <c r="I2154">
        <v>3227</v>
      </c>
      <c r="J2154">
        <v>1973</v>
      </c>
      <c r="K2154">
        <v>67</v>
      </c>
      <c r="L2154" t="s">
        <v>14</v>
      </c>
      <c r="M2154" t="s">
        <v>1827</v>
      </c>
      <c r="N2154" s="2" t="s">
        <v>3029</v>
      </c>
      <c r="O2154" t="s">
        <v>3030</v>
      </c>
      <c r="P2154" t="s">
        <v>16</v>
      </c>
      <c r="Q2154">
        <v>343.74248528044626</v>
      </c>
      <c r="R2154">
        <f ca="1">YEAR(TODAY())-Table1[[#This Row],[Year Built]]</f>
        <v>53</v>
      </c>
      <c r="S2154" t="str">
        <f>IF(Table1[[#This Row],[Days on Market]] &lt; 30,"Fast",IF(Table1[[#This Row],[Days on Market]]&lt;= 90,"Average", "Slow"))</f>
        <v>Average</v>
      </c>
      <c r="T2154" t="str">
        <f>IF(Table1[[#This Row],[Price2]]&lt;500000,"Affordable",IF(Table1[[#This Row],[Price2]]&lt;1000000,"Mid range","Luxury"))</f>
        <v>Luxury</v>
      </c>
    </row>
    <row r="2155" spans="1:20" x14ac:dyDescent="0.35">
      <c r="A2155" s="3">
        <v>1110300</v>
      </c>
      <c r="B2155" s="2" t="s">
        <v>22</v>
      </c>
      <c r="C2155">
        <v>86614</v>
      </c>
      <c r="D2155" s="2" t="s">
        <v>29</v>
      </c>
      <c r="E2155">
        <v>6</v>
      </c>
      <c r="F2155">
        <v>2</v>
      </c>
      <c r="G2155" s="4">
        <f>VALUE(SUBSTITUTE(SUBSTITUTE(Table1[[#This Row],[Price]],"$",""),",",""))</f>
        <v>1110300</v>
      </c>
      <c r="H2155" s="1">
        <f>Table1[[#This Row],[Price2]]/Table1[[#This Row],[Area]]</f>
        <v>415.22064323111442</v>
      </c>
      <c r="I2155">
        <v>2674</v>
      </c>
      <c r="J2155">
        <v>2011</v>
      </c>
      <c r="K2155">
        <v>44</v>
      </c>
      <c r="L2155" t="s">
        <v>40</v>
      </c>
      <c r="M2155" t="s">
        <v>2339</v>
      </c>
      <c r="N2155" s="2" t="s">
        <v>3035</v>
      </c>
      <c r="O2155" t="s">
        <v>3036</v>
      </c>
      <c r="P2155" t="s">
        <v>21</v>
      </c>
      <c r="Q2155">
        <v>415.22064323111442</v>
      </c>
      <c r="R2155">
        <f ca="1">YEAR(TODAY())-Table1[[#This Row],[Year Built]]</f>
        <v>15</v>
      </c>
      <c r="S2155" t="str">
        <f>IF(Table1[[#This Row],[Days on Market]] &lt; 30,"Fast",IF(Table1[[#This Row],[Days on Market]]&lt;= 90,"Average", "Slow"))</f>
        <v>Average</v>
      </c>
      <c r="T2155" t="str">
        <f>IF(Table1[[#This Row],[Price2]]&lt;500000,"Affordable",IF(Table1[[#This Row],[Price2]]&lt;1000000,"Mid range","Luxury"))</f>
        <v>Luxury</v>
      </c>
    </row>
    <row r="2156" spans="1:20" x14ac:dyDescent="0.35">
      <c r="A2156" s="3">
        <v>1110404</v>
      </c>
      <c r="B2156" s="2" t="s">
        <v>27</v>
      </c>
      <c r="C2156">
        <v>32546</v>
      </c>
      <c r="D2156" s="2" t="s">
        <v>23</v>
      </c>
      <c r="E2156">
        <v>3</v>
      </c>
      <c r="F2156">
        <v>2</v>
      </c>
      <c r="G2156" s="4">
        <f>VALUE(SUBSTITUTE(SUBSTITUTE(Table1[[#This Row],[Price]],"$",""),",",""))</f>
        <v>1110404</v>
      </c>
      <c r="H2156" s="1">
        <f>Table1[[#This Row],[Price2]]/Table1[[#This Row],[Area]]</f>
        <v>774.88066992323797</v>
      </c>
      <c r="I2156">
        <v>1433</v>
      </c>
      <c r="J2156">
        <v>1968</v>
      </c>
      <c r="K2156">
        <v>76</v>
      </c>
      <c r="L2156" t="s">
        <v>52</v>
      </c>
      <c r="M2156" t="s">
        <v>1995</v>
      </c>
      <c r="N2156" s="2" t="s">
        <v>3031</v>
      </c>
      <c r="O2156" t="s">
        <v>3032</v>
      </c>
      <c r="P2156" t="s">
        <v>21</v>
      </c>
      <c r="Q2156">
        <v>774.88066992323797</v>
      </c>
      <c r="R2156">
        <f ca="1">YEAR(TODAY())-Table1[[#This Row],[Year Built]]</f>
        <v>58</v>
      </c>
      <c r="S2156" t="str">
        <f>IF(Table1[[#This Row],[Days on Market]] &lt; 30,"Fast",IF(Table1[[#This Row],[Days on Market]]&lt;= 90,"Average", "Slow"))</f>
        <v>Average</v>
      </c>
      <c r="T2156" t="str">
        <f>IF(Table1[[#This Row],[Price2]]&lt;500000,"Affordable",IF(Table1[[#This Row],[Price2]]&lt;1000000,"Mid range","Luxury"))</f>
        <v>Luxury</v>
      </c>
    </row>
    <row r="2157" spans="1:20" x14ac:dyDescent="0.35">
      <c r="A2157" s="3">
        <v>1110522</v>
      </c>
      <c r="B2157" s="2" t="s">
        <v>17</v>
      </c>
      <c r="C2157">
        <v>69272</v>
      </c>
      <c r="D2157" s="2" t="s">
        <v>23</v>
      </c>
      <c r="E2157">
        <v>5</v>
      </c>
      <c r="F2157">
        <v>3</v>
      </c>
      <c r="G2157" s="4">
        <f>VALUE(SUBSTITUTE(SUBSTITUTE(Table1[[#This Row],[Price]],"$",""),",",""))</f>
        <v>1110522</v>
      </c>
      <c r="H2157" s="1">
        <f>Table1[[#This Row],[Price2]]/Table1[[#This Row],[Area]]</f>
        <v>363.86697247706422</v>
      </c>
      <c r="I2157">
        <v>3052</v>
      </c>
      <c r="J2157">
        <v>2018</v>
      </c>
      <c r="K2157">
        <v>81</v>
      </c>
      <c r="L2157" t="s">
        <v>52</v>
      </c>
      <c r="M2157" t="s">
        <v>2194</v>
      </c>
      <c r="N2157" s="2" t="s">
        <v>3031</v>
      </c>
      <c r="O2157" t="s">
        <v>3032</v>
      </c>
      <c r="P2157" t="s">
        <v>26</v>
      </c>
      <c r="Q2157">
        <v>363.86697247706422</v>
      </c>
      <c r="R2157">
        <f ca="1">YEAR(TODAY())-Table1[[#This Row],[Year Built]]</f>
        <v>8</v>
      </c>
      <c r="S2157" t="str">
        <f>IF(Table1[[#This Row],[Days on Market]] &lt; 30,"Fast",IF(Table1[[#This Row],[Days on Market]]&lt;= 90,"Average", "Slow"))</f>
        <v>Average</v>
      </c>
      <c r="T2157" t="str">
        <f>IF(Table1[[#This Row],[Price2]]&lt;500000,"Affordable",IF(Table1[[#This Row],[Price2]]&lt;1000000,"Mid range","Luxury"))</f>
        <v>Luxury</v>
      </c>
    </row>
    <row r="2158" spans="1:20" x14ac:dyDescent="0.35">
      <c r="A2158" s="3">
        <v>1110787</v>
      </c>
      <c r="B2158" s="2" t="s">
        <v>12</v>
      </c>
      <c r="C2158">
        <v>58457</v>
      </c>
      <c r="D2158" s="2" t="s">
        <v>35</v>
      </c>
      <c r="E2158">
        <v>1</v>
      </c>
      <c r="F2158">
        <v>1</v>
      </c>
      <c r="G2158" s="4">
        <f>VALUE(SUBSTITUTE(SUBSTITUTE(Table1[[#This Row],[Price]],"$",""),",",""))</f>
        <v>1110787</v>
      </c>
      <c r="H2158" s="1">
        <f>Table1[[#This Row],[Price2]]/Table1[[#This Row],[Area]]</f>
        <v>297.31986081370451</v>
      </c>
      <c r="I2158">
        <v>3736</v>
      </c>
      <c r="J2158">
        <v>2017</v>
      </c>
      <c r="K2158">
        <v>27</v>
      </c>
      <c r="L2158" t="s">
        <v>14</v>
      </c>
      <c r="M2158" t="s">
        <v>358</v>
      </c>
      <c r="N2158" s="2" t="s">
        <v>3035</v>
      </c>
      <c r="O2158" t="s">
        <v>3036</v>
      </c>
      <c r="P2158" t="s">
        <v>26</v>
      </c>
      <c r="Q2158">
        <v>297.31986081370451</v>
      </c>
      <c r="R2158">
        <f ca="1">YEAR(TODAY())-Table1[[#This Row],[Year Built]]</f>
        <v>9</v>
      </c>
      <c r="S2158" t="str">
        <f>IF(Table1[[#This Row],[Days on Market]] &lt; 30,"Fast",IF(Table1[[#This Row],[Days on Market]]&lt;= 90,"Average", "Slow"))</f>
        <v>Fast</v>
      </c>
      <c r="T2158" t="str">
        <f>IF(Table1[[#This Row],[Price2]]&lt;500000,"Affordable",IF(Table1[[#This Row],[Price2]]&lt;1000000,"Mid range","Luxury"))</f>
        <v>Luxury</v>
      </c>
    </row>
    <row r="2159" spans="1:20" x14ac:dyDescent="0.35">
      <c r="A2159" s="3">
        <v>1111836</v>
      </c>
      <c r="B2159" s="2" t="s">
        <v>27</v>
      </c>
      <c r="C2159">
        <v>78041</v>
      </c>
      <c r="D2159" s="2" t="s">
        <v>13</v>
      </c>
      <c r="E2159">
        <v>4</v>
      </c>
      <c r="F2159">
        <v>1</v>
      </c>
      <c r="G2159" s="4">
        <f>VALUE(SUBSTITUTE(SUBSTITUTE(Table1[[#This Row],[Price]],"$",""),",",""))</f>
        <v>1111836</v>
      </c>
      <c r="H2159" s="1">
        <f>Table1[[#This Row],[Price2]]/Table1[[#This Row],[Area]]</f>
        <v>601.96859772604228</v>
      </c>
      <c r="I2159">
        <v>1847</v>
      </c>
      <c r="J2159">
        <v>2011</v>
      </c>
      <c r="K2159">
        <v>119</v>
      </c>
      <c r="L2159" t="s">
        <v>52</v>
      </c>
      <c r="M2159" t="s">
        <v>2602</v>
      </c>
      <c r="N2159" s="2" t="s">
        <v>3031</v>
      </c>
      <c r="O2159" t="s">
        <v>3032</v>
      </c>
      <c r="P2159" t="s">
        <v>16</v>
      </c>
      <c r="Q2159">
        <v>601.96859772604228</v>
      </c>
      <c r="R2159">
        <f ca="1">YEAR(TODAY())-Table1[[#This Row],[Year Built]]</f>
        <v>15</v>
      </c>
      <c r="S2159" t="str">
        <f>IF(Table1[[#This Row],[Days on Market]] &lt; 30,"Fast",IF(Table1[[#This Row],[Days on Market]]&lt;= 90,"Average", "Slow"))</f>
        <v>Slow</v>
      </c>
      <c r="T2159" t="str">
        <f>IF(Table1[[#This Row],[Price2]]&lt;500000,"Affordable",IF(Table1[[#This Row],[Price2]]&lt;1000000,"Mid range","Luxury"))</f>
        <v>Luxury</v>
      </c>
    </row>
    <row r="2160" spans="1:20" x14ac:dyDescent="0.35">
      <c r="A2160" s="3">
        <v>1112100</v>
      </c>
      <c r="B2160" s="2" t="s">
        <v>12</v>
      </c>
      <c r="C2160">
        <v>80722</v>
      </c>
      <c r="D2160" s="2" t="s">
        <v>35</v>
      </c>
      <c r="E2160">
        <v>2</v>
      </c>
      <c r="F2160">
        <v>3</v>
      </c>
      <c r="G2160" s="4">
        <f>VALUE(SUBSTITUTE(SUBSTITUTE(Table1[[#This Row],[Price]],"$",""),",",""))</f>
        <v>1112100</v>
      </c>
      <c r="H2160" s="1">
        <f>Table1[[#This Row],[Price2]]/Table1[[#This Row],[Area]]</f>
        <v>807.03918722786648</v>
      </c>
      <c r="I2160">
        <v>1378</v>
      </c>
      <c r="J2160">
        <v>2022</v>
      </c>
      <c r="K2160">
        <v>92</v>
      </c>
      <c r="L2160" t="s">
        <v>30</v>
      </c>
      <c r="M2160" t="s">
        <v>793</v>
      </c>
      <c r="N2160" s="2" t="s">
        <v>3029</v>
      </c>
      <c r="O2160" t="s">
        <v>3030</v>
      </c>
      <c r="P2160" t="s">
        <v>21</v>
      </c>
      <c r="Q2160">
        <v>807.03918722786648</v>
      </c>
      <c r="R2160">
        <f ca="1">YEAR(TODAY())-Table1[[#This Row],[Year Built]]</f>
        <v>4</v>
      </c>
      <c r="S2160" t="str">
        <f>IF(Table1[[#This Row],[Days on Market]] &lt; 30,"Fast",IF(Table1[[#This Row],[Days on Market]]&lt;= 90,"Average", "Slow"))</f>
        <v>Slow</v>
      </c>
      <c r="T2160" t="str">
        <f>IF(Table1[[#This Row],[Price2]]&lt;500000,"Affordable",IF(Table1[[#This Row],[Price2]]&lt;1000000,"Mid range","Luxury"))</f>
        <v>Luxury</v>
      </c>
    </row>
    <row r="2161" spans="1:20" x14ac:dyDescent="0.35">
      <c r="A2161" s="3">
        <v>1112286</v>
      </c>
      <c r="B2161" s="2" t="s">
        <v>12</v>
      </c>
      <c r="C2161">
        <v>16283</v>
      </c>
      <c r="D2161" s="2" t="s">
        <v>13</v>
      </c>
      <c r="E2161">
        <v>1</v>
      </c>
      <c r="F2161">
        <v>4</v>
      </c>
      <c r="G2161" s="4">
        <f>VALUE(SUBSTITUTE(SUBSTITUTE(Table1[[#This Row],[Price]],"$",""),",",""))</f>
        <v>1112286</v>
      </c>
      <c r="H2161" s="1">
        <f>Table1[[#This Row],[Price2]]/Table1[[#This Row],[Area]]</f>
        <v>344.14789603960395</v>
      </c>
      <c r="I2161">
        <v>3232</v>
      </c>
      <c r="J2161">
        <v>2000</v>
      </c>
      <c r="K2161">
        <v>48</v>
      </c>
      <c r="L2161" t="s">
        <v>14</v>
      </c>
      <c r="M2161" t="s">
        <v>445</v>
      </c>
      <c r="N2161" s="2" t="s">
        <v>3033</v>
      </c>
      <c r="O2161" t="s">
        <v>3034</v>
      </c>
      <c r="P2161" t="s">
        <v>16</v>
      </c>
      <c r="Q2161">
        <v>344.14789603960395</v>
      </c>
      <c r="R2161">
        <f ca="1">YEAR(TODAY())-Table1[[#This Row],[Year Built]]</f>
        <v>26</v>
      </c>
      <c r="S2161" t="str">
        <f>IF(Table1[[#This Row],[Days on Market]] &lt; 30,"Fast",IF(Table1[[#This Row],[Days on Market]]&lt;= 90,"Average", "Slow"))</f>
        <v>Average</v>
      </c>
      <c r="T2161" t="str">
        <f>IF(Table1[[#This Row],[Price2]]&lt;500000,"Affordable",IF(Table1[[#This Row],[Price2]]&lt;1000000,"Mid range","Luxury"))</f>
        <v>Luxury</v>
      </c>
    </row>
    <row r="2162" spans="1:20" x14ac:dyDescent="0.35">
      <c r="A2162" s="3">
        <v>1112794</v>
      </c>
      <c r="B2162" s="2" t="s">
        <v>27</v>
      </c>
      <c r="C2162">
        <v>83851</v>
      </c>
      <c r="D2162" s="2" t="s">
        <v>18</v>
      </c>
      <c r="E2162">
        <v>4</v>
      </c>
      <c r="F2162">
        <v>4</v>
      </c>
      <c r="G2162" s="4">
        <f>VALUE(SUBSTITUTE(SUBSTITUTE(Table1[[#This Row],[Price]],"$",""),",",""))</f>
        <v>1112794</v>
      </c>
      <c r="H2162" s="1">
        <f>Table1[[#This Row],[Price2]]/Table1[[#This Row],[Area]]</f>
        <v>338.75007610350076</v>
      </c>
      <c r="I2162">
        <v>3285</v>
      </c>
      <c r="J2162">
        <v>1997</v>
      </c>
      <c r="K2162">
        <v>110</v>
      </c>
      <c r="L2162" t="s">
        <v>52</v>
      </c>
      <c r="M2162" t="s">
        <v>1433</v>
      </c>
      <c r="N2162" s="2" t="s">
        <v>3031</v>
      </c>
      <c r="O2162" t="s">
        <v>3032</v>
      </c>
      <c r="P2162" t="s">
        <v>21</v>
      </c>
      <c r="Q2162">
        <v>338.75007610350076</v>
      </c>
      <c r="R2162">
        <f ca="1">YEAR(TODAY())-Table1[[#This Row],[Year Built]]</f>
        <v>29</v>
      </c>
      <c r="S2162" t="str">
        <f>IF(Table1[[#This Row],[Days on Market]] &lt; 30,"Fast",IF(Table1[[#This Row],[Days on Market]]&lt;= 90,"Average", "Slow"))</f>
        <v>Slow</v>
      </c>
      <c r="T2162" t="str">
        <f>IF(Table1[[#This Row],[Price2]]&lt;500000,"Affordable",IF(Table1[[#This Row],[Price2]]&lt;1000000,"Mid range","Luxury"))</f>
        <v>Luxury</v>
      </c>
    </row>
    <row r="2163" spans="1:20" x14ac:dyDescent="0.35">
      <c r="A2163" s="3">
        <v>1113059</v>
      </c>
      <c r="B2163" s="2" t="s">
        <v>22</v>
      </c>
      <c r="C2163">
        <v>91718</v>
      </c>
      <c r="D2163" s="2" t="s">
        <v>23</v>
      </c>
      <c r="E2163">
        <v>2</v>
      </c>
      <c r="F2163">
        <v>4</v>
      </c>
      <c r="G2163" s="4">
        <f>VALUE(SUBSTITUTE(SUBSTITUTE(Table1[[#This Row],[Price]],"$",""),",",""))</f>
        <v>1113059</v>
      </c>
      <c r="H2163" s="1">
        <f>Table1[[#This Row],[Price2]]/Table1[[#This Row],[Area]]</f>
        <v>355.38282247765005</v>
      </c>
      <c r="I2163">
        <v>3132</v>
      </c>
      <c r="J2163">
        <v>1978</v>
      </c>
      <c r="K2163">
        <v>40</v>
      </c>
      <c r="L2163" t="s">
        <v>52</v>
      </c>
      <c r="M2163" t="s">
        <v>2768</v>
      </c>
      <c r="N2163" s="2" t="s">
        <v>3035</v>
      </c>
      <c r="O2163" t="s">
        <v>3036</v>
      </c>
      <c r="P2163" t="s">
        <v>26</v>
      </c>
      <c r="Q2163">
        <v>355.38282247765005</v>
      </c>
      <c r="R2163">
        <f ca="1">YEAR(TODAY())-Table1[[#This Row],[Year Built]]</f>
        <v>48</v>
      </c>
      <c r="S2163" t="str">
        <f>IF(Table1[[#This Row],[Days on Market]] &lt; 30,"Fast",IF(Table1[[#This Row],[Days on Market]]&lt;= 90,"Average", "Slow"))</f>
        <v>Average</v>
      </c>
      <c r="T2163" t="str">
        <f>IF(Table1[[#This Row],[Price2]]&lt;500000,"Affordable",IF(Table1[[#This Row],[Price2]]&lt;1000000,"Mid range","Luxury"))</f>
        <v>Luxury</v>
      </c>
    </row>
    <row r="2164" spans="1:20" x14ac:dyDescent="0.35">
      <c r="A2164" s="3">
        <v>1113507</v>
      </c>
      <c r="B2164" s="2" t="s">
        <v>22</v>
      </c>
      <c r="C2164">
        <v>32115</v>
      </c>
      <c r="D2164" s="2" t="s">
        <v>29</v>
      </c>
      <c r="E2164">
        <v>1</v>
      </c>
      <c r="F2164">
        <v>3</v>
      </c>
      <c r="G2164" s="4">
        <f>VALUE(SUBSTITUTE(SUBSTITUTE(Table1[[#This Row],[Price]],"$",""),",",""))</f>
        <v>1113507</v>
      </c>
      <c r="H2164" s="1">
        <f>Table1[[#This Row],[Price2]]/Table1[[#This Row],[Area]]</f>
        <v>523.01878816345697</v>
      </c>
      <c r="I2164">
        <v>2129</v>
      </c>
      <c r="J2164">
        <v>1958</v>
      </c>
      <c r="K2164">
        <v>38</v>
      </c>
      <c r="L2164" t="s">
        <v>19</v>
      </c>
      <c r="M2164" t="s">
        <v>539</v>
      </c>
      <c r="N2164" s="2" t="s">
        <v>3035</v>
      </c>
      <c r="O2164" t="s">
        <v>3036</v>
      </c>
      <c r="P2164" t="s">
        <v>21</v>
      </c>
      <c r="Q2164">
        <v>523.01878816345697</v>
      </c>
      <c r="R2164">
        <f ca="1">YEAR(TODAY())-Table1[[#This Row],[Year Built]]</f>
        <v>68</v>
      </c>
      <c r="S2164" t="str">
        <f>IF(Table1[[#This Row],[Days on Market]] &lt; 30,"Fast",IF(Table1[[#This Row],[Days on Market]]&lt;= 90,"Average", "Slow"))</f>
        <v>Average</v>
      </c>
      <c r="T2164" t="str">
        <f>IF(Table1[[#This Row],[Price2]]&lt;500000,"Affordable",IF(Table1[[#This Row],[Price2]]&lt;1000000,"Mid range","Luxury"))</f>
        <v>Luxury</v>
      </c>
    </row>
    <row r="2165" spans="1:20" x14ac:dyDescent="0.35">
      <c r="A2165" s="3">
        <v>1114155</v>
      </c>
      <c r="B2165" s="2" t="s">
        <v>27</v>
      </c>
      <c r="C2165">
        <v>42449</v>
      </c>
      <c r="D2165" s="2" t="s">
        <v>29</v>
      </c>
      <c r="E2165">
        <v>5</v>
      </c>
      <c r="F2165">
        <v>2</v>
      </c>
      <c r="G2165" s="4">
        <f>VALUE(SUBSTITUTE(SUBSTITUTE(Table1[[#This Row],[Price]],"$",""),",",""))</f>
        <v>1114155</v>
      </c>
      <c r="H2165" s="1">
        <f>Table1[[#This Row],[Price2]]/Table1[[#This Row],[Area]]</f>
        <v>476.33817870884991</v>
      </c>
      <c r="I2165">
        <v>2339</v>
      </c>
      <c r="J2165">
        <v>2015</v>
      </c>
      <c r="K2165">
        <v>53</v>
      </c>
      <c r="L2165" t="s">
        <v>40</v>
      </c>
      <c r="M2165" t="s">
        <v>681</v>
      </c>
      <c r="N2165" s="2" t="s">
        <v>3027</v>
      </c>
      <c r="O2165" t="s">
        <v>3028</v>
      </c>
      <c r="P2165" t="s">
        <v>26</v>
      </c>
      <c r="Q2165">
        <v>476.33817870884991</v>
      </c>
      <c r="R2165">
        <f ca="1">YEAR(TODAY())-Table1[[#This Row],[Year Built]]</f>
        <v>11</v>
      </c>
      <c r="S2165" t="str">
        <f>IF(Table1[[#This Row],[Days on Market]] &lt; 30,"Fast",IF(Table1[[#This Row],[Days on Market]]&lt;= 90,"Average", "Slow"))</f>
        <v>Average</v>
      </c>
      <c r="T2165" t="str">
        <f>IF(Table1[[#This Row],[Price2]]&lt;500000,"Affordable",IF(Table1[[#This Row],[Price2]]&lt;1000000,"Mid range","Luxury"))</f>
        <v>Luxury</v>
      </c>
    </row>
    <row r="2166" spans="1:20" x14ac:dyDescent="0.35">
      <c r="A2166" s="3">
        <v>1115403</v>
      </c>
      <c r="B2166" s="2" t="s">
        <v>17</v>
      </c>
      <c r="C2166">
        <v>65768</v>
      </c>
      <c r="D2166" s="2" t="s">
        <v>18</v>
      </c>
      <c r="E2166">
        <v>5</v>
      </c>
      <c r="F2166">
        <v>4</v>
      </c>
      <c r="G2166" s="4">
        <f>VALUE(SUBSTITUTE(SUBSTITUTE(Table1[[#This Row],[Price]],"$",""),",",""))</f>
        <v>1115403</v>
      </c>
      <c r="H2166" s="1">
        <f>Table1[[#This Row],[Price2]]/Table1[[#This Row],[Area]]</f>
        <v>765.54770075497595</v>
      </c>
      <c r="I2166">
        <v>1457</v>
      </c>
      <c r="J2166">
        <v>2004</v>
      </c>
      <c r="K2166">
        <v>64</v>
      </c>
      <c r="L2166" t="s">
        <v>14</v>
      </c>
      <c r="M2166" t="s">
        <v>1542</v>
      </c>
      <c r="N2166" s="2" t="s">
        <v>3027</v>
      </c>
      <c r="O2166" t="s">
        <v>3028</v>
      </c>
      <c r="P2166" t="s">
        <v>26</v>
      </c>
      <c r="Q2166">
        <v>765.54770075497595</v>
      </c>
      <c r="R2166">
        <f ca="1">YEAR(TODAY())-Table1[[#This Row],[Year Built]]</f>
        <v>22</v>
      </c>
      <c r="S2166" t="str">
        <f>IF(Table1[[#This Row],[Days on Market]] &lt; 30,"Fast",IF(Table1[[#This Row],[Days on Market]]&lt;= 90,"Average", "Slow"))</f>
        <v>Average</v>
      </c>
      <c r="T2166" t="str">
        <f>IF(Table1[[#This Row],[Price2]]&lt;500000,"Affordable",IF(Table1[[#This Row],[Price2]]&lt;1000000,"Mid range","Luxury"))</f>
        <v>Luxury</v>
      </c>
    </row>
    <row r="2167" spans="1:20" x14ac:dyDescent="0.35">
      <c r="A2167" s="3">
        <v>1115773</v>
      </c>
      <c r="B2167" s="2" t="s">
        <v>12</v>
      </c>
      <c r="C2167">
        <v>46749</v>
      </c>
      <c r="D2167" s="2" t="s">
        <v>18</v>
      </c>
      <c r="E2167">
        <v>1</v>
      </c>
      <c r="F2167">
        <v>3</v>
      </c>
      <c r="G2167" s="4">
        <f>VALUE(SUBSTITUTE(SUBSTITUTE(Table1[[#This Row],[Price]],"$",""),",",""))</f>
        <v>1115773</v>
      </c>
      <c r="H2167" s="1">
        <f>Table1[[#This Row],[Price2]]/Table1[[#This Row],[Area]]</f>
        <v>593.49627659574469</v>
      </c>
      <c r="I2167">
        <v>1880</v>
      </c>
      <c r="J2167">
        <v>2017</v>
      </c>
      <c r="K2167">
        <v>59</v>
      </c>
      <c r="L2167" t="s">
        <v>40</v>
      </c>
      <c r="M2167" t="s">
        <v>611</v>
      </c>
      <c r="N2167" s="2" t="s">
        <v>3031</v>
      </c>
      <c r="O2167" t="s">
        <v>3032</v>
      </c>
      <c r="P2167" t="s">
        <v>21</v>
      </c>
      <c r="Q2167">
        <v>593.49627659574469</v>
      </c>
      <c r="R2167">
        <f ca="1">YEAR(TODAY())-Table1[[#This Row],[Year Built]]</f>
        <v>9</v>
      </c>
      <c r="S2167" t="str">
        <f>IF(Table1[[#This Row],[Days on Market]] &lt; 30,"Fast",IF(Table1[[#This Row],[Days on Market]]&lt;= 90,"Average", "Slow"))</f>
        <v>Average</v>
      </c>
      <c r="T2167" t="str">
        <f>IF(Table1[[#This Row],[Price2]]&lt;500000,"Affordable",IF(Table1[[#This Row],[Price2]]&lt;1000000,"Mid range","Luxury"))</f>
        <v>Luxury</v>
      </c>
    </row>
    <row r="2168" spans="1:20" x14ac:dyDescent="0.35">
      <c r="A2168" s="3">
        <v>1116179</v>
      </c>
      <c r="B2168" s="2" t="s">
        <v>22</v>
      </c>
      <c r="C2168">
        <v>34382</v>
      </c>
      <c r="D2168" s="2" t="s">
        <v>18</v>
      </c>
      <c r="E2168">
        <v>1</v>
      </c>
      <c r="F2168">
        <v>1</v>
      </c>
      <c r="G2168" s="4">
        <f>VALUE(SUBSTITUTE(SUBSTITUTE(Table1[[#This Row],[Price]],"$",""),",",""))</f>
        <v>1116179</v>
      </c>
      <c r="H2168" s="1">
        <f>Table1[[#This Row],[Price2]]/Table1[[#This Row],[Area]]</f>
        <v>1153.077479338843</v>
      </c>
      <c r="I2168">
        <v>968</v>
      </c>
      <c r="J2168">
        <v>1985</v>
      </c>
      <c r="K2168">
        <v>42</v>
      </c>
      <c r="L2168" t="s">
        <v>14</v>
      </c>
      <c r="M2168" t="s">
        <v>1008</v>
      </c>
      <c r="N2168" s="2" t="s">
        <v>3027</v>
      </c>
      <c r="O2168" t="s">
        <v>3028</v>
      </c>
      <c r="P2168" t="s">
        <v>21</v>
      </c>
      <c r="Q2168">
        <v>1153.077479338843</v>
      </c>
      <c r="R2168">
        <f ca="1">YEAR(TODAY())-Table1[[#This Row],[Year Built]]</f>
        <v>41</v>
      </c>
      <c r="S2168" t="str">
        <f>IF(Table1[[#This Row],[Days on Market]] &lt; 30,"Fast",IF(Table1[[#This Row],[Days on Market]]&lt;= 90,"Average", "Slow"))</f>
        <v>Average</v>
      </c>
      <c r="T2168" t="str">
        <f>IF(Table1[[#This Row],[Price2]]&lt;500000,"Affordable",IF(Table1[[#This Row],[Price2]]&lt;1000000,"Mid range","Luxury"))</f>
        <v>Luxury</v>
      </c>
    </row>
    <row r="2169" spans="1:20" x14ac:dyDescent="0.35">
      <c r="A2169" s="3">
        <v>1116330</v>
      </c>
      <c r="B2169" s="2" t="s">
        <v>12</v>
      </c>
      <c r="C2169">
        <v>46612</v>
      </c>
      <c r="D2169" s="2" t="s">
        <v>29</v>
      </c>
      <c r="E2169">
        <v>3</v>
      </c>
      <c r="F2169">
        <v>2</v>
      </c>
      <c r="G2169" s="4">
        <f>VALUE(SUBSTITUTE(SUBSTITUTE(Table1[[#This Row],[Price]],"$",""),",",""))</f>
        <v>1116330</v>
      </c>
      <c r="H2169" s="1">
        <f>Table1[[#This Row],[Price2]]/Table1[[#This Row],[Area]]</f>
        <v>369.03471074380167</v>
      </c>
      <c r="I2169">
        <v>3025</v>
      </c>
      <c r="J2169">
        <v>1976</v>
      </c>
      <c r="K2169">
        <v>27</v>
      </c>
      <c r="L2169" t="s">
        <v>52</v>
      </c>
      <c r="M2169" t="s">
        <v>1661</v>
      </c>
      <c r="N2169" s="2" t="s">
        <v>3027</v>
      </c>
      <c r="O2169" t="s">
        <v>3028</v>
      </c>
      <c r="P2169" t="s">
        <v>26</v>
      </c>
      <c r="Q2169">
        <v>369.03471074380167</v>
      </c>
      <c r="R2169">
        <f ca="1">YEAR(TODAY())-Table1[[#This Row],[Year Built]]</f>
        <v>50</v>
      </c>
      <c r="S2169" t="str">
        <f>IF(Table1[[#This Row],[Days on Market]] &lt; 30,"Fast",IF(Table1[[#This Row],[Days on Market]]&lt;= 90,"Average", "Slow"))</f>
        <v>Fast</v>
      </c>
      <c r="T2169" t="str">
        <f>IF(Table1[[#This Row],[Price2]]&lt;500000,"Affordable",IF(Table1[[#This Row],[Price2]]&lt;1000000,"Mid range","Luxury"))</f>
        <v>Luxury</v>
      </c>
    </row>
    <row r="2170" spans="1:20" x14ac:dyDescent="0.35">
      <c r="A2170" s="3">
        <v>1117002</v>
      </c>
      <c r="B2170" s="2" t="s">
        <v>17</v>
      </c>
      <c r="C2170">
        <v>48794</v>
      </c>
      <c r="D2170" s="2" t="s">
        <v>18</v>
      </c>
      <c r="E2170">
        <v>6</v>
      </c>
      <c r="F2170">
        <v>4</v>
      </c>
      <c r="G2170" s="4">
        <f>VALUE(SUBSTITUTE(SUBSTITUTE(Table1[[#This Row],[Price]],"$",""),",",""))</f>
        <v>1117002</v>
      </c>
      <c r="H2170" s="1">
        <f>Table1[[#This Row],[Price2]]/Table1[[#This Row],[Area]]</f>
        <v>1034.2611111111112</v>
      </c>
      <c r="I2170">
        <v>1080</v>
      </c>
      <c r="J2170">
        <v>2015</v>
      </c>
      <c r="K2170">
        <v>15</v>
      </c>
      <c r="L2170" t="s">
        <v>40</v>
      </c>
      <c r="M2170" t="s">
        <v>1837</v>
      </c>
      <c r="N2170" s="2" t="s">
        <v>3035</v>
      </c>
      <c r="O2170" t="s">
        <v>3036</v>
      </c>
      <c r="P2170" t="s">
        <v>16</v>
      </c>
      <c r="Q2170">
        <v>1034.2611111111112</v>
      </c>
      <c r="R2170">
        <f ca="1">YEAR(TODAY())-Table1[[#This Row],[Year Built]]</f>
        <v>11</v>
      </c>
      <c r="S2170" t="str">
        <f>IF(Table1[[#This Row],[Days on Market]] &lt; 30,"Fast",IF(Table1[[#This Row],[Days on Market]]&lt;= 90,"Average", "Slow"))</f>
        <v>Fast</v>
      </c>
      <c r="T2170" t="str">
        <f>IF(Table1[[#This Row],[Price2]]&lt;500000,"Affordable",IF(Table1[[#This Row],[Price2]]&lt;1000000,"Mid range","Luxury"))</f>
        <v>Luxury</v>
      </c>
    </row>
    <row r="2171" spans="1:20" x14ac:dyDescent="0.35">
      <c r="A2171" s="3">
        <v>1117712</v>
      </c>
      <c r="B2171" s="2" t="s">
        <v>22</v>
      </c>
      <c r="C2171">
        <v>19739</v>
      </c>
      <c r="D2171" s="2" t="s">
        <v>18</v>
      </c>
      <c r="E2171">
        <v>2</v>
      </c>
      <c r="F2171">
        <v>4</v>
      </c>
      <c r="G2171" s="4">
        <f>VALUE(SUBSTITUTE(SUBSTITUTE(Table1[[#This Row],[Price]],"$",""),",",""))</f>
        <v>1117712</v>
      </c>
      <c r="H2171" s="1">
        <f>Table1[[#This Row],[Price2]]/Table1[[#This Row],[Area]]</f>
        <v>392.0420904945633</v>
      </c>
      <c r="I2171">
        <v>2851</v>
      </c>
      <c r="J2171">
        <v>1996</v>
      </c>
      <c r="K2171">
        <v>4</v>
      </c>
      <c r="L2171" t="s">
        <v>19</v>
      </c>
      <c r="M2171" t="s">
        <v>1317</v>
      </c>
      <c r="N2171" s="2" t="s">
        <v>3035</v>
      </c>
      <c r="O2171" t="s">
        <v>3036</v>
      </c>
      <c r="P2171" t="s">
        <v>26</v>
      </c>
      <c r="Q2171">
        <v>392.0420904945633</v>
      </c>
      <c r="R2171">
        <f ca="1">YEAR(TODAY())-Table1[[#This Row],[Year Built]]</f>
        <v>30</v>
      </c>
      <c r="S2171" t="str">
        <f>IF(Table1[[#This Row],[Days on Market]] &lt; 30,"Fast",IF(Table1[[#This Row],[Days on Market]]&lt;= 90,"Average", "Slow"))</f>
        <v>Fast</v>
      </c>
      <c r="T2171" t="str">
        <f>IF(Table1[[#This Row],[Price2]]&lt;500000,"Affordable",IF(Table1[[#This Row],[Price2]]&lt;1000000,"Mid range","Luxury"))</f>
        <v>Luxury</v>
      </c>
    </row>
    <row r="2172" spans="1:20" x14ac:dyDescent="0.35">
      <c r="A2172" s="3">
        <v>1117722</v>
      </c>
      <c r="B2172" s="2" t="s">
        <v>27</v>
      </c>
      <c r="C2172">
        <v>57691</v>
      </c>
      <c r="D2172" s="2" t="s">
        <v>35</v>
      </c>
      <c r="E2172">
        <v>6</v>
      </c>
      <c r="F2172">
        <v>2</v>
      </c>
      <c r="G2172" s="4">
        <f>VALUE(SUBSTITUTE(SUBSTITUTE(Table1[[#This Row],[Price]],"$",""),",",""))</f>
        <v>1117722</v>
      </c>
      <c r="H2172" s="1">
        <f>Table1[[#This Row],[Price2]]/Table1[[#This Row],[Area]]</f>
        <v>328.16265413975339</v>
      </c>
      <c r="I2172">
        <v>3406</v>
      </c>
      <c r="J2172">
        <v>1950</v>
      </c>
      <c r="K2172">
        <v>116</v>
      </c>
      <c r="L2172" t="s">
        <v>19</v>
      </c>
      <c r="M2172" t="s">
        <v>2619</v>
      </c>
      <c r="N2172" s="2" t="s">
        <v>3035</v>
      </c>
      <c r="O2172" t="s">
        <v>3036</v>
      </c>
      <c r="P2172" t="s">
        <v>21</v>
      </c>
      <c r="Q2172">
        <v>328.16265413975339</v>
      </c>
      <c r="R2172">
        <f ca="1">YEAR(TODAY())-Table1[[#This Row],[Year Built]]</f>
        <v>76</v>
      </c>
      <c r="S2172" t="str">
        <f>IF(Table1[[#This Row],[Days on Market]] &lt; 30,"Fast",IF(Table1[[#This Row],[Days on Market]]&lt;= 90,"Average", "Slow"))</f>
        <v>Slow</v>
      </c>
      <c r="T2172" t="str">
        <f>IF(Table1[[#This Row],[Price2]]&lt;500000,"Affordable",IF(Table1[[#This Row],[Price2]]&lt;1000000,"Mid range","Luxury"))</f>
        <v>Luxury</v>
      </c>
    </row>
    <row r="2173" spans="1:20" x14ac:dyDescent="0.35">
      <c r="A2173" s="3">
        <v>1118129</v>
      </c>
      <c r="B2173" s="2" t="s">
        <v>12</v>
      </c>
      <c r="C2173">
        <v>47852</v>
      </c>
      <c r="D2173" s="2" t="s">
        <v>13</v>
      </c>
      <c r="E2173">
        <v>4</v>
      </c>
      <c r="F2173">
        <v>1</v>
      </c>
      <c r="G2173" s="4">
        <f>VALUE(SUBSTITUTE(SUBSTITUTE(Table1[[#This Row],[Price]],"$",""),",",""))</f>
        <v>1118129</v>
      </c>
      <c r="H2173" s="1">
        <f>Table1[[#This Row],[Price2]]/Table1[[#This Row],[Area]]</f>
        <v>311.19649318118564</v>
      </c>
      <c r="I2173">
        <v>3593</v>
      </c>
      <c r="J2173">
        <v>2006</v>
      </c>
      <c r="K2173">
        <v>51</v>
      </c>
      <c r="L2173" t="s">
        <v>52</v>
      </c>
      <c r="M2173" t="s">
        <v>91</v>
      </c>
      <c r="N2173" s="2" t="s">
        <v>3035</v>
      </c>
      <c r="O2173" t="s">
        <v>3036</v>
      </c>
      <c r="P2173" t="s">
        <v>26</v>
      </c>
      <c r="Q2173">
        <v>311.19649318118564</v>
      </c>
      <c r="R2173">
        <f ca="1">YEAR(TODAY())-Table1[[#This Row],[Year Built]]</f>
        <v>20</v>
      </c>
      <c r="S2173" t="str">
        <f>IF(Table1[[#This Row],[Days on Market]] &lt; 30,"Fast",IF(Table1[[#This Row],[Days on Market]]&lt;= 90,"Average", "Slow"))</f>
        <v>Average</v>
      </c>
      <c r="T2173" t="str">
        <f>IF(Table1[[#This Row],[Price2]]&lt;500000,"Affordable",IF(Table1[[#This Row],[Price2]]&lt;1000000,"Mid range","Luxury"))</f>
        <v>Luxury</v>
      </c>
    </row>
    <row r="2174" spans="1:20" x14ac:dyDescent="0.35">
      <c r="A2174" s="3">
        <v>1118325</v>
      </c>
      <c r="B2174" s="2" t="s">
        <v>27</v>
      </c>
      <c r="C2174">
        <v>32540</v>
      </c>
      <c r="D2174" s="2" t="s">
        <v>23</v>
      </c>
      <c r="E2174">
        <v>5</v>
      </c>
      <c r="F2174">
        <v>3</v>
      </c>
      <c r="G2174" s="4">
        <f>VALUE(SUBSTITUTE(SUBSTITUTE(Table1[[#This Row],[Price]],"$",""),",",""))</f>
        <v>1118325</v>
      </c>
      <c r="H2174" s="1">
        <f>Table1[[#This Row],[Price2]]/Table1[[#This Row],[Area]]</f>
        <v>558.04640718562871</v>
      </c>
      <c r="I2174">
        <v>2004</v>
      </c>
      <c r="J2174">
        <v>1995</v>
      </c>
      <c r="K2174">
        <v>42</v>
      </c>
      <c r="L2174" t="s">
        <v>52</v>
      </c>
      <c r="M2174" t="s">
        <v>361</v>
      </c>
      <c r="N2174" s="2" t="s">
        <v>3035</v>
      </c>
      <c r="O2174" t="s">
        <v>3036</v>
      </c>
      <c r="P2174" t="s">
        <v>26</v>
      </c>
      <c r="Q2174">
        <v>558.04640718562871</v>
      </c>
      <c r="R2174">
        <f ca="1">YEAR(TODAY())-Table1[[#This Row],[Year Built]]</f>
        <v>31</v>
      </c>
      <c r="S2174" t="str">
        <f>IF(Table1[[#This Row],[Days on Market]] &lt; 30,"Fast",IF(Table1[[#This Row],[Days on Market]]&lt;= 90,"Average", "Slow"))</f>
        <v>Average</v>
      </c>
      <c r="T2174" t="str">
        <f>IF(Table1[[#This Row],[Price2]]&lt;500000,"Affordable",IF(Table1[[#This Row],[Price2]]&lt;1000000,"Mid range","Luxury"))</f>
        <v>Luxury</v>
      </c>
    </row>
    <row r="2175" spans="1:20" x14ac:dyDescent="0.35">
      <c r="A2175" s="3">
        <v>1120001</v>
      </c>
      <c r="B2175" s="2" t="s">
        <v>34</v>
      </c>
      <c r="C2175">
        <v>82843</v>
      </c>
      <c r="D2175" s="2" t="s">
        <v>35</v>
      </c>
      <c r="E2175">
        <v>3</v>
      </c>
      <c r="F2175">
        <v>2</v>
      </c>
      <c r="G2175" s="4">
        <f>VALUE(SUBSTITUTE(SUBSTITUTE(Table1[[#This Row],[Price]],"$",""),",",""))</f>
        <v>1120001</v>
      </c>
      <c r="H2175" s="1">
        <f>Table1[[#This Row],[Price2]]/Table1[[#This Row],[Area]]</f>
        <v>410.70810414374773</v>
      </c>
      <c r="I2175">
        <v>2727</v>
      </c>
      <c r="J2175">
        <v>1997</v>
      </c>
      <c r="K2175">
        <v>49</v>
      </c>
      <c r="L2175" t="s">
        <v>40</v>
      </c>
      <c r="M2175" t="s">
        <v>2424</v>
      </c>
      <c r="N2175" s="2" t="s">
        <v>3035</v>
      </c>
      <c r="O2175" t="s">
        <v>3036</v>
      </c>
      <c r="P2175" t="s">
        <v>21</v>
      </c>
      <c r="Q2175">
        <v>410.70810414374773</v>
      </c>
      <c r="R2175">
        <f ca="1">YEAR(TODAY())-Table1[[#This Row],[Year Built]]</f>
        <v>29</v>
      </c>
      <c r="S2175" t="str">
        <f>IF(Table1[[#This Row],[Days on Market]] &lt; 30,"Fast",IF(Table1[[#This Row],[Days on Market]]&lt;= 90,"Average", "Slow"))</f>
        <v>Average</v>
      </c>
      <c r="T2175" t="str">
        <f>IF(Table1[[#This Row],[Price2]]&lt;500000,"Affordable",IF(Table1[[#This Row],[Price2]]&lt;1000000,"Mid range","Luxury"))</f>
        <v>Luxury</v>
      </c>
    </row>
    <row r="2176" spans="1:20" x14ac:dyDescent="0.35">
      <c r="A2176" s="3">
        <v>1120178</v>
      </c>
      <c r="B2176" s="2" t="s">
        <v>27</v>
      </c>
      <c r="C2176">
        <v>32456</v>
      </c>
      <c r="D2176" s="2" t="s">
        <v>13</v>
      </c>
      <c r="E2176">
        <v>4</v>
      </c>
      <c r="F2176">
        <v>2</v>
      </c>
      <c r="G2176" s="4">
        <f>VALUE(SUBSTITUTE(SUBSTITUTE(Table1[[#This Row],[Price]],"$",""),",",""))</f>
        <v>1120178</v>
      </c>
      <c r="H2176" s="1">
        <f>Table1[[#This Row],[Price2]]/Table1[[#This Row],[Area]]</f>
        <v>362.04848093083388</v>
      </c>
      <c r="I2176">
        <v>3094</v>
      </c>
      <c r="J2176">
        <v>1995</v>
      </c>
      <c r="K2176">
        <v>86</v>
      </c>
      <c r="L2176" t="s">
        <v>19</v>
      </c>
      <c r="M2176" t="s">
        <v>2322</v>
      </c>
      <c r="N2176" s="2" t="s">
        <v>3029</v>
      </c>
      <c r="O2176" t="s">
        <v>3030</v>
      </c>
      <c r="P2176" t="s">
        <v>21</v>
      </c>
      <c r="Q2176">
        <v>362.04848093083388</v>
      </c>
      <c r="R2176">
        <f ca="1">YEAR(TODAY())-Table1[[#This Row],[Year Built]]</f>
        <v>31</v>
      </c>
      <c r="S2176" t="str">
        <f>IF(Table1[[#This Row],[Days on Market]] &lt; 30,"Fast",IF(Table1[[#This Row],[Days on Market]]&lt;= 90,"Average", "Slow"))</f>
        <v>Average</v>
      </c>
      <c r="T2176" t="str">
        <f>IF(Table1[[#This Row],[Price2]]&lt;500000,"Affordable",IF(Table1[[#This Row],[Price2]]&lt;1000000,"Mid range","Luxury"))</f>
        <v>Luxury</v>
      </c>
    </row>
    <row r="2177" spans="1:20" x14ac:dyDescent="0.35">
      <c r="A2177" s="3">
        <v>1120934</v>
      </c>
      <c r="B2177" s="2" t="s">
        <v>17</v>
      </c>
      <c r="C2177">
        <v>97237</v>
      </c>
      <c r="D2177" s="2" t="s">
        <v>35</v>
      </c>
      <c r="E2177">
        <v>3</v>
      </c>
      <c r="F2177">
        <v>3</v>
      </c>
      <c r="G2177" s="4">
        <f>VALUE(SUBSTITUTE(SUBSTITUTE(Table1[[#This Row],[Price]],"$",""),",",""))</f>
        <v>1120934</v>
      </c>
      <c r="H2177" s="1">
        <f>Table1[[#This Row],[Price2]]/Table1[[#This Row],[Area]]</f>
        <v>285.80673125956145</v>
      </c>
      <c r="I2177">
        <v>3922</v>
      </c>
      <c r="J2177">
        <v>2012</v>
      </c>
      <c r="K2177">
        <v>36</v>
      </c>
      <c r="L2177" t="s">
        <v>30</v>
      </c>
      <c r="M2177" t="s">
        <v>1056</v>
      </c>
      <c r="N2177" s="2" t="s">
        <v>3031</v>
      </c>
      <c r="O2177" t="s">
        <v>3032</v>
      </c>
      <c r="P2177" t="s">
        <v>26</v>
      </c>
      <c r="Q2177">
        <v>285.80673125956145</v>
      </c>
      <c r="R2177">
        <f ca="1">YEAR(TODAY())-Table1[[#This Row],[Year Built]]</f>
        <v>14</v>
      </c>
      <c r="S2177" t="str">
        <f>IF(Table1[[#This Row],[Days on Market]] &lt; 30,"Fast",IF(Table1[[#This Row],[Days on Market]]&lt;= 90,"Average", "Slow"))</f>
        <v>Average</v>
      </c>
      <c r="T2177" t="str">
        <f>IF(Table1[[#This Row],[Price2]]&lt;500000,"Affordable",IF(Table1[[#This Row],[Price2]]&lt;1000000,"Mid range","Luxury"))</f>
        <v>Luxury</v>
      </c>
    </row>
    <row r="2178" spans="1:20" x14ac:dyDescent="0.35">
      <c r="A2178" s="3">
        <v>1121373</v>
      </c>
      <c r="B2178" s="2" t="s">
        <v>22</v>
      </c>
      <c r="C2178">
        <v>94325</v>
      </c>
      <c r="D2178" s="2" t="s">
        <v>13</v>
      </c>
      <c r="E2178">
        <v>2</v>
      </c>
      <c r="F2178">
        <v>1</v>
      </c>
      <c r="G2178" s="4">
        <f>VALUE(SUBSTITUTE(SUBSTITUTE(Table1[[#This Row],[Price]],"$",""),",",""))</f>
        <v>1121373</v>
      </c>
      <c r="H2178" s="1">
        <f>Table1[[#This Row],[Price2]]/Table1[[#This Row],[Area]]</f>
        <v>1216.2396963123645</v>
      </c>
      <c r="I2178">
        <v>922</v>
      </c>
      <c r="J2178">
        <v>2002</v>
      </c>
      <c r="K2178">
        <v>115</v>
      </c>
      <c r="L2178" t="s">
        <v>52</v>
      </c>
      <c r="M2178" t="s">
        <v>405</v>
      </c>
      <c r="N2178" s="2" t="s">
        <v>3027</v>
      </c>
      <c r="O2178" t="s">
        <v>3028</v>
      </c>
      <c r="P2178" t="s">
        <v>16</v>
      </c>
      <c r="Q2178">
        <v>1216.2396963123645</v>
      </c>
      <c r="R2178">
        <f ca="1">YEAR(TODAY())-Table1[[#This Row],[Year Built]]</f>
        <v>24</v>
      </c>
      <c r="S2178" t="str">
        <f>IF(Table1[[#This Row],[Days on Market]] &lt; 30,"Fast",IF(Table1[[#This Row],[Days on Market]]&lt;= 90,"Average", "Slow"))</f>
        <v>Slow</v>
      </c>
      <c r="T2178" t="str">
        <f>IF(Table1[[#This Row],[Price2]]&lt;500000,"Affordable",IF(Table1[[#This Row],[Price2]]&lt;1000000,"Mid range","Luxury"))</f>
        <v>Luxury</v>
      </c>
    </row>
    <row r="2179" spans="1:20" x14ac:dyDescent="0.35">
      <c r="A2179" s="3">
        <v>1122084</v>
      </c>
      <c r="B2179" s="2" t="s">
        <v>12</v>
      </c>
      <c r="C2179">
        <v>80136</v>
      </c>
      <c r="D2179" s="2" t="s">
        <v>29</v>
      </c>
      <c r="E2179">
        <v>6</v>
      </c>
      <c r="F2179">
        <v>2</v>
      </c>
      <c r="G2179" s="4">
        <f>VALUE(SUBSTITUTE(SUBSTITUTE(Table1[[#This Row],[Price]],"$",""),",",""))</f>
        <v>1122084</v>
      </c>
      <c r="H2179" s="1">
        <f>Table1[[#This Row],[Price2]]/Table1[[#This Row],[Area]]</f>
        <v>366.57432211695522</v>
      </c>
      <c r="I2179">
        <v>3061</v>
      </c>
      <c r="J2179">
        <v>2000</v>
      </c>
      <c r="K2179">
        <v>78</v>
      </c>
      <c r="L2179" t="s">
        <v>14</v>
      </c>
      <c r="M2179" t="s">
        <v>157</v>
      </c>
      <c r="N2179" s="2" t="s">
        <v>3027</v>
      </c>
      <c r="O2179" t="s">
        <v>3028</v>
      </c>
      <c r="P2179" t="s">
        <v>21</v>
      </c>
      <c r="Q2179">
        <v>366.57432211695522</v>
      </c>
      <c r="R2179">
        <f ca="1">YEAR(TODAY())-Table1[[#This Row],[Year Built]]</f>
        <v>26</v>
      </c>
      <c r="S2179" t="str">
        <f>IF(Table1[[#This Row],[Days on Market]] &lt; 30,"Fast",IF(Table1[[#This Row],[Days on Market]]&lt;= 90,"Average", "Slow"))</f>
        <v>Average</v>
      </c>
      <c r="T2179" t="str">
        <f>IF(Table1[[#This Row],[Price2]]&lt;500000,"Affordable",IF(Table1[[#This Row],[Price2]]&lt;1000000,"Mid range","Luxury"))</f>
        <v>Luxury</v>
      </c>
    </row>
    <row r="2180" spans="1:20" x14ac:dyDescent="0.35">
      <c r="A2180" s="3">
        <v>1122337</v>
      </c>
      <c r="B2180" s="2" t="s">
        <v>34</v>
      </c>
      <c r="C2180">
        <v>52454</v>
      </c>
      <c r="D2180" s="2" t="s">
        <v>18</v>
      </c>
      <c r="E2180">
        <v>4</v>
      </c>
      <c r="F2180">
        <v>1</v>
      </c>
      <c r="G2180" s="4">
        <f>VALUE(SUBSTITUTE(SUBSTITUTE(Table1[[#This Row],[Price]],"$",""),",",""))</f>
        <v>1122337</v>
      </c>
      <c r="H2180" s="1">
        <f>Table1[[#This Row],[Price2]]/Table1[[#This Row],[Area]]</f>
        <v>576.44427324088338</v>
      </c>
      <c r="I2180">
        <v>1947</v>
      </c>
      <c r="J2180">
        <v>1996</v>
      </c>
      <c r="K2180">
        <v>40</v>
      </c>
      <c r="L2180" t="s">
        <v>40</v>
      </c>
      <c r="M2180" t="s">
        <v>626</v>
      </c>
      <c r="N2180" s="2" t="s">
        <v>3027</v>
      </c>
      <c r="O2180" t="s">
        <v>3028</v>
      </c>
      <c r="P2180" t="s">
        <v>21</v>
      </c>
      <c r="Q2180">
        <v>576.44427324088338</v>
      </c>
      <c r="R2180">
        <f ca="1">YEAR(TODAY())-Table1[[#This Row],[Year Built]]</f>
        <v>30</v>
      </c>
      <c r="S2180" t="str">
        <f>IF(Table1[[#This Row],[Days on Market]] &lt; 30,"Fast",IF(Table1[[#This Row],[Days on Market]]&lt;= 90,"Average", "Slow"))</f>
        <v>Average</v>
      </c>
      <c r="T2180" t="str">
        <f>IF(Table1[[#This Row],[Price2]]&lt;500000,"Affordable",IF(Table1[[#This Row],[Price2]]&lt;1000000,"Mid range","Luxury"))</f>
        <v>Luxury</v>
      </c>
    </row>
    <row r="2181" spans="1:20" x14ac:dyDescent="0.35">
      <c r="A2181" s="3">
        <v>1122707</v>
      </c>
      <c r="B2181" s="2" t="s">
        <v>27</v>
      </c>
      <c r="C2181">
        <v>41713</v>
      </c>
      <c r="D2181" s="2" t="s">
        <v>13</v>
      </c>
      <c r="E2181">
        <v>6</v>
      </c>
      <c r="F2181">
        <v>1</v>
      </c>
      <c r="G2181" s="4">
        <f>VALUE(SUBSTITUTE(SUBSTITUTE(Table1[[#This Row],[Price]],"$",""),",",""))</f>
        <v>1122707</v>
      </c>
      <c r="H2181" s="1">
        <f>Table1[[#This Row],[Price2]]/Table1[[#This Row],[Area]]</f>
        <v>348.01828890266586</v>
      </c>
      <c r="I2181">
        <v>3226</v>
      </c>
      <c r="J2181">
        <v>2004</v>
      </c>
      <c r="K2181">
        <v>58</v>
      </c>
      <c r="L2181" t="s">
        <v>30</v>
      </c>
      <c r="M2181" t="s">
        <v>497</v>
      </c>
      <c r="N2181" s="2" t="s">
        <v>3035</v>
      </c>
      <c r="O2181" t="s">
        <v>3036</v>
      </c>
      <c r="P2181" t="s">
        <v>26</v>
      </c>
      <c r="Q2181">
        <v>348.01828890266586</v>
      </c>
      <c r="R2181">
        <f ca="1">YEAR(TODAY())-Table1[[#This Row],[Year Built]]</f>
        <v>22</v>
      </c>
      <c r="S2181" t="str">
        <f>IF(Table1[[#This Row],[Days on Market]] &lt; 30,"Fast",IF(Table1[[#This Row],[Days on Market]]&lt;= 90,"Average", "Slow"))</f>
        <v>Average</v>
      </c>
      <c r="T2181" t="str">
        <f>IF(Table1[[#This Row],[Price2]]&lt;500000,"Affordable",IF(Table1[[#This Row],[Price2]]&lt;1000000,"Mid range","Luxury"))</f>
        <v>Luxury</v>
      </c>
    </row>
    <row r="2182" spans="1:20" x14ac:dyDescent="0.35">
      <c r="A2182" s="3">
        <v>1123182</v>
      </c>
      <c r="B2182" s="2" t="s">
        <v>27</v>
      </c>
      <c r="C2182">
        <v>79755</v>
      </c>
      <c r="D2182" s="2" t="s">
        <v>13</v>
      </c>
      <c r="E2182">
        <v>5</v>
      </c>
      <c r="F2182">
        <v>4</v>
      </c>
      <c r="G2182" s="4">
        <f>VALUE(SUBSTITUTE(SUBSTITUTE(Table1[[#This Row],[Price]],"$",""),",",""))</f>
        <v>1123182</v>
      </c>
      <c r="H2182" s="1">
        <f>Table1[[#This Row],[Price2]]/Table1[[#This Row],[Area]]</f>
        <v>438.91441969519343</v>
      </c>
      <c r="I2182">
        <v>2559</v>
      </c>
      <c r="J2182">
        <v>1984</v>
      </c>
      <c r="K2182">
        <v>29</v>
      </c>
      <c r="L2182" t="s">
        <v>19</v>
      </c>
      <c r="M2182" t="s">
        <v>2561</v>
      </c>
      <c r="N2182" s="2" t="s">
        <v>3027</v>
      </c>
      <c r="O2182" t="s">
        <v>3028</v>
      </c>
      <c r="P2182" t="s">
        <v>16</v>
      </c>
      <c r="Q2182">
        <v>438.91441969519343</v>
      </c>
      <c r="R2182">
        <f ca="1">YEAR(TODAY())-Table1[[#This Row],[Year Built]]</f>
        <v>42</v>
      </c>
      <c r="S2182" t="str">
        <f>IF(Table1[[#This Row],[Days on Market]] &lt; 30,"Fast",IF(Table1[[#This Row],[Days on Market]]&lt;= 90,"Average", "Slow"))</f>
        <v>Fast</v>
      </c>
      <c r="T2182" t="str">
        <f>IF(Table1[[#This Row],[Price2]]&lt;500000,"Affordable",IF(Table1[[#This Row],[Price2]]&lt;1000000,"Mid range","Luxury"))</f>
        <v>Luxury</v>
      </c>
    </row>
    <row r="2183" spans="1:20" x14ac:dyDescent="0.35">
      <c r="A2183" s="3">
        <v>1123280</v>
      </c>
      <c r="B2183" s="2" t="s">
        <v>27</v>
      </c>
      <c r="C2183">
        <v>22716</v>
      </c>
      <c r="D2183" s="2" t="s">
        <v>29</v>
      </c>
      <c r="E2183">
        <v>1</v>
      </c>
      <c r="F2183">
        <v>1</v>
      </c>
      <c r="G2183" s="4">
        <f>VALUE(SUBSTITUTE(SUBSTITUTE(Table1[[#This Row],[Price]],"$",""),",",""))</f>
        <v>1123280</v>
      </c>
      <c r="H2183" s="1">
        <f>Table1[[#This Row],[Price2]]/Table1[[#This Row],[Area]]</f>
        <v>1733.4567901234568</v>
      </c>
      <c r="I2183">
        <v>648</v>
      </c>
      <c r="J2183">
        <v>1968</v>
      </c>
      <c r="K2183">
        <v>105</v>
      </c>
      <c r="L2183" t="s">
        <v>14</v>
      </c>
      <c r="M2183" t="s">
        <v>2783</v>
      </c>
      <c r="N2183" s="2" t="s">
        <v>3031</v>
      </c>
      <c r="O2183" t="s">
        <v>3032</v>
      </c>
      <c r="P2183" t="s">
        <v>16</v>
      </c>
      <c r="Q2183">
        <v>1733.4567901234568</v>
      </c>
      <c r="R2183">
        <f ca="1">YEAR(TODAY())-Table1[[#This Row],[Year Built]]</f>
        <v>58</v>
      </c>
      <c r="S2183" t="str">
        <f>IF(Table1[[#This Row],[Days on Market]] &lt; 30,"Fast",IF(Table1[[#This Row],[Days on Market]]&lt;= 90,"Average", "Slow"))</f>
        <v>Slow</v>
      </c>
      <c r="T2183" t="str">
        <f>IF(Table1[[#This Row],[Price2]]&lt;500000,"Affordable",IF(Table1[[#This Row],[Price2]]&lt;1000000,"Mid range","Luxury"))</f>
        <v>Luxury</v>
      </c>
    </row>
    <row r="2184" spans="1:20" x14ac:dyDescent="0.35">
      <c r="A2184" s="3">
        <v>1123358</v>
      </c>
      <c r="B2184" s="2" t="s">
        <v>27</v>
      </c>
      <c r="C2184">
        <v>10643</v>
      </c>
      <c r="D2184" s="2" t="s">
        <v>23</v>
      </c>
      <c r="E2184">
        <v>1</v>
      </c>
      <c r="F2184">
        <v>2</v>
      </c>
      <c r="G2184" s="4">
        <f>VALUE(SUBSTITUTE(SUBSTITUTE(Table1[[#This Row],[Price]],"$",""),",",""))</f>
        <v>1123358</v>
      </c>
      <c r="H2184" s="1">
        <f>Table1[[#This Row],[Price2]]/Table1[[#This Row],[Area]]</f>
        <v>364.25356679636837</v>
      </c>
      <c r="I2184">
        <v>3084</v>
      </c>
      <c r="J2184">
        <v>1978</v>
      </c>
      <c r="K2184">
        <v>96</v>
      </c>
      <c r="L2184" t="s">
        <v>30</v>
      </c>
      <c r="M2184" t="s">
        <v>945</v>
      </c>
      <c r="N2184" s="2" t="s">
        <v>3031</v>
      </c>
      <c r="O2184" t="s">
        <v>3032</v>
      </c>
      <c r="P2184" t="s">
        <v>16</v>
      </c>
      <c r="Q2184">
        <v>364.25356679636837</v>
      </c>
      <c r="R2184">
        <f ca="1">YEAR(TODAY())-Table1[[#This Row],[Year Built]]</f>
        <v>48</v>
      </c>
      <c r="S2184" t="str">
        <f>IF(Table1[[#This Row],[Days on Market]] &lt; 30,"Fast",IF(Table1[[#This Row],[Days on Market]]&lt;= 90,"Average", "Slow"))</f>
        <v>Slow</v>
      </c>
      <c r="T2184" t="str">
        <f>IF(Table1[[#This Row],[Price2]]&lt;500000,"Affordable",IF(Table1[[#This Row],[Price2]]&lt;1000000,"Mid range","Luxury"))</f>
        <v>Luxury</v>
      </c>
    </row>
    <row r="2185" spans="1:20" x14ac:dyDescent="0.35">
      <c r="A2185" s="3">
        <v>1123484</v>
      </c>
      <c r="B2185" s="2" t="s">
        <v>12</v>
      </c>
      <c r="C2185">
        <v>81853</v>
      </c>
      <c r="D2185" s="2" t="s">
        <v>29</v>
      </c>
      <c r="E2185">
        <v>1</v>
      </c>
      <c r="F2185">
        <v>2</v>
      </c>
      <c r="G2185" s="4">
        <f>VALUE(SUBSTITUTE(SUBSTITUTE(Table1[[#This Row],[Price]],"$",""),",",""))</f>
        <v>1123484</v>
      </c>
      <c r="H2185" s="1">
        <f>Table1[[#This Row],[Price2]]/Table1[[#This Row],[Area]]</f>
        <v>825.48420279206471</v>
      </c>
      <c r="I2185">
        <v>1361</v>
      </c>
      <c r="J2185">
        <v>2011</v>
      </c>
      <c r="K2185">
        <v>33</v>
      </c>
      <c r="L2185" t="s">
        <v>52</v>
      </c>
      <c r="M2185" t="s">
        <v>1036</v>
      </c>
      <c r="N2185" s="2" t="s">
        <v>3029</v>
      </c>
      <c r="O2185" t="s">
        <v>3030</v>
      </c>
      <c r="P2185" t="s">
        <v>16</v>
      </c>
      <c r="Q2185">
        <v>825.48420279206471</v>
      </c>
      <c r="R2185">
        <f ca="1">YEAR(TODAY())-Table1[[#This Row],[Year Built]]</f>
        <v>15</v>
      </c>
      <c r="S2185" t="str">
        <f>IF(Table1[[#This Row],[Days on Market]] &lt; 30,"Fast",IF(Table1[[#This Row],[Days on Market]]&lt;= 90,"Average", "Slow"))</f>
        <v>Average</v>
      </c>
      <c r="T2185" t="str">
        <f>IF(Table1[[#This Row],[Price2]]&lt;500000,"Affordable",IF(Table1[[#This Row],[Price2]]&lt;1000000,"Mid range","Luxury"))</f>
        <v>Luxury</v>
      </c>
    </row>
    <row r="2186" spans="1:20" x14ac:dyDescent="0.35">
      <c r="A2186" s="3">
        <v>1123836</v>
      </c>
      <c r="B2186" s="2" t="s">
        <v>34</v>
      </c>
      <c r="C2186">
        <v>76365</v>
      </c>
      <c r="D2186" s="2" t="s">
        <v>29</v>
      </c>
      <c r="E2186">
        <v>1</v>
      </c>
      <c r="F2186">
        <v>2</v>
      </c>
      <c r="G2186" s="4">
        <f>VALUE(SUBSTITUTE(SUBSTITUTE(Table1[[#This Row],[Price]],"$",""),",",""))</f>
        <v>1123836</v>
      </c>
      <c r="H2186" s="1">
        <f>Table1[[#This Row],[Price2]]/Table1[[#This Row],[Area]]</f>
        <v>1222.8900979325354</v>
      </c>
      <c r="I2186">
        <v>919</v>
      </c>
      <c r="J2186">
        <v>1989</v>
      </c>
      <c r="K2186">
        <v>78</v>
      </c>
      <c r="L2186" t="s">
        <v>14</v>
      </c>
      <c r="M2186" t="s">
        <v>284</v>
      </c>
      <c r="N2186" s="2" t="s">
        <v>3027</v>
      </c>
      <c r="O2186" t="s">
        <v>3028</v>
      </c>
      <c r="P2186" t="s">
        <v>16</v>
      </c>
      <c r="Q2186">
        <v>1222.8900979325354</v>
      </c>
      <c r="R2186">
        <f ca="1">YEAR(TODAY())-Table1[[#This Row],[Year Built]]</f>
        <v>37</v>
      </c>
      <c r="S2186" t="str">
        <f>IF(Table1[[#This Row],[Days on Market]] &lt; 30,"Fast",IF(Table1[[#This Row],[Days on Market]]&lt;= 90,"Average", "Slow"))</f>
        <v>Average</v>
      </c>
      <c r="T2186" t="str">
        <f>IF(Table1[[#This Row],[Price2]]&lt;500000,"Affordable",IF(Table1[[#This Row],[Price2]]&lt;1000000,"Mid range","Luxury"))</f>
        <v>Luxury</v>
      </c>
    </row>
    <row r="2187" spans="1:20" x14ac:dyDescent="0.35">
      <c r="A2187" s="3">
        <v>1124902</v>
      </c>
      <c r="B2187" s="2" t="s">
        <v>34</v>
      </c>
      <c r="C2187">
        <v>98081</v>
      </c>
      <c r="D2187" s="2" t="s">
        <v>23</v>
      </c>
      <c r="E2187">
        <v>1</v>
      </c>
      <c r="F2187">
        <v>3</v>
      </c>
      <c r="G2187" s="4">
        <f>VALUE(SUBSTITUTE(SUBSTITUTE(Table1[[#This Row],[Price]],"$",""),",",""))</f>
        <v>1124902</v>
      </c>
      <c r="H2187" s="1">
        <f>Table1[[#This Row],[Price2]]/Table1[[#This Row],[Area]]</f>
        <v>418.95791433891992</v>
      </c>
      <c r="I2187">
        <v>2685</v>
      </c>
      <c r="J2187">
        <v>1955</v>
      </c>
      <c r="K2187">
        <v>73</v>
      </c>
      <c r="L2187" t="s">
        <v>40</v>
      </c>
      <c r="M2187" t="s">
        <v>981</v>
      </c>
      <c r="N2187" s="2" t="s">
        <v>3033</v>
      </c>
      <c r="O2187" t="s">
        <v>3034</v>
      </c>
      <c r="P2187" t="s">
        <v>21</v>
      </c>
      <c r="Q2187">
        <v>418.95791433891992</v>
      </c>
      <c r="R2187">
        <f ca="1">YEAR(TODAY())-Table1[[#This Row],[Year Built]]</f>
        <v>71</v>
      </c>
      <c r="S2187" t="str">
        <f>IF(Table1[[#This Row],[Days on Market]] &lt; 30,"Fast",IF(Table1[[#This Row],[Days on Market]]&lt;= 90,"Average", "Slow"))</f>
        <v>Average</v>
      </c>
      <c r="T2187" t="str">
        <f>IF(Table1[[#This Row],[Price2]]&lt;500000,"Affordable",IF(Table1[[#This Row],[Price2]]&lt;1000000,"Mid range","Luxury"))</f>
        <v>Luxury</v>
      </c>
    </row>
    <row r="2188" spans="1:20" x14ac:dyDescent="0.35">
      <c r="A2188" s="3">
        <v>1126190</v>
      </c>
      <c r="B2188" s="2" t="s">
        <v>17</v>
      </c>
      <c r="C2188">
        <v>52034</v>
      </c>
      <c r="D2188" s="2" t="s">
        <v>18</v>
      </c>
      <c r="E2188">
        <v>5</v>
      </c>
      <c r="F2188">
        <v>2</v>
      </c>
      <c r="G2188" s="4">
        <f>VALUE(SUBSTITUTE(SUBSTITUTE(Table1[[#This Row],[Price]],"$",""),",",""))</f>
        <v>1126190</v>
      </c>
      <c r="H2188" s="1">
        <f>Table1[[#This Row],[Price2]]/Table1[[#This Row],[Area]]</f>
        <v>544.31609473175445</v>
      </c>
      <c r="I2188">
        <v>2069</v>
      </c>
      <c r="J2188">
        <v>1976</v>
      </c>
      <c r="K2188">
        <v>74</v>
      </c>
      <c r="L2188" t="s">
        <v>40</v>
      </c>
      <c r="M2188" t="s">
        <v>2646</v>
      </c>
      <c r="N2188" s="2" t="s">
        <v>3027</v>
      </c>
      <c r="O2188" t="s">
        <v>3028</v>
      </c>
      <c r="P2188" t="s">
        <v>26</v>
      </c>
      <c r="Q2188">
        <v>544.31609473175445</v>
      </c>
      <c r="R2188">
        <f ca="1">YEAR(TODAY())-Table1[[#This Row],[Year Built]]</f>
        <v>50</v>
      </c>
      <c r="S2188" t="str">
        <f>IF(Table1[[#This Row],[Days on Market]] &lt; 30,"Fast",IF(Table1[[#This Row],[Days on Market]]&lt;= 90,"Average", "Slow"))</f>
        <v>Average</v>
      </c>
      <c r="T2188" t="str">
        <f>IF(Table1[[#This Row],[Price2]]&lt;500000,"Affordable",IF(Table1[[#This Row],[Price2]]&lt;1000000,"Mid range","Luxury"))</f>
        <v>Luxury</v>
      </c>
    </row>
    <row r="2189" spans="1:20" x14ac:dyDescent="0.35">
      <c r="A2189" s="3">
        <v>1126603</v>
      </c>
      <c r="B2189" s="2" t="s">
        <v>27</v>
      </c>
      <c r="C2189">
        <v>73560</v>
      </c>
      <c r="D2189" s="2" t="s">
        <v>23</v>
      </c>
      <c r="E2189">
        <v>5</v>
      </c>
      <c r="F2189">
        <v>4</v>
      </c>
      <c r="G2189" s="4">
        <f>VALUE(SUBSTITUTE(SUBSTITUTE(Table1[[#This Row],[Price]],"$",""),",",""))</f>
        <v>1126603</v>
      </c>
      <c r="H2189" s="1">
        <f>Table1[[#This Row],[Price2]]/Table1[[#This Row],[Area]]</f>
        <v>492.18130187854956</v>
      </c>
      <c r="I2189">
        <v>2289</v>
      </c>
      <c r="J2189">
        <v>1957</v>
      </c>
      <c r="K2189">
        <v>22</v>
      </c>
      <c r="L2189" t="s">
        <v>19</v>
      </c>
      <c r="M2189" t="s">
        <v>1341</v>
      </c>
      <c r="N2189" s="2" t="s">
        <v>3027</v>
      </c>
      <c r="O2189" t="s">
        <v>3028</v>
      </c>
      <c r="P2189" t="s">
        <v>21</v>
      </c>
      <c r="Q2189">
        <v>492.18130187854956</v>
      </c>
      <c r="R2189">
        <f ca="1">YEAR(TODAY())-Table1[[#This Row],[Year Built]]</f>
        <v>69</v>
      </c>
      <c r="S2189" t="str">
        <f>IF(Table1[[#This Row],[Days on Market]] &lt; 30,"Fast",IF(Table1[[#This Row],[Days on Market]]&lt;= 90,"Average", "Slow"))</f>
        <v>Fast</v>
      </c>
      <c r="T2189" t="str">
        <f>IF(Table1[[#This Row],[Price2]]&lt;500000,"Affordable",IF(Table1[[#This Row],[Price2]]&lt;1000000,"Mid range","Luxury"))</f>
        <v>Luxury</v>
      </c>
    </row>
    <row r="2190" spans="1:20" x14ac:dyDescent="0.35">
      <c r="A2190" s="3">
        <v>1127463</v>
      </c>
      <c r="B2190" s="2" t="s">
        <v>27</v>
      </c>
      <c r="C2190">
        <v>50916</v>
      </c>
      <c r="D2190" s="2" t="s">
        <v>35</v>
      </c>
      <c r="E2190">
        <v>5</v>
      </c>
      <c r="F2190">
        <v>3</v>
      </c>
      <c r="G2190" s="4">
        <f>VALUE(SUBSTITUTE(SUBSTITUTE(Table1[[#This Row],[Price]],"$",""),",",""))</f>
        <v>1127463</v>
      </c>
      <c r="H2190" s="1">
        <f>Table1[[#This Row],[Price2]]/Table1[[#This Row],[Area]]</f>
        <v>383.49081632653059</v>
      </c>
      <c r="I2190">
        <v>2940</v>
      </c>
      <c r="J2190">
        <v>1986</v>
      </c>
      <c r="K2190">
        <v>59</v>
      </c>
      <c r="L2190" t="s">
        <v>52</v>
      </c>
      <c r="M2190" t="s">
        <v>852</v>
      </c>
      <c r="N2190" s="2" t="s">
        <v>3029</v>
      </c>
      <c r="O2190" t="s">
        <v>3030</v>
      </c>
      <c r="P2190" t="s">
        <v>21</v>
      </c>
      <c r="Q2190">
        <v>383.49081632653059</v>
      </c>
      <c r="R2190">
        <f ca="1">YEAR(TODAY())-Table1[[#This Row],[Year Built]]</f>
        <v>40</v>
      </c>
      <c r="S2190" t="str">
        <f>IF(Table1[[#This Row],[Days on Market]] &lt; 30,"Fast",IF(Table1[[#This Row],[Days on Market]]&lt;= 90,"Average", "Slow"))</f>
        <v>Average</v>
      </c>
      <c r="T2190" t="str">
        <f>IF(Table1[[#This Row],[Price2]]&lt;500000,"Affordable",IF(Table1[[#This Row],[Price2]]&lt;1000000,"Mid range","Luxury"))</f>
        <v>Luxury</v>
      </c>
    </row>
    <row r="2191" spans="1:20" x14ac:dyDescent="0.35">
      <c r="A2191" s="3">
        <v>1127603</v>
      </c>
      <c r="B2191" s="2" t="s">
        <v>22</v>
      </c>
      <c r="C2191">
        <v>30883</v>
      </c>
      <c r="D2191" s="2" t="s">
        <v>23</v>
      </c>
      <c r="E2191">
        <v>1</v>
      </c>
      <c r="F2191">
        <v>2</v>
      </c>
      <c r="G2191" s="4">
        <f>VALUE(SUBSTITUTE(SUBSTITUTE(Table1[[#This Row],[Price]],"$",""),",",""))</f>
        <v>1127603</v>
      </c>
      <c r="H2191" s="1">
        <f>Table1[[#This Row],[Price2]]/Table1[[#This Row],[Area]]</f>
        <v>620.58503026967526</v>
      </c>
      <c r="I2191">
        <v>1817</v>
      </c>
      <c r="J2191">
        <v>1990</v>
      </c>
      <c r="K2191">
        <v>39</v>
      </c>
      <c r="L2191" t="s">
        <v>14</v>
      </c>
      <c r="M2191" t="s">
        <v>2104</v>
      </c>
      <c r="N2191" s="2" t="s">
        <v>3033</v>
      </c>
      <c r="O2191" t="s">
        <v>3034</v>
      </c>
      <c r="P2191" t="s">
        <v>26</v>
      </c>
      <c r="Q2191">
        <v>620.58503026967526</v>
      </c>
      <c r="R2191">
        <f ca="1">YEAR(TODAY())-Table1[[#This Row],[Year Built]]</f>
        <v>36</v>
      </c>
      <c r="S2191" t="str">
        <f>IF(Table1[[#This Row],[Days on Market]] &lt; 30,"Fast",IF(Table1[[#This Row],[Days on Market]]&lt;= 90,"Average", "Slow"))</f>
        <v>Average</v>
      </c>
      <c r="T2191" t="str">
        <f>IF(Table1[[#This Row],[Price2]]&lt;500000,"Affordable",IF(Table1[[#This Row],[Price2]]&lt;1000000,"Mid range","Luxury"))</f>
        <v>Luxury</v>
      </c>
    </row>
    <row r="2192" spans="1:20" x14ac:dyDescent="0.35">
      <c r="A2192" s="3">
        <v>1128439</v>
      </c>
      <c r="B2192" s="2" t="s">
        <v>12</v>
      </c>
      <c r="C2192">
        <v>15359</v>
      </c>
      <c r="D2192" s="2" t="s">
        <v>18</v>
      </c>
      <c r="E2192">
        <v>6</v>
      </c>
      <c r="F2192">
        <v>3</v>
      </c>
      <c r="G2192" s="4">
        <f>VALUE(SUBSTITUTE(SUBSTITUTE(Table1[[#This Row],[Price]],"$",""),",",""))</f>
        <v>1128439</v>
      </c>
      <c r="H2192" s="1">
        <f>Table1[[#This Row],[Price2]]/Table1[[#This Row],[Area]]</f>
        <v>474.93223905723903</v>
      </c>
      <c r="I2192">
        <v>2376</v>
      </c>
      <c r="J2192">
        <v>1984</v>
      </c>
      <c r="K2192">
        <v>113</v>
      </c>
      <c r="L2192" t="s">
        <v>52</v>
      </c>
      <c r="M2192" t="s">
        <v>2606</v>
      </c>
      <c r="N2192" s="2" t="s">
        <v>3035</v>
      </c>
      <c r="O2192" t="s">
        <v>3036</v>
      </c>
      <c r="P2192" t="s">
        <v>21</v>
      </c>
      <c r="Q2192">
        <v>474.93223905723903</v>
      </c>
      <c r="R2192">
        <f ca="1">YEAR(TODAY())-Table1[[#This Row],[Year Built]]</f>
        <v>42</v>
      </c>
      <c r="S2192" t="str">
        <f>IF(Table1[[#This Row],[Days on Market]] &lt; 30,"Fast",IF(Table1[[#This Row],[Days on Market]]&lt;= 90,"Average", "Slow"))</f>
        <v>Slow</v>
      </c>
      <c r="T2192" t="str">
        <f>IF(Table1[[#This Row],[Price2]]&lt;500000,"Affordable",IF(Table1[[#This Row],[Price2]]&lt;1000000,"Mid range","Luxury"))</f>
        <v>Luxury</v>
      </c>
    </row>
    <row r="2193" spans="1:20" x14ac:dyDescent="0.35">
      <c r="A2193" s="3">
        <v>1129152</v>
      </c>
      <c r="B2193" s="2" t="s">
        <v>22</v>
      </c>
      <c r="C2193">
        <v>12477</v>
      </c>
      <c r="D2193" s="2" t="s">
        <v>13</v>
      </c>
      <c r="E2193">
        <v>6</v>
      </c>
      <c r="F2193">
        <v>3</v>
      </c>
      <c r="G2193" s="4">
        <f>VALUE(SUBSTITUTE(SUBSTITUTE(Table1[[#This Row],[Price]],"$",""),",",""))</f>
        <v>1129152</v>
      </c>
      <c r="H2193" s="1">
        <f>Table1[[#This Row],[Price2]]/Table1[[#This Row],[Area]]</f>
        <v>861.29061784897021</v>
      </c>
      <c r="I2193">
        <v>1311</v>
      </c>
      <c r="J2193">
        <v>2021</v>
      </c>
      <c r="K2193">
        <v>100</v>
      </c>
      <c r="L2193" t="s">
        <v>30</v>
      </c>
      <c r="M2193" t="s">
        <v>839</v>
      </c>
      <c r="N2193" s="2" t="s">
        <v>3029</v>
      </c>
      <c r="O2193" t="s">
        <v>3030</v>
      </c>
      <c r="P2193" t="s">
        <v>26</v>
      </c>
      <c r="Q2193">
        <v>861.29061784897021</v>
      </c>
      <c r="R2193">
        <f ca="1">YEAR(TODAY())-Table1[[#This Row],[Year Built]]</f>
        <v>5</v>
      </c>
      <c r="S2193" t="str">
        <f>IF(Table1[[#This Row],[Days on Market]] &lt; 30,"Fast",IF(Table1[[#This Row],[Days on Market]]&lt;= 90,"Average", "Slow"))</f>
        <v>Slow</v>
      </c>
      <c r="T2193" t="str">
        <f>IF(Table1[[#This Row],[Price2]]&lt;500000,"Affordable",IF(Table1[[#This Row],[Price2]]&lt;1000000,"Mid range","Luxury"))</f>
        <v>Luxury</v>
      </c>
    </row>
    <row r="2194" spans="1:20" x14ac:dyDescent="0.35">
      <c r="A2194" s="3">
        <v>1129910</v>
      </c>
      <c r="B2194" s="2" t="s">
        <v>34</v>
      </c>
      <c r="C2194">
        <v>48137</v>
      </c>
      <c r="D2194" s="2" t="s">
        <v>13</v>
      </c>
      <c r="E2194">
        <v>2</v>
      </c>
      <c r="F2194">
        <v>3</v>
      </c>
      <c r="G2194" s="4">
        <f>VALUE(SUBSTITUTE(SUBSTITUTE(Table1[[#This Row],[Price]],"$",""),",",""))</f>
        <v>1129910</v>
      </c>
      <c r="H2194" s="1">
        <f>Table1[[#This Row],[Price2]]/Table1[[#This Row],[Area]]</f>
        <v>624.60475400773907</v>
      </c>
      <c r="I2194">
        <v>1809</v>
      </c>
      <c r="J2194">
        <v>1988</v>
      </c>
      <c r="K2194">
        <v>26</v>
      </c>
      <c r="L2194" t="s">
        <v>40</v>
      </c>
      <c r="M2194" t="s">
        <v>156</v>
      </c>
      <c r="N2194" s="2" t="s">
        <v>3033</v>
      </c>
      <c r="O2194" t="s">
        <v>3034</v>
      </c>
      <c r="P2194" t="s">
        <v>16</v>
      </c>
      <c r="Q2194">
        <v>624.60475400773907</v>
      </c>
      <c r="R2194">
        <f ca="1">YEAR(TODAY())-Table1[[#This Row],[Year Built]]</f>
        <v>38</v>
      </c>
      <c r="S2194" t="str">
        <f>IF(Table1[[#This Row],[Days on Market]] &lt; 30,"Fast",IF(Table1[[#This Row],[Days on Market]]&lt;= 90,"Average", "Slow"))</f>
        <v>Fast</v>
      </c>
      <c r="T2194" t="str">
        <f>IF(Table1[[#This Row],[Price2]]&lt;500000,"Affordable",IF(Table1[[#This Row],[Price2]]&lt;1000000,"Mid range","Luxury"))</f>
        <v>Luxury</v>
      </c>
    </row>
    <row r="2195" spans="1:20" x14ac:dyDescent="0.35">
      <c r="A2195" s="3">
        <v>1130200</v>
      </c>
      <c r="B2195" s="2" t="s">
        <v>34</v>
      </c>
      <c r="C2195">
        <v>35368</v>
      </c>
      <c r="D2195" s="2" t="s">
        <v>13</v>
      </c>
      <c r="E2195">
        <v>4</v>
      </c>
      <c r="F2195">
        <v>1</v>
      </c>
      <c r="G2195" s="4">
        <f>VALUE(SUBSTITUTE(SUBSTITUTE(Table1[[#This Row],[Price]],"$",""),",",""))</f>
        <v>1130200</v>
      </c>
      <c r="H2195" s="1">
        <f>Table1[[#This Row],[Price2]]/Table1[[#This Row],[Area]]</f>
        <v>443.91201885310289</v>
      </c>
      <c r="I2195">
        <v>2546</v>
      </c>
      <c r="J2195">
        <v>1975</v>
      </c>
      <c r="K2195">
        <v>46</v>
      </c>
      <c r="L2195" t="s">
        <v>30</v>
      </c>
      <c r="M2195" t="s">
        <v>2434</v>
      </c>
      <c r="N2195" s="2" t="s">
        <v>3035</v>
      </c>
      <c r="O2195" t="s">
        <v>3036</v>
      </c>
      <c r="P2195" t="s">
        <v>21</v>
      </c>
      <c r="Q2195">
        <v>443.91201885310289</v>
      </c>
      <c r="R2195">
        <f ca="1">YEAR(TODAY())-Table1[[#This Row],[Year Built]]</f>
        <v>51</v>
      </c>
      <c r="S2195" t="str">
        <f>IF(Table1[[#This Row],[Days on Market]] &lt; 30,"Fast",IF(Table1[[#This Row],[Days on Market]]&lt;= 90,"Average", "Slow"))</f>
        <v>Average</v>
      </c>
      <c r="T2195" t="str">
        <f>IF(Table1[[#This Row],[Price2]]&lt;500000,"Affordable",IF(Table1[[#This Row],[Price2]]&lt;1000000,"Mid range","Luxury"))</f>
        <v>Luxury</v>
      </c>
    </row>
    <row r="2196" spans="1:20" x14ac:dyDescent="0.35">
      <c r="A2196" s="3">
        <v>1131018</v>
      </c>
      <c r="B2196" s="2" t="s">
        <v>12</v>
      </c>
      <c r="C2196">
        <v>91896</v>
      </c>
      <c r="D2196" s="2" t="s">
        <v>35</v>
      </c>
      <c r="E2196">
        <v>5</v>
      </c>
      <c r="F2196">
        <v>1</v>
      </c>
      <c r="G2196" s="4">
        <f>VALUE(SUBSTITUTE(SUBSTITUTE(Table1[[#This Row],[Price]],"$",""),",",""))</f>
        <v>1131018</v>
      </c>
      <c r="H2196" s="1">
        <f>Table1[[#This Row],[Price2]]/Table1[[#This Row],[Area]]</f>
        <v>409.49239681390299</v>
      </c>
      <c r="I2196">
        <v>2762</v>
      </c>
      <c r="J2196">
        <v>1950</v>
      </c>
      <c r="K2196">
        <v>19</v>
      </c>
      <c r="L2196" t="s">
        <v>19</v>
      </c>
      <c r="M2196" t="s">
        <v>1397</v>
      </c>
      <c r="N2196" s="2" t="s">
        <v>3027</v>
      </c>
      <c r="O2196" t="s">
        <v>3028</v>
      </c>
      <c r="P2196" t="s">
        <v>16</v>
      </c>
      <c r="Q2196">
        <v>409.49239681390299</v>
      </c>
      <c r="R2196">
        <f ca="1">YEAR(TODAY())-Table1[[#This Row],[Year Built]]</f>
        <v>76</v>
      </c>
      <c r="S2196" t="str">
        <f>IF(Table1[[#This Row],[Days on Market]] &lt; 30,"Fast",IF(Table1[[#This Row],[Days on Market]]&lt;= 90,"Average", "Slow"))</f>
        <v>Fast</v>
      </c>
      <c r="T2196" t="str">
        <f>IF(Table1[[#This Row],[Price2]]&lt;500000,"Affordable",IF(Table1[[#This Row],[Price2]]&lt;1000000,"Mid range","Luxury"))</f>
        <v>Luxury</v>
      </c>
    </row>
    <row r="2197" spans="1:20" x14ac:dyDescent="0.35">
      <c r="A2197" s="3">
        <v>1131077</v>
      </c>
      <c r="B2197" s="2" t="s">
        <v>27</v>
      </c>
      <c r="C2197">
        <v>71424</v>
      </c>
      <c r="D2197" s="2" t="s">
        <v>29</v>
      </c>
      <c r="E2197">
        <v>2</v>
      </c>
      <c r="F2197">
        <v>1</v>
      </c>
      <c r="G2197" s="4">
        <f>VALUE(SUBSTITUTE(SUBSTITUTE(Table1[[#This Row],[Price]],"$",""),",",""))</f>
        <v>1131077</v>
      </c>
      <c r="H2197" s="1">
        <f>Table1[[#This Row],[Price2]]/Table1[[#This Row],[Area]]</f>
        <v>568.95221327967806</v>
      </c>
      <c r="I2197">
        <v>1988</v>
      </c>
      <c r="J2197">
        <v>1996</v>
      </c>
      <c r="K2197">
        <v>3</v>
      </c>
      <c r="L2197" t="s">
        <v>40</v>
      </c>
      <c r="M2197" t="s">
        <v>667</v>
      </c>
      <c r="N2197" s="2" t="s">
        <v>3035</v>
      </c>
      <c r="O2197" t="s">
        <v>3036</v>
      </c>
      <c r="P2197" t="s">
        <v>26</v>
      </c>
      <c r="Q2197">
        <v>568.95221327967806</v>
      </c>
      <c r="R2197">
        <f ca="1">YEAR(TODAY())-Table1[[#This Row],[Year Built]]</f>
        <v>30</v>
      </c>
      <c r="S2197" t="str">
        <f>IF(Table1[[#This Row],[Days on Market]] &lt; 30,"Fast",IF(Table1[[#This Row],[Days on Market]]&lt;= 90,"Average", "Slow"))</f>
        <v>Fast</v>
      </c>
      <c r="T2197" t="str">
        <f>IF(Table1[[#This Row],[Price2]]&lt;500000,"Affordable",IF(Table1[[#This Row],[Price2]]&lt;1000000,"Mid range","Luxury"))</f>
        <v>Luxury</v>
      </c>
    </row>
    <row r="2198" spans="1:20" x14ac:dyDescent="0.35">
      <c r="A2198" s="3">
        <v>1131190</v>
      </c>
      <c r="B2198" s="2" t="s">
        <v>27</v>
      </c>
      <c r="C2198">
        <v>53443</v>
      </c>
      <c r="D2198" s="2" t="s">
        <v>29</v>
      </c>
      <c r="E2198">
        <v>4</v>
      </c>
      <c r="F2198">
        <v>2</v>
      </c>
      <c r="G2198" s="4">
        <f>VALUE(SUBSTITUTE(SUBSTITUTE(Table1[[#This Row],[Price]],"$",""),",",""))</f>
        <v>1131190</v>
      </c>
      <c r="H2198" s="1">
        <f>Table1[[#This Row],[Price2]]/Table1[[#This Row],[Area]]</f>
        <v>511.15680072300046</v>
      </c>
      <c r="I2198">
        <v>2213</v>
      </c>
      <c r="J2198">
        <v>1963</v>
      </c>
      <c r="K2198">
        <v>46</v>
      </c>
      <c r="L2198" t="s">
        <v>30</v>
      </c>
      <c r="M2198" t="s">
        <v>2506</v>
      </c>
      <c r="N2198" s="2" t="s">
        <v>3033</v>
      </c>
      <c r="O2198" t="s">
        <v>3034</v>
      </c>
      <c r="P2198" t="s">
        <v>21</v>
      </c>
      <c r="Q2198">
        <v>511.15680072300046</v>
      </c>
      <c r="R2198">
        <f ca="1">YEAR(TODAY())-Table1[[#This Row],[Year Built]]</f>
        <v>63</v>
      </c>
      <c r="S2198" t="str">
        <f>IF(Table1[[#This Row],[Days on Market]] &lt; 30,"Fast",IF(Table1[[#This Row],[Days on Market]]&lt;= 90,"Average", "Slow"))</f>
        <v>Average</v>
      </c>
      <c r="T2198" t="str">
        <f>IF(Table1[[#This Row],[Price2]]&lt;500000,"Affordable",IF(Table1[[#This Row],[Price2]]&lt;1000000,"Mid range","Luxury"))</f>
        <v>Luxury</v>
      </c>
    </row>
    <row r="2199" spans="1:20" x14ac:dyDescent="0.35">
      <c r="A2199" s="3">
        <v>1131618</v>
      </c>
      <c r="B2199" s="2" t="s">
        <v>17</v>
      </c>
      <c r="C2199">
        <v>77679</v>
      </c>
      <c r="D2199" s="2" t="s">
        <v>23</v>
      </c>
      <c r="E2199">
        <v>3</v>
      </c>
      <c r="F2199">
        <v>4</v>
      </c>
      <c r="G2199" s="4">
        <f>VALUE(SUBSTITUTE(SUBSTITUTE(Table1[[#This Row],[Price]],"$",""),",",""))</f>
        <v>1131618</v>
      </c>
      <c r="H2199" s="1">
        <f>Table1[[#This Row],[Price2]]/Table1[[#This Row],[Area]]</f>
        <v>468.57888198757763</v>
      </c>
      <c r="I2199">
        <v>2415</v>
      </c>
      <c r="J2199">
        <v>2011</v>
      </c>
      <c r="K2199">
        <v>106</v>
      </c>
      <c r="L2199" t="s">
        <v>40</v>
      </c>
      <c r="M2199" t="s">
        <v>564</v>
      </c>
      <c r="N2199" s="2" t="s">
        <v>3031</v>
      </c>
      <c r="O2199" t="s">
        <v>3032</v>
      </c>
      <c r="P2199" t="s">
        <v>21</v>
      </c>
      <c r="Q2199">
        <v>468.57888198757763</v>
      </c>
      <c r="R2199">
        <f ca="1">YEAR(TODAY())-Table1[[#This Row],[Year Built]]</f>
        <v>15</v>
      </c>
      <c r="S2199" t="str">
        <f>IF(Table1[[#This Row],[Days on Market]] &lt; 30,"Fast",IF(Table1[[#This Row],[Days on Market]]&lt;= 90,"Average", "Slow"))</f>
        <v>Slow</v>
      </c>
      <c r="T2199" t="str">
        <f>IF(Table1[[#This Row],[Price2]]&lt;500000,"Affordable",IF(Table1[[#This Row],[Price2]]&lt;1000000,"Mid range","Luxury"))</f>
        <v>Luxury</v>
      </c>
    </row>
    <row r="2200" spans="1:20" x14ac:dyDescent="0.35">
      <c r="A2200" s="3">
        <v>1131957</v>
      </c>
      <c r="B2200" s="2" t="s">
        <v>34</v>
      </c>
      <c r="C2200">
        <v>63077</v>
      </c>
      <c r="D2200" s="2" t="s">
        <v>18</v>
      </c>
      <c r="E2200">
        <v>1</v>
      </c>
      <c r="F2200">
        <v>4</v>
      </c>
      <c r="G2200" s="4">
        <f>VALUE(SUBSTITUTE(SUBSTITUTE(Table1[[#This Row],[Price]],"$",""),",",""))</f>
        <v>1131957</v>
      </c>
      <c r="H2200" s="1">
        <f>Table1[[#This Row],[Price2]]/Table1[[#This Row],[Area]]</f>
        <v>439.93664982510688</v>
      </c>
      <c r="I2200">
        <v>2573</v>
      </c>
      <c r="J2200">
        <v>2022</v>
      </c>
      <c r="K2200">
        <v>22</v>
      </c>
      <c r="L2200" t="s">
        <v>19</v>
      </c>
      <c r="M2200" t="s">
        <v>165</v>
      </c>
      <c r="N2200" s="2" t="s">
        <v>3027</v>
      </c>
      <c r="O2200" t="s">
        <v>3028</v>
      </c>
      <c r="P2200" t="s">
        <v>26</v>
      </c>
      <c r="Q2200">
        <v>439.93664982510688</v>
      </c>
      <c r="R2200">
        <f ca="1">YEAR(TODAY())-Table1[[#This Row],[Year Built]]</f>
        <v>4</v>
      </c>
      <c r="S2200" t="str">
        <f>IF(Table1[[#This Row],[Days on Market]] &lt; 30,"Fast",IF(Table1[[#This Row],[Days on Market]]&lt;= 90,"Average", "Slow"))</f>
        <v>Fast</v>
      </c>
      <c r="T2200" t="str">
        <f>IF(Table1[[#This Row],[Price2]]&lt;500000,"Affordable",IF(Table1[[#This Row],[Price2]]&lt;1000000,"Mid range","Luxury"))</f>
        <v>Luxury</v>
      </c>
    </row>
    <row r="2201" spans="1:20" x14ac:dyDescent="0.35">
      <c r="A2201" s="3">
        <v>1132804</v>
      </c>
      <c r="B2201" s="2" t="s">
        <v>12</v>
      </c>
      <c r="C2201">
        <v>35198</v>
      </c>
      <c r="D2201" s="2" t="s">
        <v>29</v>
      </c>
      <c r="E2201">
        <v>3</v>
      </c>
      <c r="F2201">
        <v>1</v>
      </c>
      <c r="G2201" s="4">
        <f>VALUE(SUBSTITUTE(SUBSTITUTE(Table1[[#This Row],[Price]],"$",""),",",""))</f>
        <v>1132804</v>
      </c>
      <c r="H2201" s="1">
        <f>Table1[[#This Row],[Price2]]/Table1[[#This Row],[Area]]</f>
        <v>673.48632580261597</v>
      </c>
      <c r="I2201">
        <v>1682</v>
      </c>
      <c r="J2201">
        <v>2015</v>
      </c>
      <c r="K2201">
        <v>39</v>
      </c>
      <c r="L2201" t="s">
        <v>40</v>
      </c>
      <c r="M2201" t="s">
        <v>1554</v>
      </c>
      <c r="N2201" s="2" t="s">
        <v>3031</v>
      </c>
      <c r="O2201" t="s">
        <v>3032</v>
      </c>
      <c r="P2201" t="s">
        <v>26</v>
      </c>
      <c r="Q2201">
        <v>673.48632580261597</v>
      </c>
      <c r="R2201">
        <f ca="1">YEAR(TODAY())-Table1[[#This Row],[Year Built]]</f>
        <v>11</v>
      </c>
      <c r="S2201" t="str">
        <f>IF(Table1[[#This Row],[Days on Market]] &lt; 30,"Fast",IF(Table1[[#This Row],[Days on Market]]&lt;= 90,"Average", "Slow"))</f>
        <v>Average</v>
      </c>
      <c r="T2201" t="str">
        <f>IF(Table1[[#This Row],[Price2]]&lt;500000,"Affordable",IF(Table1[[#This Row],[Price2]]&lt;1000000,"Mid range","Luxury"))</f>
        <v>Luxury</v>
      </c>
    </row>
    <row r="2202" spans="1:20" x14ac:dyDescent="0.35">
      <c r="A2202" s="3">
        <v>1133100</v>
      </c>
      <c r="B2202" s="2" t="s">
        <v>22</v>
      </c>
      <c r="C2202">
        <v>75688</v>
      </c>
      <c r="D2202" s="2" t="s">
        <v>35</v>
      </c>
      <c r="E2202">
        <v>6</v>
      </c>
      <c r="F2202">
        <v>3</v>
      </c>
      <c r="G2202" s="4">
        <f>VALUE(SUBSTITUTE(SUBSTITUTE(Table1[[#This Row],[Price]],"$",""),",",""))</f>
        <v>1133100</v>
      </c>
      <c r="H2202" s="1">
        <f>Table1[[#This Row],[Price2]]/Table1[[#This Row],[Area]]</f>
        <v>1202.8662420382166</v>
      </c>
      <c r="I2202">
        <v>942</v>
      </c>
      <c r="J2202">
        <v>2023</v>
      </c>
      <c r="K2202">
        <v>110</v>
      </c>
      <c r="L2202" t="s">
        <v>19</v>
      </c>
      <c r="M2202" t="s">
        <v>930</v>
      </c>
      <c r="N2202" s="2" t="s">
        <v>3035</v>
      </c>
      <c r="O2202" t="s">
        <v>3036</v>
      </c>
      <c r="P2202" t="s">
        <v>16</v>
      </c>
      <c r="Q2202">
        <v>1202.8662420382166</v>
      </c>
      <c r="R2202">
        <f ca="1">YEAR(TODAY())-Table1[[#This Row],[Year Built]]</f>
        <v>3</v>
      </c>
      <c r="S2202" t="str">
        <f>IF(Table1[[#This Row],[Days on Market]] &lt; 30,"Fast",IF(Table1[[#This Row],[Days on Market]]&lt;= 90,"Average", "Slow"))</f>
        <v>Slow</v>
      </c>
      <c r="T2202" t="str">
        <f>IF(Table1[[#This Row],[Price2]]&lt;500000,"Affordable",IF(Table1[[#This Row],[Price2]]&lt;1000000,"Mid range","Luxury"))</f>
        <v>Luxury</v>
      </c>
    </row>
    <row r="2203" spans="1:20" x14ac:dyDescent="0.35">
      <c r="A2203" s="3">
        <v>1133236</v>
      </c>
      <c r="B2203" s="2" t="s">
        <v>27</v>
      </c>
      <c r="C2203">
        <v>51028</v>
      </c>
      <c r="D2203" s="2" t="s">
        <v>13</v>
      </c>
      <c r="E2203">
        <v>1</v>
      </c>
      <c r="F2203">
        <v>1</v>
      </c>
      <c r="G2203" s="4">
        <f>VALUE(SUBSTITUTE(SUBSTITUTE(Table1[[#This Row],[Price]],"$",""),",",""))</f>
        <v>1133236</v>
      </c>
      <c r="H2203" s="1">
        <f>Table1[[#This Row],[Price2]]/Table1[[#This Row],[Area]]</f>
        <v>315.5767195767196</v>
      </c>
      <c r="I2203">
        <v>3591</v>
      </c>
      <c r="J2203">
        <v>2018</v>
      </c>
      <c r="K2203">
        <v>81</v>
      </c>
      <c r="L2203" t="s">
        <v>19</v>
      </c>
      <c r="M2203" t="s">
        <v>1108</v>
      </c>
      <c r="N2203" s="2" t="s">
        <v>3035</v>
      </c>
      <c r="O2203" t="s">
        <v>3036</v>
      </c>
      <c r="P2203" t="s">
        <v>16</v>
      </c>
      <c r="Q2203">
        <v>315.5767195767196</v>
      </c>
      <c r="R2203">
        <f ca="1">YEAR(TODAY())-Table1[[#This Row],[Year Built]]</f>
        <v>8</v>
      </c>
      <c r="S2203" t="str">
        <f>IF(Table1[[#This Row],[Days on Market]] &lt; 30,"Fast",IF(Table1[[#This Row],[Days on Market]]&lt;= 90,"Average", "Slow"))</f>
        <v>Average</v>
      </c>
      <c r="T2203" t="str">
        <f>IF(Table1[[#This Row],[Price2]]&lt;500000,"Affordable",IF(Table1[[#This Row],[Price2]]&lt;1000000,"Mid range","Luxury"))</f>
        <v>Luxury</v>
      </c>
    </row>
    <row r="2204" spans="1:20" x14ac:dyDescent="0.35">
      <c r="A2204" s="3">
        <v>1134124</v>
      </c>
      <c r="B2204" s="2" t="s">
        <v>12</v>
      </c>
      <c r="C2204">
        <v>71044</v>
      </c>
      <c r="D2204" s="2" t="s">
        <v>35</v>
      </c>
      <c r="E2204">
        <v>3</v>
      </c>
      <c r="F2204">
        <v>1</v>
      </c>
      <c r="G2204" s="4">
        <f>VALUE(SUBSTITUTE(SUBSTITUTE(Table1[[#This Row],[Price]],"$",""),",",""))</f>
        <v>1134124</v>
      </c>
      <c r="H2204" s="1">
        <f>Table1[[#This Row],[Price2]]/Table1[[#This Row],[Area]]</f>
        <v>546.30250481695566</v>
      </c>
      <c r="I2204">
        <v>2076</v>
      </c>
      <c r="J2204">
        <v>1968</v>
      </c>
      <c r="K2204">
        <v>43</v>
      </c>
      <c r="L2204" t="s">
        <v>19</v>
      </c>
      <c r="M2204" t="s">
        <v>1083</v>
      </c>
      <c r="N2204" s="2" t="s">
        <v>3027</v>
      </c>
      <c r="O2204" t="s">
        <v>3028</v>
      </c>
      <c r="P2204" t="s">
        <v>26</v>
      </c>
      <c r="Q2204">
        <v>546.30250481695566</v>
      </c>
      <c r="R2204">
        <f ca="1">YEAR(TODAY())-Table1[[#This Row],[Year Built]]</f>
        <v>58</v>
      </c>
      <c r="S2204" t="str">
        <f>IF(Table1[[#This Row],[Days on Market]] &lt; 30,"Fast",IF(Table1[[#This Row],[Days on Market]]&lt;= 90,"Average", "Slow"))</f>
        <v>Average</v>
      </c>
      <c r="T2204" t="str">
        <f>IF(Table1[[#This Row],[Price2]]&lt;500000,"Affordable",IF(Table1[[#This Row],[Price2]]&lt;1000000,"Mid range","Luxury"))</f>
        <v>Luxury</v>
      </c>
    </row>
    <row r="2205" spans="1:20" x14ac:dyDescent="0.35">
      <c r="A2205" s="3">
        <v>1134606</v>
      </c>
      <c r="B2205" s="2" t="s">
        <v>34</v>
      </c>
      <c r="C2205">
        <v>74766</v>
      </c>
      <c r="D2205" s="2" t="s">
        <v>35</v>
      </c>
      <c r="E2205">
        <v>3</v>
      </c>
      <c r="F2205">
        <v>1</v>
      </c>
      <c r="G2205" s="4">
        <f>VALUE(SUBSTITUTE(SUBSTITUTE(Table1[[#This Row],[Price]],"$",""),",",""))</f>
        <v>1134606</v>
      </c>
      <c r="H2205" s="1">
        <f>Table1[[#This Row],[Price2]]/Table1[[#This Row],[Area]]</f>
        <v>507.42665474060823</v>
      </c>
      <c r="I2205">
        <v>2236</v>
      </c>
      <c r="J2205">
        <v>2016</v>
      </c>
      <c r="K2205">
        <v>88</v>
      </c>
      <c r="L2205" t="s">
        <v>52</v>
      </c>
      <c r="M2205" t="s">
        <v>2088</v>
      </c>
      <c r="N2205" s="2" t="s">
        <v>3027</v>
      </c>
      <c r="O2205" t="s">
        <v>3028</v>
      </c>
      <c r="P2205" t="s">
        <v>26</v>
      </c>
      <c r="Q2205">
        <v>507.42665474060823</v>
      </c>
      <c r="R2205">
        <f ca="1">YEAR(TODAY())-Table1[[#This Row],[Year Built]]</f>
        <v>10</v>
      </c>
      <c r="S2205" t="str">
        <f>IF(Table1[[#This Row],[Days on Market]] &lt; 30,"Fast",IF(Table1[[#This Row],[Days on Market]]&lt;= 90,"Average", "Slow"))</f>
        <v>Average</v>
      </c>
      <c r="T2205" t="str">
        <f>IF(Table1[[#This Row],[Price2]]&lt;500000,"Affordable",IF(Table1[[#This Row],[Price2]]&lt;1000000,"Mid range","Luxury"))</f>
        <v>Luxury</v>
      </c>
    </row>
    <row r="2206" spans="1:20" x14ac:dyDescent="0.35">
      <c r="A2206" s="3">
        <v>1135740</v>
      </c>
      <c r="B2206" s="2" t="s">
        <v>34</v>
      </c>
      <c r="C2206">
        <v>38871</v>
      </c>
      <c r="D2206" s="2" t="s">
        <v>18</v>
      </c>
      <c r="E2206">
        <v>5</v>
      </c>
      <c r="F2206">
        <v>3</v>
      </c>
      <c r="G2206" s="4">
        <f>VALUE(SUBSTITUTE(SUBSTITUTE(Table1[[#This Row],[Price]],"$",""),",",""))</f>
        <v>1135740</v>
      </c>
      <c r="H2206" s="1">
        <f>Table1[[#This Row],[Price2]]/Table1[[#This Row],[Area]]</f>
        <v>924.11716842961755</v>
      </c>
      <c r="I2206">
        <v>1229</v>
      </c>
      <c r="J2206">
        <v>1997</v>
      </c>
      <c r="K2206">
        <v>9</v>
      </c>
      <c r="L2206" t="s">
        <v>52</v>
      </c>
      <c r="M2206" t="s">
        <v>2325</v>
      </c>
      <c r="N2206" s="2" t="s">
        <v>3033</v>
      </c>
      <c r="O2206" t="s">
        <v>3034</v>
      </c>
      <c r="P2206" t="s">
        <v>26</v>
      </c>
      <c r="Q2206">
        <v>924.11716842961755</v>
      </c>
      <c r="R2206">
        <f ca="1">YEAR(TODAY())-Table1[[#This Row],[Year Built]]</f>
        <v>29</v>
      </c>
      <c r="S2206" t="str">
        <f>IF(Table1[[#This Row],[Days on Market]] &lt; 30,"Fast",IF(Table1[[#This Row],[Days on Market]]&lt;= 90,"Average", "Slow"))</f>
        <v>Fast</v>
      </c>
      <c r="T2206" t="str">
        <f>IF(Table1[[#This Row],[Price2]]&lt;500000,"Affordable",IF(Table1[[#This Row],[Price2]]&lt;1000000,"Mid range","Luxury"))</f>
        <v>Luxury</v>
      </c>
    </row>
    <row r="2207" spans="1:20" x14ac:dyDescent="0.35">
      <c r="A2207" s="3">
        <v>1135748</v>
      </c>
      <c r="B2207" s="2" t="s">
        <v>12</v>
      </c>
      <c r="C2207">
        <v>42286</v>
      </c>
      <c r="D2207" s="2" t="s">
        <v>23</v>
      </c>
      <c r="E2207">
        <v>6</v>
      </c>
      <c r="F2207">
        <v>3</v>
      </c>
      <c r="G2207" s="4">
        <f>VALUE(SUBSTITUTE(SUBSTITUTE(Table1[[#This Row],[Price]],"$",""),",",""))</f>
        <v>1135748</v>
      </c>
      <c r="H2207" s="1">
        <f>Table1[[#This Row],[Price2]]/Table1[[#This Row],[Area]]</f>
        <v>363.3230966090851</v>
      </c>
      <c r="I2207">
        <v>3126</v>
      </c>
      <c r="J2207">
        <v>2009</v>
      </c>
      <c r="K2207">
        <v>72</v>
      </c>
      <c r="L2207" t="s">
        <v>40</v>
      </c>
      <c r="M2207" t="s">
        <v>824</v>
      </c>
      <c r="N2207" s="2" t="s">
        <v>3035</v>
      </c>
      <c r="O2207" t="s">
        <v>3036</v>
      </c>
      <c r="P2207" t="s">
        <v>21</v>
      </c>
      <c r="Q2207">
        <v>363.3230966090851</v>
      </c>
      <c r="R2207">
        <f ca="1">YEAR(TODAY())-Table1[[#This Row],[Year Built]]</f>
        <v>17</v>
      </c>
      <c r="S2207" t="str">
        <f>IF(Table1[[#This Row],[Days on Market]] &lt; 30,"Fast",IF(Table1[[#This Row],[Days on Market]]&lt;= 90,"Average", "Slow"))</f>
        <v>Average</v>
      </c>
      <c r="T2207" t="str">
        <f>IF(Table1[[#This Row],[Price2]]&lt;500000,"Affordable",IF(Table1[[#This Row],[Price2]]&lt;1000000,"Mid range","Luxury"))</f>
        <v>Luxury</v>
      </c>
    </row>
    <row r="2208" spans="1:20" x14ac:dyDescent="0.35">
      <c r="A2208" s="3">
        <v>1136243</v>
      </c>
      <c r="B2208" s="2" t="s">
        <v>34</v>
      </c>
      <c r="C2208">
        <v>77717</v>
      </c>
      <c r="D2208" s="2" t="s">
        <v>29</v>
      </c>
      <c r="E2208">
        <v>3</v>
      </c>
      <c r="F2208">
        <v>4</v>
      </c>
      <c r="G2208" s="4">
        <f>VALUE(SUBSTITUTE(SUBSTITUTE(Table1[[#This Row],[Price]],"$",""),",",""))</f>
        <v>1136243</v>
      </c>
      <c r="H2208" s="1">
        <f>Table1[[#This Row],[Price2]]/Table1[[#This Row],[Area]]</f>
        <v>565.29502487562183</v>
      </c>
      <c r="I2208">
        <v>2010</v>
      </c>
      <c r="J2208">
        <v>1959</v>
      </c>
      <c r="K2208">
        <v>15</v>
      </c>
      <c r="L2208" t="s">
        <v>30</v>
      </c>
      <c r="M2208" t="s">
        <v>431</v>
      </c>
      <c r="N2208" s="2" t="s">
        <v>3027</v>
      </c>
      <c r="O2208" t="s">
        <v>3028</v>
      </c>
      <c r="P2208" t="s">
        <v>16</v>
      </c>
      <c r="Q2208">
        <v>565.29502487562183</v>
      </c>
      <c r="R2208">
        <f ca="1">YEAR(TODAY())-Table1[[#This Row],[Year Built]]</f>
        <v>67</v>
      </c>
      <c r="S2208" t="str">
        <f>IF(Table1[[#This Row],[Days on Market]] &lt; 30,"Fast",IF(Table1[[#This Row],[Days on Market]]&lt;= 90,"Average", "Slow"))</f>
        <v>Fast</v>
      </c>
      <c r="T2208" t="str">
        <f>IF(Table1[[#This Row],[Price2]]&lt;500000,"Affordable",IF(Table1[[#This Row],[Price2]]&lt;1000000,"Mid range","Luxury"))</f>
        <v>Luxury</v>
      </c>
    </row>
    <row r="2209" spans="1:20" x14ac:dyDescent="0.35">
      <c r="A2209" s="3">
        <v>1136478</v>
      </c>
      <c r="B2209" s="2" t="s">
        <v>22</v>
      </c>
      <c r="C2209">
        <v>44376</v>
      </c>
      <c r="D2209" s="2" t="s">
        <v>35</v>
      </c>
      <c r="E2209">
        <v>6</v>
      </c>
      <c r="F2209">
        <v>4</v>
      </c>
      <c r="G2209" s="4">
        <f>VALUE(SUBSTITUTE(SUBSTITUTE(Table1[[#This Row],[Price]],"$",""),",",""))</f>
        <v>1136478</v>
      </c>
      <c r="H2209" s="1">
        <f>Table1[[#This Row],[Price2]]/Table1[[#This Row],[Area]]</f>
        <v>955.02352941176468</v>
      </c>
      <c r="I2209">
        <v>1190</v>
      </c>
      <c r="J2209">
        <v>2000</v>
      </c>
      <c r="K2209">
        <v>49</v>
      </c>
      <c r="L2209" t="s">
        <v>19</v>
      </c>
      <c r="M2209" t="s">
        <v>1666</v>
      </c>
      <c r="N2209" s="2" t="s">
        <v>3035</v>
      </c>
      <c r="O2209" t="s">
        <v>3036</v>
      </c>
      <c r="P2209" t="s">
        <v>26</v>
      </c>
      <c r="Q2209">
        <v>955.02352941176468</v>
      </c>
      <c r="R2209">
        <f ca="1">YEAR(TODAY())-Table1[[#This Row],[Year Built]]</f>
        <v>26</v>
      </c>
      <c r="S2209" t="str">
        <f>IF(Table1[[#This Row],[Days on Market]] &lt; 30,"Fast",IF(Table1[[#This Row],[Days on Market]]&lt;= 90,"Average", "Slow"))</f>
        <v>Average</v>
      </c>
      <c r="T2209" t="str">
        <f>IF(Table1[[#This Row],[Price2]]&lt;500000,"Affordable",IF(Table1[[#This Row],[Price2]]&lt;1000000,"Mid range","Luxury"))</f>
        <v>Luxury</v>
      </c>
    </row>
    <row r="2210" spans="1:20" x14ac:dyDescent="0.35">
      <c r="A2210" s="3">
        <v>1136535</v>
      </c>
      <c r="B2210" s="2" t="s">
        <v>17</v>
      </c>
      <c r="C2210">
        <v>37778</v>
      </c>
      <c r="D2210" s="2" t="s">
        <v>18</v>
      </c>
      <c r="E2210">
        <v>3</v>
      </c>
      <c r="F2210">
        <v>3</v>
      </c>
      <c r="G2210" s="4">
        <f>VALUE(SUBSTITUTE(SUBSTITUTE(Table1[[#This Row],[Price]],"$",""),",",""))</f>
        <v>1136535</v>
      </c>
      <c r="H2210" s="1">
        <f>Table1[[#This Row],[Price2]]/Table1[[#This Row],[Area]]</f>
        <v>305.84903121636165</v>
      </c>
      <c r="I2210">
        <v>3716</v>
      </c>
      <c r="J2210">
        <v>1967</v>
      </c>
      <c r="K2210">
        <v>47</v>
      </c>
      <c r="L2210" t="s">
        <v>40</v>
      </c>
      <c r="M2210" t="s">
        <v>1978</v>
      </c>
      <c r="N2210" s="2" t="s">
        <v>3031</v>
      </c>
      <c r="O2210" t="s">
        <v>3032</v>
      </c>
      <c r="P2210" t="s">
        <v>21</v>
      </c>
      <c r="Q2210">
        <v>305.84903121636165</v>
      </c>
      <c r="R2210">
        <f ca="1">YEAR(TODAY())-Table1[[#This Row],[Year Built]]</f>
        <v>59</v>
      </c>
      <c r="S2210" t="str">
        <f>IF(Table1[[#This Row],[Days on Market]] &lt; 30,"Fast",IF(Table1[[#This Row],[Days on Market]]&lt;= 90,"Average", "Slow"))</f>
        <v>Average</v>
      </c>
      <c r="T2210" t="str">
        <f>IF(Table1[[#This Row],[Price2]]&lt;500000,"Affordable",IF(Table1[[#This Row],[Price2]]&lt;1000000,"Mid range","Luxury"))</f>
        <v>Luxury</v>
      </c>
    </row>
    <row r="2211" spans="1:20" x14ac:dyDescent="0.35">
      <c r="A2211" s="3">
        <v>1137506</v>
      </c>
      <c r="B2211" s="2" t="s">
        <v>22</v>
      </c>
      <c r="C2211">
        <v>98816</v>
      </c>
      <c r="D2211" s="2" t="s">
        <v>13</v>
      </c>
      <c r="E2211">
        <v>2</v>
      </c>
      <c r="F2211">
        <v>1</v>
      </c>
      <c r="G2211" s="4">
        <f>VALUE(SUBSTITUTE(SUBSTITUTE(Table1[[#This Row],[Price]],"$",""),",",""))</f>
        <v>1137506</v>
      </c>
      <c r="H2211" s="1">
        <f>Table1[[#This Row],[Price2]]/Table1[[#This Row],[Area]]</f>
        <v>821.30397111913362</v>
      </c>
      <c r="I2211">
        <v>1385</v>
      </c>
      <c r="J2211">
        <v>2009</v>
      </c>
      <c r="K2211">
        <v>42</v>
      </c>
      <c r="L2211" t="s">
        <v>52</v>
      </c>
      <c r="M2211" t="s">
        <v>195</v>
      </c>
      <c r="N2211" s="2" t="s">
        <v>3035</v>
      </c>
      <c r="O2211" t="s">
        <v>3036</v>
      </c>
      <c r="P2211" t="s">
        <v>16</v>
      </c>
      <c r="Q2211">
        <v>821.30397111913362</v>
      </c>
      <c r="R2211">
        <f ca="1">YEAR(TODAY())-Table1[[#This Row],[Year Built]]</f>
        <v>17</v>
      </c>
      <c r="S2211" t="str">
        <f>IF(Table1[[#This Row],[Days on Market]] &lt; 30,"Fast",IF(Table1[[#This Row],[Days on Market]]&lt;= 90,"Average", "Slow"))</f>
        <v>Average</v>
      </c>
      <c r="T2211" t="str">
        <f>IF(Table1[[#This Row],[Price2]]&lt;500000,"Affordable",IF(Table1[[#This Row],[Price2]]&lt;1000000,"Mid range","Luxury"))</f>
        <v>Luxury</v>
      </c>
    </row>
    <row r="2212" spans="1:20" x14ac:dyDescent="0.35">
      <c r="A2212" s="3">
        <v>1137640</v>
      </c>
      <c r="B2212" s="2" t="s">
        <v>12</v>
      </c>
      <c r="C2212">
        <v>92796</v>
      </c>
      <c r="D2212" s="2" t="s">
        <v>23</v>
      </c>
      <c r="E2212">
        <v>4</v>
      </c>
      <c r="F2212">
        <v>3</v>
      </c>
      <c r="G2212" s="4">
        <f>VALUE(SUBSTITUTE(SUBSTITUTE(Table1[[#This Row],[Price]],"$",""),",",""))</f>
        <v>1137640</v>
      </c>
      <c r="H2212" s="1">
        <f>Table1[[#This Row],[Price2]]/Table1[[#This Row],[Area]]</f>
        <v>1389.0598290598291</v>
      </c>
      <c r="I2212">
        <v>819</v>
      </c>
      <c r="J2212">
        <v>1959</v>
      </c>
      <c r="K2212">
        <v>112</v>
      </c>
      <c r="L2212" t="s">
        <v>40</v>
      </c>
      <c r="M2212" t="s">
        <v>2711</v>
      </c>
      <c r="N2212" s="2" t="s">
        <v>3033</v>
      </c>
      <c r="O2212" t="s">
        <v>3034</v>
      </c>
      <c r="P2212" t="s">
        <v>16</v>
      </c>
      <c r="Q2212">
        <v>1389.0598290598291</v>
      </c>
      <c r="R2212">
        <f ca="1">YEAR(TODAY())-Table1[[#This Row],[Year Built]]</f>
        <v>67</v>
      </c>
      <c r="S2212" t="str">
        <f>IF(Table1[[#This Row],[Days on Market]] &lt; 30,"Fast",IF(Table1[[#This Row],[Days on Market]]&lt;= 90,"Average", "Slow"))</f>
        <v>Slow</v>
      </c>
      <c r="T2212" t="str">
        <f>IF(Table1[[#This Row],[Price2]]&lt;500000,"Affordable",IF(Table1[[#This Row],[Price2]]&lt;1000000,"Mid range","Luxury"))</f>
        <v>Luxury</v>
      </c>
    </row>
    <row r="2213" spans="1:20" x14ac:dyDescent="0.35">
      <c r="A2213" s="3">
        <v>1138482</v>
      </c>
      <c r="B2213" s="2" t="s">
        <v>22</v>
      </c>
      <c r="C2213">
        <v>64089</v>
      </c>
      <c r="D2213" s="2" t="s">
        <v>35</v>
      </c>
      <c r="E2213">
        <v>6</v>
      </c>
      <c r="F2213">
        <v>2</v>
      </c>
      <c r="G2213" s="4">
        <f>VALUE(SUBSTITUTE(SUBSTITUTE(Table1[[#This Row],[Price]],"$",""),",",""))</f>
        <v>1138482</v>
      </c>
      <c r="H2213" s="1">
        <f>Table1[[#This Row],[Price2]]/Table1[[#This Row],[Area]]</f>
        <v>358.6899810964083</v>
      </c>
      <c r="I2213">
        <v>3174</v>
      </c>
      <c r="J2213">
        <v>1956</v>
      </c>
      <c r="K2213">
        <v>22</v>
      </c>
      <c r="L2213" t="s">
        <v>52</v>
      </c>
      <c r="M2213" t="s">
        <v>848</v>
      </c>
      <c r="N2213" s="2" t="s">
        <v>3035</v>
      </c>
      <c r="O2213" t="s">
        <v>3036</v>
      </c>
      <c r="P2213" t="s">
        <v>21</v>
      </c>
      <c r="Q2213">
        <v>358.6899810964083</v>
      </c>
      <c r="R2213">
        <f ca="1">YEAR(TODAY())-Table1[[#This Row],[Year Built]]</f>
        <v>70</v>
      </c>
      <c r="S2213" t="str">
        <f>IF(Table1[[#This Row],[Days on Market]] &lt; 30,"Fast",IF(Table1[[#This Row],[Days on Market]]&lt;= 90,"Average", "Slow"))</f>
        <v>Fast</v>
      </c>
      <c r="T2213" t="str">
        <f>IF(Table1[[#This Row],[Price2]]&lt;500000,"Affordable",IF(Table1[[#This Row],[Price2]]&lt;1000000,"Mid range","Luxury"))</f>
        <v>Luxury</v>
      </c>
    </row>
    <row r="2214" spans="1:20" x14ac:dyDescent="0.35">
      <c r="A2214" s="3">
        <v>1139836</v>
      </c>
      <c r="B2214" s="2" t="s">
        <v>27</v>
      </c>
      <c r="C2214">
        <v>23438</v>
      </c>
      <c r="D2214" s="2" t="s">
        <v>23</v>
      </c>
      <c r="E2214">
        <v>6</v>
      </c>
      <c r="F2214">
        <v>3</v>
      </c>
      <c r="G2214" s="4">
        <f>VALUE(SUBSTITUTE(SUBSTITUTE(Table1[[#This Row],[Price]],"$",""),",",""))</f>
        <v>1139836</v>
      </c>
      <c r="H2214" s="1">
        <f>Table1[[#This Row],[Price2]]/Table1[[#This Row],[Area]]</f>
        <v>407.95848246241945</v>
      </c>
      <c r="I2214">
        <v>2794</v>
      </c>
      <c r="J2214">
        <v>1993</v>
      </c>
      <c r="K2214">
        <v>34</v>
      </c>
      <c r="L2214" t="s">
        <v>52</v>
      </c>
      <c r="M2214" t="s">
        <v>488</v>
      </c>
      <c r="N2214" s="2" t="s">
        <v>3033</v>
      </c>
      <c r="O2214" t="s">
        <v>3034</v>
      </c>
      <c r="P2214" t="s">
        <v>26</v>
      </c>
      <c r="Q2214">
        <v>407.95848246241945</v>
      </c>
      <c r="R2214">
        <f ca="1">YEAR(TODAY())-Table1[[#This Row],[Year Built]]</f>
        <v>33</v>
      </c>
      <c r="S2214" t="str">
        <f>IF(Table1[[#This Row],[Days on Market]] &lt; 30,"Fast",IF(Table1[[#This Row],[Days on Market]]&lt;= 90,"Average", "Slow"))</f>
        <v>Average</v>
      </c>
      <c r="T2214" t="str">
        <f>IF(Table1[[#This Row],[Price2]]&lt;500000,"Affordable",IF(Table1[[#This Row],[Price2]]&lt;1000000,"Mid range","Luxury"))</f>
        <v>Luxury</v>
      </c>
    </row>
    <row r="2215" spans="1:20" x14ac:dyDescent="0.35">
      <c r="A2215" s="3">
        <v>1140029</v>
      </c>
      <c r="B2215" s="2" t="s">
        <v>17</v>
      </c>
      <c r="C2215">
        <v>57838</v>
      </c>
      <c r="D2215" s="2" t="s">
        <v>29</v>
      </c>
      <c r="E2215">
        <v>2</v>
      </c>
      <c r="F2215">
        <v>3</v>
      </c>
      <c r="G2215" s="4">
        <f>VALUE(SUBSTITUTE(SUBSTITUTE(Table1[[#This Row],[Price]],"$",""),",",""))</f>
        <v>1140029</v>
      </c>
      <c r="H2215" s="1">
        <f>Table1[[#This Row],[Price2]]/Table1[[#This Row],[Area]]</f>
        <v>766.66375252185605</v>
      </c>
      <c r="I2215">
        <v>1487</v>
      </c>
      <c r="J2215">
        <v>2023</v>
      </c>
      <c r="K2215">
        <v>5</v>
      </c>
      <c r="L2215" t="s">
        <v>14</v>
      </c>
      <c r="M2215" t="s">
        <v>419</v>
      </c>
      <c r="N2215" s="2" t="s">
        <v>3033</v>
      </c>
      <c r="O2215" t="s">
        <v>3034</v>
      </c>
      <c r="P2215" t="s">
        <v>26</v>
      </c>
      <c r="Q2215">
        <v>766.66375252185605</v>
      </c>
      <c r="R2215">
        <f ca="1">YEAR(TODAY())-Table1[[#This Row],[Year Built]]</f>
        <v>3</v>
      </c>
      <c r="S2215" t="str">
        <f>IF(Table1[[#This Row],[Days on Market]] &lt; 30,"Fast",IF(Table1[[#This Row],[Days on Market]]&lt;= 90,"Average", "Slow"))</f>
        <v>Fast</v>
      </c>
      <c r="T2215" t="str">
        <f>IF(Table1[[#This Row],[Price2]]&lt;500000,"Affordable",IF(Table1[[#This Row],[Price2]]&lt;1000000,"Mid range","Luxury"))</f>
        <v>Luxury</v>
      </c>
    </row>
    <row r="2216" spans="1:20" x14ac:dyDescent="0.35">
      <c r="A2216" s="3">
        <v>1140261</v>
      </c>
      <c r="B2216" s="2" t="s">
        <v>12</v>
      </c>
      <c r="C2216">
        <v>25704</v>
      </c>
      <c r="D2216" s="2" t="s">
        <v>18</v>
      </c>
      <c r="E2216">
        <v>2</v>
      </c>
      <c r="F2216">
        <v>3</v>
      </c>
      <c r="G2216" s="4">
        <f>VALUE(SUBSTITUTE(SUBSTITUTE(Table1[[#This Row],[Price]],"$",""),",",""))</f>
        <v>1140261</v>
      </c>
      <c r="H2216" s="1">
        <f>Table1[[#This Row],[Price2]]/Table1[[#This Row],[Area]]</f>
        <v>363.14044585987261</v>
      </c>
      <c r="I2216">
        <v>3140</v>
      </c>
      <c r="J2216">
        <v>1961</v>
      </c>
      <c r="K2216">
        <v>46</v>
      </c>
      <c r="L2216" t="s">
        <v>52</v>
      </c>
      <c r="M2216" t="s">
        <v>1080</v>
      </c>
      <c r="N2216" s="2" t="s">
        <v>3027</v>
      </c>
      <c r="O2216" t="s">
        <v>3028</v>
      </c>
      <c r="P2216" t="s">
        <v>26</v>
      </c>
      <c r="Q2216">
        <v>363.14044585987261</v>
      </c>
      <c r="R2216">
        <f ca="1">YEAR(TODAY())-Table1[[#This Row],[Year Built]]</f>
        <v>65</v>
      </c>
      <c r="S2216" t="str">
        <f>IF(Table1[[#This Row],[Days on Market]] &lt; 30,"Fast",IF(Table1[[#This Row],[Days on Market]]&lt;= 90,"Average", "Slow"))</f>
        <v>Average</v>
      </c>
      <c r="T2216" t="str">
        <f>IF(Table1[[#This Row],[Price2]]&lt;500000,"Affordable",IF(Table1[[#This Row],[Price2]]&lt;1000000,"Mid range","Luxury"))</f>
        <v>Luxury</v>
      </c>
    </row>
    <row r="2217" spans="1:20" x14ac:dyDescent="0.35">
      <c r="A2217" s="3">
        <v>1140983</v>
      </c>
      <c r="B2217" s="2" t="s">
        <v>34</v>
      </c>
      <c r="C2217">
        <v>28163</v>
      </c>
      <c r="D2217" s="2" t="s">
        <v>18</v>
      </c>
      <c r="E2217">
        <v>2</v>
      </c>
      <c r="F2217">
        <v>3</v>
      </c>
      <c r="G2217" s="4">
        <f>VALUE(SUBSTITUTE(SUBSTITUTE(Table1[[#This Row],[Price]],"$",""),",",""))</f>
        <v>1140983</v>
      </c>
      <c r="H2217" s="1">
        <f>Table1[[#This Row],[Price2]]/Table1[[#This Row],[Area]]</f>
        <v>706.49102167182662</v>
      </c>
      <c r="I2217">
        <v>1615</v>
      </c>
      <c r="J2217">
        <v>1971</v>
      </c>
      <c r="K2217">
        <v>29</v>
      </c>
      <c r="L2217" t="s">
        <v>19</v>
      </c>
      <c r="M2217" t="s">
        <v>1942</v>
      </c>
      <c r="N2217" s="2" t="s">
        <v>3029</v>
      </c>
      <c r="O2217" t="s">
        <v>3030</v>
      </c>
      <c r="P2217" t="s">
        <v>16</v>
      </c>
      <c r="Q2217">
        <v>706.49102167182662</v>
      </c>
      <c r="R2217">
        <f ca="1">YEAR(TODAY())-Table1[[#This Row],[Year Built]]</f>
        <v>55</v>
      </c>
      <c r="S2217" t="str">
        <f>IF(Table1[[#This Row],[Days on Market]] &lt; 30,"Fast",IF(Table1[[#This Row],[Days on Market]]&lt;= 90,"Average", "Slow"))</f>
        <v>Fast</v>
      </c>
      <c r="T2217" t="str">
        <f>IF(Table1[[#This Row],[Price2]]&lt;500000,"Affordable",IF(Table1[[#This Row],[Price2]]&lt;1000000,"Mid range","Luxury"))</f>
        <v>Luxury</v>
      </c>
    </row>
    <row r="2218" spans="1:20" x14ac:dyDescent="0.35">
      <c r="A2218" s="3">
        <v>1141219</v>
      </c>
      <c r="B2218" s="2" t="s">
        <v>22</v>
      </c>
      <c r="C2218">
        <v>21680</v>
      </c>
      <c r="D2218" s="2" t="s">
        <v>29</v>
      </c>
      <c r="E2218">
        <v>2</v>
      </c>
      <c r="F2218">
        <v>3</v>
      </c>
      <c r="G2218" s="4">
        <f>VALUE(SUBSTITUTE(SUBSTITUTE(Table1[[#This Row],[Price]],"$",""),",",""))</f>
        <v>1141219</v>
      </c>
      <c r="H2218" s="1">
        <f>Table1[[#This Row],[Price2]]/Table1[[#This Row],[Area]]</f>
        <v>1153.912032355915</v>
      </c>
      <c r="I2218">
        <v>989</v>
      </c>
      <c r="J2218">
        <v>2012</v>
      </c>
      <c r="K2218">
        <v>24</v>
      </c>
      <c r="L2218" t="s">
        <v>19</v>
      </c>
      <c r="M2218" t="s">
        <v>1045</v>
      </c>
      <c r="N2218" s="2" t="s">
        <v>3029</v>
      </c>
      <c r="O2218" t="s">
        <v>3030</v>
      </c>
      <c r="P2218" t="s">
        <v>16</v>
      </c>
      <c r="Q2218">
        <v>1153.912032355915</v>
      </c>
      <c r="R2218">
        <f ca="1">YEAR(TODAY())-Table1[[#This Row],[Year Built]]</f>
        <v>14</v>
      </c>
      <c r="S2218" t="str">
        <f>IF(Table1[[#This Row],[Days on Market]] &lt; 30,"Fast",IF(Table1[[#This Row],[Days on Market]]&lt;= 90,"Average", "Slow"))</f>
        <v>Fast</v>
      </c>
      <c r="T2218" t="str">
        <f>IF(Table1[[#This Row],[Price2]]&lt;500000,"Affordable",IF(Table1[[#This Row],[Price2]]&lt;1000000,"Mid range","Luxury"))</f>
        <v>Luxury</v>
      </c>
    </row>
    <row r="2219" spans="1:20" x14ac:dyDescent="0.35">
      <c r="A2219" s="3">
        <v>1142134</v>
      </c>
      <c r="B2219" s="2" t="s">
        <v>27</v>
      </c>
      <c r="C2219">
        <v>76220</v>
      </c>
      <c r="D2219" s="2" t="s">
        <v>29</v>
      </c>
      <c r="E2219">
        <v>2</v>
      </c>
      <c r="F2219">
        <v>3</v>
      </c>
      <c r="G2219" s="4">
        <f>VALUE(SUBSTITUTE(SUBSTITUTE(Table1[[#This Row],[Price]],"$",""),",",""))</f>
        <v>1142134</v>
      </c>
      <c r="H2219" s="1">
        <f>Table1[[#This Row],[Price2]]/Table1[[#This Row],[Area]]</f>
        <v>324.93143669985773</v>
      </c>
      <c r="I2219">
        <v>3515</v>
      </c>
      <c r="J2219">
        <v>2018</v>
      </c>
      <c r="K2219">
        <v>49</v>
      </c>
      <c r="L2219" t="s">
        <v>30</v>
      </c>
      <c r="M2219" t="s">
        <v>95</v>
      </c>
      <c r="N2219" s="2" t="s">
        <v>3027</v>
      </c>
      <c r="O2219" t="s">
        <v>3028</v>
      </c>
      <c r="P2219" t="s">
        <v>26</v>
      </c>
      <c r="Q2219">
        <v>324.93143669985773</v>
      </c>
      <c r="R2219">
        <f ca="1">YEAR(TODAY())-Table1[[#This Row],[Year Built]]</f>
        <v>8</v>
      </c>
      <c r="S2219" t="str">
        <f>IF(Table1[[#This Row],[Days on Market]] &lt; 30,"Fast",IF(Table1[[#This Row],[Days on Market]]&lt;= 90,"Average", "Slow"))</f>
        <v>Average</v>
      </c>
      <c r="T2219" t="str">
        <f>IF(Table1[[#This Row],[Price2]]&lt;500000,"Affordable",IF(Table1[[#This Row],[Price2]]&lt;1000000,"Mid range","Luxury"))</f>
        <v>Luxury</v>
      </c>
    </row>
    <row r="2220" spans="1:20" x14ac:dyDescent="0.35">
      <c r="A2220" s="3">
        <v>1142398</v>
      </c>
      <c r="B2220" s="2" t="s">
        <v>17</v>
      </c>
      <c r="C2220">
        <v>74946</v>
      </c>
      <c r="D2220" s="2" t="s">
        <v>35</v>
      </c>
      <c r="E2220">
        <v>6</v>
      </c>
      <c r="F2220">
        <v>4</v>
      </c>
      <c r="G2220" s="4">
        <f>VALUE(SUBSTITUTE(SUBSTITUTE(Table1[[#This Row],[Price]],"$",""),",",""))</f>
        <v>1142398</v>
      </c>
      <c r="H2220" s="1">
        <f>Table1[[#This Row],[Price2]]/Table1[[#This Row],[Area]]</f>
        <v>534.08041140719968</v>
      </c>
      <c r="I2220">
        <v>2139</v>
      </c>
      <c r="J2220">
        <v>2011</v>
      </c>
      <c r="K2220">
        <v>22</v>
      </c>
      <c r="L2220" t="s">
        <v>52</v>
      </c>
      <c r="M2220" t="s">
        <v>1078</v>
      </c>
      <c r="N2220" s="2" t="s">
        <v>3027</v>
      </c>
      <c r="O2220" t="s">
        <v>3028</v>
      </c>
      <c r="P2220" t="s">
        <v>16</v>
      </c>
      <c r="Q2220">
        <v>534.08041140719968</v>
      </c>
      <c r="R2220">
        <f ca="1">YEAR(TODAY())-Table1[[#This Row],[Year Built]]</f>
        <v>15</v>
      </c>
      <c r="S2220" t="str">
        <f>IF(Table1[[#This Row],[Days on Market]] &lt; 30,"Fast",IF(Table1[[#This Row],[Days on Market]]&lt;= 90,"Average", "Slow"))</f>
        <v>Fast</v>
      </c>
      <c r="T2220" t="str">
        <f>IF(Table1[[#This Row],[Price2]]&lt;500000,"Affordable",IF(Table1[[#This Row],[Price2]]&lt;1000000,"Mid range","Luxury"))</f>
        <v>Luxury</v>
      </c>
    </row>
    <row r="2221" spans="1:20" x14ac:dyDescent="0.35">
      <c r="A2221" s="3">
        <v>1143189</v>
      </c>
      <c r="B2221" s="2" t="s">
        <v>17</v>
      </c>
      <c r="C2221">
        <v>35115</v>
      </c>
      <c r="D2221" s="2" t="s">
        <v>29</v>
      </c>
      <c r="E2221">
        <v>6</v>
      </c>
      <c r="F2221">
        <v>3</v>
      </c>
      <c r="G2221" s="4">
        <f>VALUE(SUBSTITUTE(SUBSTITUTE(Table1[[#This Row],[Price]],"$",""),",",""))</f>
        <v>1143189</v>
      </c>
      <c r="H2221" s="1">
        <f>Table1[[#This Row],[Price2]]/Table1[[#This Row],[Area]]</f>
        <v>607.1104620286776</v>
      </c>
      <c r="I2221">
        <v>1883</v>
      </c>
      <c r="J2221">
        <v>1998</v>
      </c>
      <c r="K2221">
        <v>44</v>
      </c>
      <c r="L2221" t="s">
        <v>52</v>
      </c>
      <c r="M2221" t="s">
        <v>2388</v>
      </c>
      <c r="N2221" s="2" t="s">
        <v>3029</v>
      </c>
      <c r="O2221" t="s">
        <v>3030</v>
      </c>
      <c r="P2221" t="s">
        <v>21</v>
      </c>
      <c r="Q2221">
        <v>607.1104620286776</v>
      </c>
      <c r="R2221">
        <f ca="1">YEAR(TODAY())-Table1[[#This Row],[Year Built]]</f>
        <v>28</v>
      </c>
      <c r="S2221" t="str">
        <f>IF(Table1[[#This Row],[Days on Market]] &lt; 30,"Fast",IF(Table1[[#This Row],[Days on Market]]&lt;= 90,"Average", "Slow"))</f>
        <v>Average</v>
      </c>
      <c r="T2221" t="str">
        <f>IF(Table1[[#This Row],[Price2]]&lt;500000,"Affordable",IF(Table1[[#This Row],[Price2]]&lt;1000000,"Mid range","Luxury"))</f>
        <v>Luxury</v>
      </c>
    </row>
    <row r="2222" spans="1:20" x14ac:dyDescent="0.35">
      <c r="A2222" s="3">
        <v>1143302</v>
      </c>
      <c r="B2222" s="2" t="s">
        <v>12</v>
      </c>
      <c r="C2222">
        <v>34347</v>
      </c>
      <c r="D2222" s="2" t="s">
        <v>35</v>
      </c>
      <c r="E2222">
        <v>6</v>
      </c>
      <c r="F2222">
        <v>3</v>
      </c>
      <c r="G2222" s="4">
        <f>VALUE(SUBSTITUTE(SUBSTITUTE(Table1[[#This Row],[Price]],"$",""),",",""))</f>
        <v>1143302</v>
      </c>
      <c r="H2222" s="1">
        <f>Table1[[#This Row],[Price2]]/Table1[[#This Row],[Area]]</f>
        <v>355.83629007158419</v>
      </c>
      <c r="I2222">
        <v>3213</v>
      </c>
      <c r="J2222">
        <v>1975</v>
      </c>
      <c r="K2222">
        <v>67</v>
      </c>
      <c r="L2222" t="s">
        <v>40</v>
      </c>
      <c r="M2222" t="s">
        <v>2944</v>
      </c>
      <c r="N2222" s="2" t="s">
        <v>3033</v>
      </c>
      <c r="O2222" t="s">
        <v>3034</v>
      </c>
      <c r="P2222" t="s">
        <v>21</v>
      </c>
      <c r="Q2222">
        <v>355.83629007158419</v>
      </c>
      <c r="R2222">
        <f ca="1">YEAR(TODAY())-Table1[[#This Row],[Year Built]]</f>
        <v>51</v>
      </c>
      <c r="S2222" t="str">
        <f>IF(Table1[[#This Row],[Days on Market]] &lt; 30,"Fast",IF(Table1[[#This Row],[Days on Market]]&lt;= 90,"Average", "Slow"))</f>
        <v>Average</v>
      </c>
      <c r="T2222" t="str">
        <f>IF(Table1[[#This Row],[Price2]]&lt;500000,"Affordable",IF(Table1[[#This Row],[Price2]]&lt;1000000,"Mid range","Luxury"))</f>
        <v>Luxury</v>
      </c>
    </row>
    <row r="2223" spans="1:20" x14ac:dyDescent="0.35">
      <c r="A2223" s="3">
        <v>1144014</v>
      </c>
      <c r="B2223" s="2" t="s">
        <v>27</v>
      </c>
      <c r="C2223">
        <v>91991</v>
      </c>
      <c r="D2223" s="2" t="s">
        <v>18</v>
      </c>
      <c r="E2223">
        <v>1</v>
      </c>
      <c r="F2223">
        <v>3</v>
      </c>
      <c r="G2223" s="4">
        <f>VALUE(SUBSTITUTE(SUBSTITUTE(Table1[[#This Row],[Price]],"$",""),",",""))</f>
        <v>1144014</v>
      </c>
      <c r="H2223" s="1">
        <f>Table1[[#This Row],[Price2]]/Table1[[#This Row],[Area]]</f>
        <v>342.51916167664672</v>
      </c>
      <c r="I2223">
        <v>3340</v>
      </c>
      <c r="J2223">
        <v>1989</v>
      </c>
      <c r="K2223">
        <v>82</v>
      </c>
      <c r="L2223" t="s">
        <v>40</v>
      </c>
      <c r="M2223" t="s">
        <v>2140</v>
      </c>
      <c r="N2223" s="2" t="s">
        <v>3029</v>
      </c>
      <c r="O2223" t="s">
        <v>3030</v>
      </c>
      <c r="P2223" t="s">
        <v>16</v>
      </c>
      <c r="Q2223">
        <v>342.51916167664672</v>
      </c>
      <c r="R2223">
        <f ca="1">YEAR(TODAY())-Table1[[#This Row],[Year Built]]</f>
        <v>37</v>
      </c>
      <c r="S2223" t="str">
        <f>IF(Table1[[#This Row],[Days on Market]] &lt; 30,"Fast",IF(Table1[[#This Row],[Days on Market]]&lt;= 90,"Average", "Slow"))</f>
        <v>Average</v>
      </c>
      <c r="T2223" t="str">
        <f>IF(Table1[[#This Row],[Price2]]&lt;500000,"Affordable",IF(Table1[[#This Row],[Price2]]&lt;1000000,"Mid range","Luxury"))</f>
        <v>Luxury</v>
      </c>
    </row>
    <row r="2224" spans="1:20" x14ac:dyDescent="0.35">
      <c r="A2224" s="3">
        <v>1144956</v>
      </c>
      <c r="B2224" s="2" t="s">
        <v>17</v>
      </c>
      <c r="C2224">
        <v>57975</v>
      </c>
      <c r="D2224" s="2" t="s">
        <v>13</v>
      </c>
      <c r="E2224">
        <v>6</v>
      </c>
      <c r="F2224">
        <v>1</v>
      </c>
      <c r="G2224" s="4">
        <f>VALUE(SUBSTITUTE(SUBSTITUTE(Table1[[#This Row],[Price]],"$",""),",",""))</f>
        <v>1144956</v>
      </c>
      <c r="H2224" s="1">
        <f>Table1[[#This Row],[Price2]]/Table1[[#This Row],[Area]]</f>
        <v>642.15143017386424</v>
      </c>
      <c r="I2224">
        <v>1783</v>
      </c>
      <c r="J2224">
        <v>1966</v>
      </c>
      <c r="K2224">
        <v>78</v>
      </c>
      <c r="L2224" t="s">
        <v>19</v>
      </c>
      <c r="M2224" t="s">
        <v>297</v>
      </c>
      <c r="N2224" s="2" t="s">
        <v>3031</v>
      </c>
      <c r="O2224" t="s">
        <v>3032</v>
      </c>
      <c r="P2224" t="s">
        <v>21</v>
      </c>
      <c r="Q2224">
        <v>642.15143017386424</v>
      </c>
      <c r="R2224">
        <f ca="1">YEAR(TODAY())-Table1[[#This Row],[Year Built]]</f>
        <v>60</v>
      </c>
      <c r="S2224" t="str">
        <f>IF(Table1[[#This Row],[Days on Market]] &lt; 30,"Fast",IF(Table1[[#This Row],[Days on Market]]&lt;= 90,"Average", "Slow"))</f>
        <v>Average</v>
      </c>
      <c r="T2224" t="str">
        <f>IF(Table1[[#This Row],[Price2]]&lt;500000,"Affordable",IF(Table1[[#This Row],[Price2]]&lt;1000000,"Mid range","Luxury"))</f>
        <v>Luxury</v>
      </c>
    </row>
    <row r="2225" spans="1:20" x14ac:dyDescent="0.35">
      <c r="A2225" s="3">
        <v>1145357</v>
      </c>
      <c r="B2225" s="2" t="s">
        <v>12</v>
      </c>
      <c r="C2225">
        <v>86478</v>
      </c>
      <c r="D2225" s="2" t="s">
        <v>23</v>
      </c>
      <c r="E2225">
        <v>4</v>
      </c>
      <c r="F2225">
        <v>3</v>
      </c>
      <c r="G2225" s="4">
        <f>VALUE(SUBSTITUTE(SUBSTITUTE(Table1[[#This Row],[Price]],"$",""),",",""))</f>
        <v>1145357</v>
      </c>
      <c r="H2225" s="1">
        <f>Table1[[#This Row],[Price2]]/Table1[[#This Row],[Area]]</f>
        <v>427.37201492537315</v>
      </c>
      <c r="I2225">
        <v>2680</v>
      </c>
      <c r="J2225">
        <v>2021</v>
      </c>
      <c r="K2225">
        <v>117</v>
      </c>
      <c r="L2225" t="s">
        <v>19</v>
      </c>
      <c r="M2225" t="s">
        <v>2297</v>
      </c>
      <c r="N2225" s="2" t="s">
        <v>3031</v>
      </c>
      <c r="O2225" t="s">
        <v>3032</v>
      </c>
      <c r="P2225" t="s">
        <v>21</v>
      </c>
      <c r="Q2225">
        <v>427.37201492537315</v>
      </c>
      <c r="R2225">
        <f ca="1">YEAR(TODAY())-Table1[[#This Row],[Year Built]]</f>
        <v>5</v>
      </c>
      <c r="S2225" t="str">
        <f>IF(Table1[[#This Row],[Days on Market]] &lt; 30,"Fast",IF(Table1[[#This Row],[Days on Market]]&lt;= 90,"Average", "Slow"))</f>
        <v>Slow</v>
      </c>
      <c r="T2225" t="str">
        <f>IF(Table1[[#This Row],[Price2]]&lt;500000,"Affordable",IF(Table1[[#This Row],[Price2]]&lt;1000000,"Mid range","Luxury"))</f>
        <v>Luxury</v>
      </c>
    </row>
    <row r="2226" spans="1:20" x14ac:dyDescent="0.35">
      <c r="A2226" s="3">
        <v>1146308</v>
      </c>
      <c r="B2226" s="2" t="s">
        <v>17</v>
      </c>
      <c r="C2226">
        <v>39951</v>
      </c>
      <c r="D2226" s="2" t="s">
        <v>18</v>
      </c>
      <c r="E2226">
        <v>2</v>
      </c>
      <c r="F2226">
        <v>4</v>
      </c>
      <c r="G2226" s="4">
        <f>VALUE(SUBSTITUTE(SUBSTITUTE(Table1[[#This Row],[Price]],"$",""),",",""))</f>
        <v>1146308</v>
      </c>
      <c r="H2226" s="1">
        <f>Table1[[#This Row],[Price2]]/Table1[[#This Row],[Area]]</f>
        <v>1339.1448598130842</v>
      </c>
      <c r="I2226">
        <v>856</v>
      </c>
      <c r="J2226">
        <v>1952</v>
      </c>
      <c r="K2226">
        <v>102</v>
      </c>
      <c r="L2226" t="s">
        <v>30</v>
      </c>
      <c r="M2226" t="s">
        <v>1996</v>
      </c>
      <c r="N2226" s="2" t="s">
        <v>3033</v>
      </c>
      <c r="O2226" t="s">
        <v>3034</v>
      </c>
      <c r="P2226" t="s">
        <v>21</v>
      </c>
      <c r="Q2226">
        <v>1339.1448598130842</v>
      </c>
      <c r="R2226">
        <f ca="1">YEAR(TODAY())-Table1[[#This Row],[Year Built]]</f>
        <v>74</v>
      </c>
      <c r="S2226" t="str">
        <f>IF(Table1[[#This Row],[Days on Market]] &lt; 30,"Fast",IF(Table1[[#This Row],[Days on Market]]&lt;= 90,"Average", "Slow"))</f>
        <v>Slow</v>
      </c>
      <c r="T2226" t="str">
        <f>IF(Table1[[#This Row],[Price2]]&lt;500000,"Affordable",IF(Table1[[#This Row],[Price2]]&lt;1000000,"Mid range","Luxury"))</f>
        <v>Luxury</v>
      </c>
    </row>
    <row r="2227" spans="1:20" x14ac:dyDescent="0.35">
      <c r="A2227" s="3">
        <v>1147016</v>
      </c>
      <c r="B2227" s="2" t="s">
        <v>34</v>
      </c>
      <c r="C2227">
        <v>65526</v>
      </c>
      <c r="D2227" s="2" t="s">
        <v>13</v>
      </c>
      <c r="E2227">
        <v>4</v>
      </c>
      <c r="F2227">
        <v>1</v>
      </c>
      <c r="G2227" s="4">
        <f>VALUE(SUBSTITUTE(SUBSTITUTE(Table1[[#This Row],[Price]],"$",""),",",""))</f>
        <v>1147016</v>
      </c>
      <c r="H2227" s="1">
        <f>Table1[[#This Row],[Price2]]/Table1[[#This Row],[Area]]</f>
        <v>403.45269081955678</v>
      </c>
      <c r="I2227">
        <v>2843</v>
      </c>
      <c r="J2227">
        <v>1991</v>
      </c>
      <c r="K2227">
        <v>84</v>
      </c>
      <c r="L2227" t="s">
        <v>14</v>
      </c>
      <c r="M2227" t="s">
        <v>2060</v>
      </c>
      <c r="N2227" s="2" t="s">
        <v>3027</v>
      </c>
      <c r="O2227" t="s">
        <v>3028</v>
      </c>
      <c r="P2227" t="s">
        <v>16</v>
      </c>
      <c r="Q2227">
        <v>403.45269081955678</v>
      </c>
      <c r="R2227">
        <f ca="1">YEAR(TODAY())-Table1[[#This Row],[Year Built]]</f>
        <v>35</v>
      </c>
      <c r="S2227" t="str">
        <f>IF(Table1[[#This Row],[Days on Market]] &lt; 30,"Fast",IF(Table1[[#This Row],[Days on Market]]&lt;= 90,"Average", "Slow"))</f>
        <v>Average</v>
      </c>
      <c r="T2227" t="str">
        <f>IF(Table1[[#This Row],[Price2]]&lt;500000,"Affordable",IF(Table1[[#This Row],[Price2]]&lt;1000000,"Mid range","Luxury"))</f>
        <v>Luxury</v>
      </c>
    </row>
    <row r="2228" spans="1:20" x14ac:dyDescent="0.35">
      <c r="A2228" s="3">
        <v>1147486</v>
      </c>
      <c r="B2228" s="2" t="s">
        <v>27</v>
      </c>
      <c r="C2228">
        <v>14297</v>
      </c>
      <c r="D2228" s="2" t="s">
        <v>13</v>
      </c>
      <c r="E2228">
        <v>2</v>
      </c>
      <c r="F2228">
        <v>4</v>
      </c>
      <c r="G2228" s="4">
        <f>VALUE(SUBSTITUTE(SUBSTITUTE(Table1[[#This Row],[Price]],"$",""),",",""))</f>
        <v>1147486</v>
      </c>
      <c r="H2228" s="1">
        <f>Table1[[#This Row],[Price2]]/Table1[[#This Row],[Area]]</f>
        <v>769.09249329758711</v>
      </c>
      <c r="I2228">
        <v>1492</v>
      </c>
      <c r="J2228">
        <v>1959</v>
      </c>
      <c r="K2228">
        <v>68</v>
      </c>
      <c r="L2228" t="s">
        <v>14</v>
      </c>
      <c r="M2228" t="s">
        <v>1182</v>
      </c>
      <c r="N2228" s="2" t="s">
        <v>3031</v>
      </c>
      <c r="O2228" t="s">
        <v>3032</v>
      </c>
      <c r="P2228" t="s">
        <v>26</v>
      </c>
      <c r="Q2228">
        <v>769.09249329758711</v>
      </c>
      <c r="R2228">
        <f ca="1">YEAR(TODAY())-Table1[[#This Row],[Year Built]]</f>
        <v>67</v>
      </c>
      <c r="S2228" t="str">
        <f>IF(Table1[[#This Row],[Days on Market]] &lt; 30,"Fast",IF(Table1[[#This Row],[Days on Market]]&lt;= 90,"Average", "Slow"))</f>
        <v>Average</v>
      </c>
      <c r="T2228" t="str">
        <f>IF(Table1[[#This Row],[Price2]]&lt;500000,"Affordable",IF(Table1[[#This Row],[Price2]]&lt;1000000,"Mid range","Luxury"))</f>
        <v>Luxury</v>
      </c>
    </row>
    <row r="2229" spans="1:20" x14ac:dyDescent="0.35">
      <c r="A2229" s="3">
        <v>1148383</v>
      </c>
      <c r="B2229" s="2" t="s">
        <v>34</v>
      </c>
      <c r="C2229">
        <v>51813</v>
      </c>
      <c r="D2229" s="2" t="s">
        <v>23</v>
      </c>
      <c r="E2229">
        <v>3</v>
      </c>
      <c r="F2229">
        <v>1</v>
      </c>
      <c r="G2229" s="4">
        <f>VALUE(SUBSTITUTE(SUBSTITUTE(Table1[[#This Row],[Price]],"$",""),",",""))</f>
        <v>1148383</v>
      </c>
      <c r="H2229" s="1">
        <f>Table1[[#This Row],[Price2]]/Table1[[#This Row],[Area]]</f>
        <v>334.12365434972361</v>
      </c>
      <c r="I2229">
        <v>3437</v>
      </c>
      <c r="J2229">
        <v>1957</v>
      </c>
      <c r="K2229">
        <v>70</v>
      </c>
      <c r="L2229" t="s">
        <v>14</v>
      </c>
      <c r="M2229" t="s">
        <v>1651</v>
      </c>
      <c r="N2229" s="2" t="s">
        <v>3035</v>
      </c>
      <c r="O2229" t="s">
        <v>3036</v>
      </c>
      <c r="P2229" t="s">
        <v>26</v>
      </c>
      <c r="Q2229">
        <v>334.12365434972361</v>
      </c>
      <c r="R2229">
        <f ca="1">YEAR(TODAY())-Table1[[#This Row],[Year Built]]</f>
        <v>69</v>
      </c>
      <c r="S2229" t="str">
        <f>IF(Table1[[#This Row],[Days on Market]] &lt; 30,"Fast",IF(Table1[[#This Row],[Days on Market]]&lt;= 90,"Average", "Slow"))</f>
        <v>Average</v>
      </c>
      <c r="T2229" t="str">
        <f>IF(Table1[[#This Row],[Price2]]&lt;500000,"Affordable",IF(Table1[[#This Row],[Price2]]&lt;1000000,"Mid range","Luxury"))</f>
        <v>Luxury</v>
      </c>
    </row>
    <row r="2230" spans="1:20" x14ac:dyDescent="0.35">
      <c r="A2230" s="3">
        <v>1148502</v>
      </c>
      <c r="B2230" s="2" t="s">
        <v>22</v>
      </c>
      <c r="C2230">
        <v>89624</v>
      </c>
      <c r="D2230" s="2" t="s">
        <v>35</v>
      </c>
      <c r="E2230">
        <v>2</v>
      </c>
      <c r="F2230">
        <v>1</v>
      </c>
      <c r="G2230" s="4">
        <f>VALUE(SUBSTITUTE(SUBSTITUTE(Table1[[#This Row],[Price]],"$",""),",",""))</f>
        <v>1148502</v>
      </c>
      <c r="H2230" s="1">
        <f>Table1[[#This Row],[Price2]]/Table1[[#This Row],[Area]]</f>
        <v>798.1250868658791</v>
      </c>
      <c r="I2230">
        <v>1439</v>
      </c>
      <c r="J2230">
        <v>1964</v>
      </c>
      <c r="K2230">
        <v>119</v>
      </c>
      <c r="L2230" t="s">
        <v>19</v>
      </c>
      <c r="M2230" t="s">
        <v>395</v>
      </c>
      <c r="N2230" s="2" t="s">
        <v>3033</v>
      </c>
      <c r="O2230" t="s">
        <v>3034</v>
      </c>
      <c r="P2230" t="s">
        <v>26</v>
      </c>
      <c r="Q2230">
        <v>798.1250868658791</v>
      </c>
      <c r="R2230">
        <f ca="1">YEAR(TODAY())-Table1[[#This Row],[Year Built]]</f>
        <v>62</v>
      </c>
      <c r="S2230" t="str">
        <f>IF(Table1[[#This Row],[Days on Market]] &lt; 30,"Fast",IF(Table1[[#This Row],[Days on Market]]&lt;= 90,"Average", "Slow"))</f>
        <v>Slow</v>
      </c>
      <c r="T2230" t="str">
        <f>IF(Table1[[#This Row],[Price2]]&lt;500000,"Affordable",IF(Table1[[#This Row],[Price2]]&lt;1000000,"Mid range","Luxury"))</f>
        <v>Luxury</v>
      </c>
    </row>
    <row r="2231" spans="1:20" x14ac:dyDescent="0.35">
      <c r="A2231" s="3">
        <v>1148708</v>
      </c>
      <c r="B2231" s="2" t="s">
        <v>22</v>
      </c>
      <c r="C2231">
        <v>95061</v>
      </c>
      <c r="D2231" s="2" t="s">
        <v>29</v>
      </c>
      <c r="E2231">
        <v>1</v>
      </c>
      <c r="F2231">
        <v>2</v>
      </c>
      <c r="G2231" s="4">
        <f>VALUE(SUBSTITUTE(SUBSTITUTE(Table1[[#This Row],[Price]],"$",""),",",""))</f>
        <v>1148708</v>
      </c>
      <c r="H2231" s="1">
        <f>Table1[[#This Row],[Price2]]/Table1[[#This Row],[Area]]</f>
        <v>509.40487804878046</v>
      </c>
      <c r="I2231">
        <v>2255</v>
      </c>
      <c r="J2231">
        <v>2006</v>
      </c>
      <c r="K2231">
        <v>80</v>
      </c>
      <c r="L2231" t="s">
        <v>30</v>
      </c>
      <c r="M2231" t="s">
        <v>362</v>
      </c>
      <c r="N2231" s="2" t="s">
        <v>3033</v>
      </c>
      <c r="O2231" t="s">
        <v>3034</v>
      </c>
      <c r="P2231" t="s">
        <v>21</v>
      </c>
      <c r="Q2231">
        <v>509.40487804878046</v>
      </c>
      <c r="R2231">
        <f ca="1">YEAR(TODAY())-Table1[[#This Row],[Year Built]]</f>
        <v>20</v>
      </c>
      <c r="S2231" t="str">
        <f>IF(Table1[[#This Row],[Days on Market]] &lt; 30,"Fast",IF(Table1[[#This Row],[Days on Market]]&lt;= 90,"Average", "Slow"))</f>
        <v>Average</v>
      </c>
      <c r="T2231" t="str">
        <f>IF(Table1[[#This Row],[Price2]]&lt;500000,"Affordable",IF(Table1[[#This Row],[Price2]]&lt;1000000,"Mid range","Luxury"))</f>
        <v>Luxury</v>
      </c>
    </row>
    <row r="2232" spans="1:20" x14ac:dyDescent="0.35">
      <c r="A2232" s="3">
        <v>1151470</v>
      </c>
      <c r="B2232" s="2" t="s">
        <v>12</v>
      </c>
      <c r="C2232">
        <v>41905</v>
      </c>
      <c r="D2232" s="2" t="s">
        <v>18</v>
      </c>
      <c r="E2232">
        <v>5</v>
      </c>
      <c r="F2232">
        <v>1</v>
      </c>
      <c r="G2232" s="4">
        <f>VALUE(SUBSTITUTE(SUBSTITUTE(Table1[[#This Row],[Price]],"$",""),",",""))</f>
        <v>1151470</v>
      </c>
      <c r="H2232" s="1">
        <f>Table1[[#This Row],[Price2]]/Table1[[#This Row],[Area]]</f>
        <v>312.22071583514099</v>
      </c>
      <c r="I2232">
        <v>3688</v>
      </c>
      <c r="J2232">
        <v>1993</v>
      </c>
      <c r="K2232">
        <v>81</v>
      </c>
      <c r="L2232" t="s">
        <v>30</v>
      </c>
      <c r="M2232" t="s">
        <v>3011</v>
      </c>
      <c r="N2232" s="2" t="s">
        <v>3035</v>
      </c>
      <c r="O2232" t="s">
        <v>3036</v>
      </c>
      <c r="P2232" t="s">
        <v>16</v>
      </c>
      <c r="Q2232">
        <v>312.22071583514099</v>
      </c>
      <c r="R2232">
        <f ca="1">YEAR(TODAY())-Table1[[#This Row],[Year Built]]</f>
        <v>33</v>
      </c>
      <c r="S2232" t="str">
        <f>IF(Table1[[#This Row],[Days on Market]] &lt; 30,"Fast",IF(Table1[[#This Row],[Days on Market]]&lt;= 90,"Average", "Slow"))</f>
        <v>Average</v>
      </c>
      <c r="T2232" t="str">
        <f>IF(Table1[[#This Row],[Price2]]&lt;500000,"Affordable",IF(Table1[[#This Row],[Price2]]&lt;1000000,"Mid range","Luxury"))</f>
        <v>Luxury</v>
      </c>
    </row>
    <row r="2233" spans="1:20" x14ac:dyDescent="0.35">
      <c r="A2233" s="3">
        <v>1151819</v>
      </c>
      <c r="B2233" s="2" t="s">
        <v>17</v>
      </c>
      <c r="C2233">
        <v>26810</v>
      </c>
      <c r="D2233" s="2" t="s">
        <v>23</v>
      </c>
      <c r="E2233">
        <v>5</v>
      </c>
      <c r="F2233">
        <v>4</v>
      </c>
      <c r="G2233" s="4">
        <f>VALUE(SUBSTITUTE(SUBSTITUTE(Table1[[#This Row],[Price]],"$",""),",",""))</f>
        <v>1151819</v>
      </c>
      <c r="H2233" s="1">
        <f>Table1[[#This Row],[Price2]]/Table1[[#This Row],[Area]]</f>
        <v>1116.1036821705427</v>
      </c>
      <c r="I2233">
        <v>1032</v>
      </c>
      <c r="J2233">
        <v>1985</v>
      </c>
      <c r="K2233">
        <v>28</v>
      </c>
      <c r="L2233" t="s">
        <v>14</v>
      </c>
      <c r="M2233" t="s">
        <v>2828</v>
      </c>
      <c r="N2233" s="2" t="s">
        <v>3031</v>
      </c>
      <c r="O2233" t="s">
        <v>3032</v>
      </c>
      <c r="P2233" t="s">
        <v>21</v>
      </c>
      <c r="Q2233">
        <v>1116.1036821705427</v>
      </c>
      <c r="R2233">
        <f ca="1">YEAR(TODAY())-Table1[[#This Row],[Year Built]]</f>
        <v>41</v>
      </c>
      <c r="S2233" t="str">
        <f>IF(Table1[[#This Row],[Days on Market]] &lt; 30,"Fast",IF(Table1[[#This Row],[Days on Market]]&lt;= 90,"Average", "Slow"))</f>
        <v>Fast</v>
      </c>
      <c r="T2233" t="str">
        <f>IF(Table1[[#This Row],[Price2]]&lt;500000,"Affordable",IF(Table1[[#This Row],[Price2]]&lt;1000000,"Mid range","Luxury"))</f>
        <v>Luxury</v>
      </c>
    </row>
    <row r="2234" spans="1:20" x14ac:dyDescent="0.35">
      <c r="A2234" s="3">
        <v>1152184</v>
      </c>
      <c r="B2234" s="2" t="s">
        <v>22</v>
      </c>
      <c r="C2234">
        <v>59337</v>
      </c>
      <c r="D2234" s="2" t="s">
        <v>35</v>
      </c>
      <c r="E2234">
        <v>2</v>
      </c>
      <c r="F2234">
        <v>3</v>
      </c>
      <c r="G2234" s="4">
        <f>VALUE(SUBSTITUTE(SUBSTITUTE(Table1[[#This Row],[Price]],"$",""),",",""))</f>
        <v>1152184</v>
      </c>
      <c r="H2234" s="1">
        <f>Table1[[#This Row],[Price2]]/Table1[[#This Row],[Area]]</f>
        <v>814.2643109540636</v>
      </c>
      <c r="I2234">
        <v>1415</v>
      </c>
      <c r="J2234">
        <v>2000</v>
      </c>
      <c r="K2234">
        <v>38</v>
      </c>
      <c r="L2234" t="s">
        <v>40</v>
      </c>
      <c r="M2234" t="s">
        <v>1157</v>
      </c>
      <c r="N2234" s="2" t="s">
        <v>3029</v>
      </c>
      <c r="O2234" t="s">
        <v>3030</v>
      </c>
      <c r="P2234" t="s">
        <v>16</v>
      </c>
      <c r="Q2234">
        <v>814.2643109540636</v>
      </c>
      <c r="R2234">
        <f ca="1">YEAR(TODAY())-Table1[[#This Row],[Year Built]]</f>
        <v>26</v>
      </c>
      <c r="S2234" t="str">
        <f>IF(Table1[[#This Row],[Days on Market]] &lt; 30,"Fast",IF(Table1[[#This Row],[Days on Market]]&lt;= 90,"Average", "Slow"))</f>
        <v>Average</v>
      </c>
      <c r="T2234" t="str">
        <f>IF(Table1[[#This Row],[Price2]]&lt;500000,"Affordable",IF(Table1[[#This Row],[Price2]]&lt;1000000,"Mid range","Luxury"))</f>
        <v>Luxury</v>
      </c>
    </row>
    <row r="2235" spans="1:20" x14ac:dyDescent="0.35">
      <c r="A2235" s="3">
        <v>1152868</v>
      </c>
      <c r="B2235" s="2" t="s">
        <v>22</v>
      </c>
      <c r="C2235">
        <v>65167</v>
      </c>
      <c r="D2235" s="2" t="s">
        <v>13</v>
      </c>
      <c r="E2235">
        <v>6</v>
      </c>
      <c r="F2235">
        <v>3</v>
      </c>
      <c r="G2235" s="4">
        <f>VALUE(SUBSTITUTE(SUBSTITUTE(Table1[[#This Row],[Price]],"$",""),",",""))</f>
        <v>1152868</v>
      </c>
      <c r="H2235" s="1">
        <f>Table1[[#This Row],[Price2]]/Table1[[#This Row],[Area]]</f>
        <v>369.39057994232616</v>
      </c>
      <c r="I2235">
        <v>3121</v>
      </c>
      <c r="J2235">
        <v>1990</v>
      </c>
      <c r="K2235">
        <v>55</v>
      </c>
      <c r="L2235" t="s">
        <v>30</v>
      </c>
      <c r="M2235" t="s">
        <v>1040</v>
      </c>
      <c r="N2235" s="2" t="s">
        <v>3031</v>
      </c>
      <c r="O2235" t="s">
        <v>3032</v>
      </c>
      <c r="P2235" t="s">
        <v>26</v>
      </c>
      <c r="Q2235">
        <v>369.39057994232616</v>
      </c>
      <c r="R2235">
        <f ca="1">YEAR(TODAY())-Table1[[#This Row],[Year Built]]</f>
        <v>36</v>
      </c>
      <c r="S2235" t="str">
        <f>IF(Table1[[#This Row],[Days on Market]] &lt; 30,"Fast",IF(Table1[[#This Row],[Days on Market]]&lt;= 90,"Average", "Slow"))</f>
        <v>Average</v>
      </c>
      <c r="T2235" t="str">
        <f>IF(Table1[[#This Row],[Price2]]&lt;500000,"Affordable",IF(Table1[[#This Row],[Price2]]&lt;1000000,"Mid range","Luxury"))</f>
        <v>Luxury</v>
      </c>
    </row>
    <row r="2236" spans="1:20" x14ac:dyDescent="0.35">
      <c r="A2236" s="3">
        <v>1152978</v>
      </c>
      <c r="B2236" s="2" t="s">
        <v>22</v>
      </c>
      <c r="C2236">
        <v>80409</v>
      </c>
      <c r="D2236" s="2" t="s">
        <v>13</v>
      </c>
      <c r="E2236">
        <v>3</v>
      </c>
      <c r="F2236">
        <v>3</v>
      </c>
      <c r="G2236" s="4">
        <f>VALUE(SUBSTITUTE(SUBSTITUTE(Table1[[#This Row],[Price]],"$",""),",",""))</f>
        <v>1152978</v>
      </c>
      <c r="H2236" s="1">
        <f>Table1[[#This Row],[Price2]]/Table1[[#This Row],[Area]]</f>
        <v>454.82366863905327</v>
      </c>
      <c r="I2236">
        <v>2535</v>
      </c>
      <c r="J2236">
        <v>2011</v>
      </c>
      <c r="K2236">
        <v>13</v>
      </c>
      <c r="L2236" t="s">
        <v>19</v>
      </c>
      <c r="M2236" t="s">
        <v>698</v>
      </c>
      <c r="N2236" s="2" t="s">
        <v>3031</v>
      </c>
      <c r="O2236" t="s">
        <v>3032</v>
      </c>
      <c r="P2236" t="s">
        <v>21</v>
      </c>
      <c r="Q2236">
        <v>454.82366863905327</v>
      </c>
      <c r="R2236">
        <f ca="1">YEAR(TODAY())-Table1[[#This Row],[Year Built]]</f>
        <v>15</v>
      </c>
      <c r="S2236" t="str">
        <f>IF(Table1[[#This Row],[Days on Market]] &lt; 30,"Fast",IF(Table1[[#This Row],[Days on Market]]&lt;= 90,"Average", "Slow"))</f>
        <v>Fast</v>
      </c>
      <c r="T2236" t="str">
        <f>IF(Table1[[#This Row],[Price2]]&lt;500000,"Affordable",IF(Table1[[#This Row],[Price2]]&lt;1000000,"Mid range","Luxury"))</f>
        <v>Luxury</v>
      </c>
    </row>
    <row r="2237" spans="1:20" x14ac:dyDescent="0.35">
      <c r="A2237" s="3">
        <v>1153210</v>
      </c>
      <c r="B2237" s="2" t="s">
        <v>27</v>
      </c>
      <c r="C2237">
        <v>62280</v>
      </c>
      <c r="D2237" s="2" t="s">
        <v>13</v>
      </c>
      <c r="E2237">
        <v>5</v>
      </c>
      <c r="F2237">
        <v>2</v>
      </c>
      <c r="G2237" s="4">
        <f>VALUE(SUBSTITUTE(SUBSTITUTE(Table1[[#This Row],[Price]],"$",""),",",""))</f>
        <v>1153210</v>
      </c>
      <c r="H2237" s="1">
        <f>Table1[[#This Row],[Price2]]/Table1[[#This Row],[Area]]</f>
        <v>458.71519490851233</v>
      </c>
      <c r="I2237">
        <v>2514</v>
      </c>
      <c r="J2237">
        <v>1980</v>
      </c>
      <c r="K2237">
        <v>118</v>
      </c>
      <c r="L2237" t="s">
        <v>52</v>
      </c>
      <c r="M2237" t="s">
        <v>1739</v>
      </c>
      <c r="N2237" s="2" t="s">
        <v>3027</v>
      </c>
      <c r="O2237" t="s">
        <v>3028</v>
      </c>
      <c r="P2237" t="s">
        <v>21</v>
      </c>
      <c r="Q2237">
        <v>458.71519490851233</v>
      </c>
      <c r="R2237">
        <f ca="1">YEAR(TODAY())-Table1[[#This Row],[Year Built]]</f>
        <v>46</v>
      </c>
      <c r="S2237" t="str">
        <f>IF(Table1[[#This Row],[Days on Market]] &lt; 30,"Fast",IF(Table1[[#This Row],[Days on Market]]&lt;= 90,"Average", "Slow"))</f>
        <v>Slow</v>
      </c>
      <c r="T2237" t="str">
        <f>IF(Table1[[#This Row],[Price2]]&lt;500000,"Affordable",IF(Table1[[#This Row],[Price2]]&lt;1000000,"Mid range","Luxury"))</f>
        <v>Luxury</v>
      </c>
    </row>
    <row r="2238" spans="1:20" x14ac:dyDescent="0.35">
      <c r="A2238" s="3">
        <v>1153651</v>
      </c>
      <c r="B2238" s="2" t="s">
        <v>22</v>
      </c>
      <c r="C2238">
        <v>36164</v>
      </c>
      <c r="D2238" s="2" t="s">
        <v>35</v>
      </c>
      <c r="E2238">
        <v>5</v>
      </c>
      <c r="F2238">
        <v>1</v>
      </c>
      <c r="G2238" s="4">
        <f>VALUE(SUBSTITUTE(SUBSTITUTE(Table1[[#This Row],[Price]],"$",""),",",""))</f>
        <v>1153651</v>
      </c>
      <c r="H2238" s="1">
        <f>Table1[[#This Row],[Price2]]/Table1[[#This Row],[Area]]</f>
        <v>936.40503246753246</v>
      </c>
      <c r="I2238">
        <v>1232</v>
      </c>
      <c r="J2238">
        <v>2009</v>
      </c>
      <c r="K2238">
        <v>73</v>
      </c>
      <c r="L2238" t="s">
        <v>19</v>
      </c>
      <c r="M2238" t="s">
        <v>2939</v>
      </c>
      <c r="N2238" s="2" t="s">
        <v>3027</v>
      </c>
      <c r="O2238" t="s">
        <v>3028</v>
      </c>
      <c r="P2238" t="s">
        <v>21</v>
      </c>
      <c r="Q2238">
        <v>936.40503246753246</v>
      </c>
      <c r="R2238">
        <f ca="1">YEAR(TODAY())-Table1[[#This Row],[Year Built]]</f>
        <v>17</v>
      </c>
      <c r="S2238" t="str">
        <f>IF(Table1[[#This Row],[Days on Market]] &lt; 30,"Fast",IF(Table1[[#This Row],[Days on Market]]&lt;= 90,"Average", "Slow"))</f>
        <v>Average</v>
      </c>
      <c r="T2238" t="str">
        <f>IF(Table1[[#This Row],[Price2]]&lt;500000,"Affordable",IF(Table1[[#This Row],[Price2]]&lt;1000000,"Mid range","Luxury"))</f>
        <v>Luxury</v>
      </c>
    </row>
    <row r="2239" spans="1:20" x14ac:dyDescent="0.35">
      <c r="A2239" s="3">
        <v>1153736</v>
      </c>
      <c r="B2239" s="2" t="s">
        <v>17</v>
      </c>
      <c r="C2239">
        <v>11392</v>
      </c>
      <c r="D2239" s="2" t="s">
        <v>35</v>
      </c>
      <c r="E2239">
        <v>6</v>
      </c>
      <c r="F2239">
        <v>2</v>
      </c>
      <c r="G2239" s="4">
        <f>VALUE(SUBSTITUTE(SUBSTITUTE(Table1[[#This Row],[Price]],"$",""),",",""))</f>
        <v>1153736</v>
      </c>
      <c r="H2239" s="1">
        <f>Table1[[#This Row],[Price2]]/Table1[[#This Row],[Area]]</f>
        <v>1263.6757940854327</v>
      </c>
      <c r="I2239">
        <v>913</v>
      </c>
      <c r="J2239">
        <v>2005</v>
      </c>
      <c r="K2239">
        <v>65</v>
      </c>
      <c r="L2239" t="s">
        <v>40</v>
      </c>
      <c r="M2239" t="s">
        <v>2569</v>
      </c>
      <c r="N2239" s="2" t="s">
        <v>3033</v>
      </c>
      <c r="O2239" t="s">
        <v>3034</v>
      </c>
      <c r="P2239" t="s">
        <v>21</v>
      </c>
      <c r="Q2239">
        <v>1263.6757940854327</v>
      </c>
      <c r="R2239">
        <f ca="1">YEAR(TODAY())-Table1[[#This Row],[Year Built]]</f>
        <v>21</v>
      </c>
      <c r="S2239" t="str">
        <f>IF(Table1[[#This Row],[Days on Market]] &lt; 30,"Fast",IF(Table1[[#This Row],[Days on Market]]&lt;= 90,"Average", "Slow"))</f>
        <v>Average</v>
      </c>
      <c r="T2239" t="str">
        <f>IF(Table1[[#This Row],[Price2]]&lt;500000,"Affordable",IF(Table1[[#This Row],[Price2]]&lt;1000000,"Mid range","Luxury"))</f>
        <v>Luxury</v>
      </c>
    </row>
    <row r="2240" spans="1:20" x14ac:dyDescent="0.35">
      <c r="A2240" s="3">
        <v>1153825</v>
      </c>
      <c r="B2240" s="2" t="s">
        <v>12</v>
      </c>
      <c r="C2240">
        <v>62437</v>
      </c>
      <c r="D2240" s="2" t="s">
        <v>13</v>
      </c>
      <c r="E2240">
        <v>6</v>
      </c>
      <c r="F2240">
        <v>2</v>
      </c>
      <c r="G2240" s="4">
        <f>VALUE(SUBSTITUTE(SUBSTITUTE(Table1[[#This Row],[Price]],"$",""),",",""))</f>
        <v>1153825</v>
      </c>
      <c r="H2240" s="1">
        <f>Table1[[#This Row],[Price2]]/Table1[[#This Row],[Area]]</f>
        <v>440.55937380679649</v>
      </c>
      <c r="I2240">
        <v>2619</v>
      </c>
      <c r="J2240">
        <v>1966</v>
      </c>
      <c r="K2240">
        <v>118</v>
      </c>
      <c r="L2240" t="s">
        <v>19</v>
      </c>
      <c r="M2240" t="s">
        <v>951</v>
      </c>
      <c r="N2240" s="2" t="s">
        <v>3033</v>
      </c>
      <c r="O2240" t="s">
        <v>3034</v>
      </c>
      <c r="P2240" t="s">
        <v>16</v>
      </c>
      <c r="Q2240">
        <v>440.55937380679649</v>
      </c>
      <c r="R2240">
        <f ca="1">YEAR(TODAY())-Table1[[#This Row],[Year Built]]</f>
        <v>60</v>
      </c>
      <c r="S2240" t="str">
        <f>IF(Table1[[#This Row],[Days on Market]] &lt; 30,"Fast",IF(Table1[[#This Row],[Days on Market]]&lt;= 90,"Average", "Slow"))</f>
        <v>Slow</v>
      </c>
      <c r="T2240" t="str">
        <f>IF(Table1[[#This Row],[Price2]]&lt;500000,"Affordable",IF(Table1[[#This Row],[Price2]]&lt;1000000,"Mid range","Luxury"))</f>
        <v>Luxury</v>
      </c>
    </row>
    <row r="2241" spans="1:20" x14ac:dyDescent="0.35">
      <c r="A2241" s="3">
        <v>1154031</v>
      </c>
      <c r="B2241" s="2" t="s">
        <v>22</v>
      </c>
      <c r="C2241">
        <v>85493</v>
      </c>
      <c r="D2241" s="2" t="s">
        <v>29</v>
      </c>
      <c r="E2241">
        <v>6</v>
      </c>
      <c r="F2241">
        <v>4</v>
      </c>
      <c r="G2241" s="4">
        <f>VALUE(SUBSTITUTE(SUBSTITUTE(Table1[[#This Row],[Price]],"$",""),",",""))</f>
        <v>1154031</v>
      </c>
      <c r="H2241" s="1">
        <f>Table1[[#This Row],[Price2]]/Table1[[#This Row],[Area]]</f>
        <v>398.76675881133377</v>
      </c>
      <c r="I2241">
        <v>2894</v>
      </c>
      <c r="J2241">
        <v>1962</v>
      </c>
      <c r="K2241">
        <v>62</v>
      </c>
      <c r="L2241" t="s">
        <v>19</v>
      </c>
      <c r="M2241" t="s">
        <v>2778</v>
      </c>
      <c r="N2241" s="2" t="s">
        <v>3031</v>
      </c>
      <c r="O2241" t="s">
        <v>3032</v>
      </c>
      <c r="P2241" t="s">
        <v>21</v>
      </c>
      <c r="Q2241">
        <v>398.76675881133377</v>
      </c>
      <c r="R2241">
        <f ca="1">YEAR(TODAY())-Table1[[#This Row],[Year Built]]</f>
        <v>64</v>
      </c>
      <c r="S2241" t="str">
        <f>IF(Table1[[#This Row],[Days on Market]] &lt; 30,"Fast",IF(Table1[[#This Row],[Days on Market]]&lt;= 90,"Average", "Slow"))</f>
        <v>Average</v>
      </c>
      <c r="T2241" t="str">
        <f>IF(Table1[[#This Row],[Price2]]&lt;500000,"Affordable",IF(Table1[[#This Row],[Price2]]&lt;1000000,"Mid range","Luxury"))</f>
        <v>Luxury</v>
      </c>
    </row>
    <row r="2242" spans="1:20" x14ac:dyDescent="0.35">
      <c r="A2242" s="3">
        <v>1154452</v>
      </c>
      <c r="B2242" s="2" t="s">
        <v>17</v>
      </c>
      <c r="C2242">
        <v>29174</v>
      </c>
      <c r="D2242" s="2" t="s">
        <v>13</v>
      </c>
      <c r="E2242">
        <v>5</v>
      </c>
      <c r="F2242">
        <v>3</v>
      </c>
      <c r="G2242" s="4">
        <f>VALUE(SUBSTITUTE(SUBSTITUTE(Table1[[#This Row],[Price]],"$",""),",",""))</f>
        <v>1154452</v>
      </c>
      <c r="H2242" s="1">
        <f>Table1[[#This Row],[Price2]]/Table1[[#This Row],[Area]]</f>
        <v>328.99743516671418</v>
      </c>
      <c r="I2242">
        <v>3509</v>
      </c>
      <c r="J2242">
        <v>2014</v>
      </c>
      <c r="K2242">
        <v>73</v>
      </c>
      <c r="L2242" t="s">
        <v>52</v>
      </c>
      <c r="M2242" t="s">
        <v>686</v>
      </c>
      <c r="N2242" s="2" t="s">
        <v>3027</v>
      </c>
      <c r="O2242" t="s">
        <v>3028</v>
      </c>
      <c r="P2242" t="s">
        <v>16</v>
      </c>
      <c r="Q2242">
        <v>328.99743516671418</v>
      </c>
      <c r="R2242">
        <f ca="1">YEAR(TODAY())-Table1[[#This Row],[Year Built]]</f>
        <v>12</v>
      </c>
      <c r="S2242" t="str">
        <f>IF(Table1[[#This Row],[Days on Market]] &lt; 30,"Fast",IF(Table1[[#This Row],[Days on Market]]&lt;= 90,"Average", "Slow"))</f>
        <v>Average</v>
      </c>
      <c r="T2242" t="str">
        <f>IF(Table1[[#This Row],[Price2]]&lt;500000,"Affordable",IF(Table1[[#This Row],[Price2]]&lt;1000000,"Mid range","Luxury"))</f>
        <v>Luxury</v>
      </c>
    </row>
    <row r="2243" spans="1:20" x14ac:dyDescent="0.35">
      <c r="A2243" s="3">
        <v>1154506</v>
      </c>
      <c r="B2243" s="2" t="s">
        <v>22</v>
      </c>
      <c r="C2243">
        <v>40884</v>
      </c>
      <c r="D2243" s="2" t="s">
        <v>23</v>
      </c>
      <c r="E2243">
        <v>3</v>
      </c>
      <c r="F2243">
        <v>2</v>
      </c>
      <c r="G2243" s="4">
        <f>VALUE(SUBSTITUTE(SUBSTITUTE(Table1[[#This Row],[Price]],"$",""),",",""))</f>
        <v>1154506</v>
      </c>
      <c r="H2243" s="1">
        <f>Table1[[#This Row],[Price2]]/Table1[[#This Row],[Area]]</f>
        <v>492.95730145175065</v>
      </c>
      <c r="I2243">
        <v>2342</v>
      </c>
      <c r="J2243">
        <v>2009</v>
      </c>
      <c r="K2243">
        <v>74</v>
      </c>
      <c r="L2243" t="s">
        <v>19</v>
      </c>
      <c r="M2243" t="s">
        <v>366</v>
      </c>
      <c r="N2243" s="2" t="s">
        <v>3027</v>
      </c>
      <c r="O2243" t="s">
        <v>3028</v>
      </c>
      <c r="P2243" t="s">
        <v>21</v>
      </c>
      <c r="Q2243">
        <v>492.95730145175065</v>
      </c>
      <c r="R2243">
        <f ca="1">YEAR(TODAY())-Table1[[#This Row],[Year Built]]</f>
        <v>17</v>
      </c>
      <c r="S2243" t="str">
        <f>IF(Table1[[#This Row],[Days on Market]] &lt; 30,"Fast",IF(Table1[[#This Row],[Days on Market]]&lt;= 90,"Average", "Slow"))</f>
        <v>Average</v>
      </c>
      <c r="T2243" t="str">
        <f>IF(Table1[[#This Row],[Price2]]&lt;500000,"Affordable",IF(Table1[[#This Row],[Price2]]&lt;1000000,"Mid range","Luxury"))</f>
        <v>Luxury</v>
      </c>
    </row>
    <row r="2244" spans="1:20" x14ac:dyDescent="0.35">
      <c r="A2244" s="3">
        <v>1155502</v>
      </c>
      <c r="B2244" s="2" t="s">
        <v>27</v>
      </c>
      <c r="C2244">
        <v>91480</v>
      </c>
      <c r="D2244" s="2" t="s">
        <v>29</v>
      </c>
      <c r="E2244">
        <v>3</v>
      </c>
      <c r="F2244">
        <v>2</v>
      </c>
      <c r="G2244" s="4">
        <f>VALUE(SUBSTITUTE(SUBSTITUTE(Table1[[#This Row],[Price]],"$",""),",",""))</f>
        <v>1155502</v>
      </c>
      <c r="H2244" s="1">
        <f>Table1[[#This Row],[Price2]]/Table1[[#This Row],[Area]]</f>
        <v>795.80027548209364</v>
      </c>
      <c r="I2244">
        <v>1452</v>
      </c>
      <c r="J2244">
        <v>2011</v>
      </c>
      <c r="K2244">
        <v>61</v>
      </c>
      <c r="L2244" t="s">
        <v>52</v>
      </c>
      <c r="M2244" t="s">
        <v>1971</v>
      </c>
      <c r="N2244" s="2" t="s">
        <v>3033</v>
      </c>
      <c r="O2244" t="s">
        <v>3034</v>
      </c>
      <c r="P2244" t="s">
        <v>21</v>
      </c>
      <c r="Q2244">
        <v>795.80027548209364</v>
      </c>
      <c r="R2244">
        <f ca="1">YEAR(TODAY())-Table1[[#This Row],[Year Built]]</f>
        <v>15</v>
      </c>
      <c r="S2244" t="str">
        <f>IF(Table1[[#This Row],[Days on Market]] &lt; 30,"Fast",IF(Table1[[#This Row],[Days on Market]]&lt;= 90,"Average", "Slow"))</f>
        <v>Average</v>
      </c>
      <c r="T2244" t="str">
        <f>IF(Table1[[#This Row],[Price2]]&lt;500000,"Affordable",IF(Table1[[#This Row],[Price2]]&lt;1000000,"Mid range","Luxury"))</f>
        <v>Luxury</v>
      </c>
    </row>
    <row r="2245" spans="1:20" x14ac:dyDescent="0.35">
      <c r="A2245" s="3">
        <v>1156785</v>
      </c>
      <c r="B2245" s="2" t="s">
        <v>27</v>
      </c>
      <c r="C2245">
        <v>80793</v>
      </c>
      <c r="D2245" s="2" t="s">
        <v>23</v>
      </c>
      <c r="E2245">
        <v>2</v>
      </c>
      <c r="F2245">
        <v>1</v>
      </c>
      <c r="G2245" s="4">
        <f>VALUE(SUBSTITUTE(SUBSTITUTE(Table1[[#This Row],[Price]],"$",""),",",""))</f>
        <v>1156785</v>
      </c>
      <c r="H2245" s="1">
        <f>Table1[[#This Row],[Price2]]/Table1[[#This Row],[Area]]</f>
        <v>810.64120532585844</v>
      </c>
      <c r="I2245">
        <v>1427</v>
      </c>
      <c r="J2245">
        <v>1963</v>
      </c>
      <c r="K2245">
        <v>27</v>
      </c>
      <c r="L2245" t="s">
        <v>52</v>
      </c>
      <c r="M2245" t="s">
        <v>1770</v>
      </c>
      <c r="N2245" s="2" t="s">
        <v>3031</v>
      </c>
      <c r="O2245" t="s">
        <v>3032</v>
      </c>
      <c r="P2245" t="s">
        <v>16</v>
      </c>
      <c r="Q2245">
        <v>810.64120532585844</v>
      </c>
      <c r="R2245">
        <f ca="1">YEAR(TODAY())-Table1[[#This Row],[Year Built]]</f>
        <v>63</v>
      </c>
      <c r="S2245" t="str">
        <f>IF(Table1[[#This Row],[Days on Market]] &lt; 30,"Fast",IF(Table1[[#This Row],[Days on Market]]&lt;= 90,"Average", "Slow"))</f>
        <v>Fast</v>
      </c>
      <c r="T2245" t="str">
        <f>IF(Table1[[#This Row],[Price2]]&lt;500000,"Affordable",IF(Table1[[#This Row],[Price2]]&lt;1000000,"Mid range","Luxury"))</f>
        <v>Luxury</v>
      </c>
    </row>
    <row r="2246" spans="1:20" x14ac:dyDescent="0.35">
      <c r="A2246" s="3">
        <v>1157118</v>
      </c>
      <c r="B2246" s="2" t="s">
        <v>12</v>
      </c>
      <c r="C2246">
        <v>82020</v>
      </c>
      <c r="D2246" s="2" t="s">
        <v>13</v>
      </c>
      <c r="E2246">
        <v>3</v>
      </c>
      <c r="F2246">
        <v>3</v>
      </c>
      <c r="G2246" s="4">
        <f>VALUE(SUBSTITUTE(SUBSTITUTE(Table1[[#This Row],[Price]],"$",""),",",""))</f>
        <v>1157118</v>
      </c>
      <c r="H2246" s="1">
        <f>Table1[[#This Row],[Price2]]/Table1[[#This Row],[Area]]</f>
        <v>399.0062068965517</v>
      </c>
      <c r="I2246">
        <v>2900</v>
      </c>
      <c r="J2246">
        <v>2016</v>
      </c>
      <c r="K2246">
        <v>112</v>
      </c>
      <c r="L2246" t="s">
        <v>14</v>
      </c>
      <c r="M2246" t="s">
        <v>1885</v>
      </c>
      <c r="N2246" s="2" t="s">
        <v>3027</v>
      </c>
      <c r="O2246" t="s">
        <v>3028</v>
      </c>
      <c r="P2246" t="s">
        <v>16</v>
      </c>
      <c r="Q2246">
        <v>399.0062068965517</v>
      </c>
      <c r="R2246">
        <f ca="1">YEAR(TODAY())-Table1[[#This Row],[Year Built]]</f>
        <v>10</v>
      </c>
      <c r="S2246" t="str">
        <f>IF(Table1[[#This Row],[Days on Market]] &lt; 30,"Fast",IF(Table1[[#This Row],[Days on Market]]&lt;= 90,"Average", "Slow"))</f>
        <v>Slow</v>
      </c>
      <c r="T2246" t="str">
        <f>IF(Table1[[#This Row],[Price2]]&lt;500000,"Affordable",IF(Table1[[#This Row],[Price2]]&lt;1000000,"Mid range","Luxury"))</f>
        <v>Luxury</v>
      </c>
    </row>
    <row r="2247" spans="1:20" x14ac:dyDescent="0.35">
      <c r="A2247" s="3">
        <v>1157354</v>
      </c>
      <c r="B2247" s="2" t="s">
        <v>17</v>
      </c>
      <c r="C2247">
        <v>21860</v>
      </c>
      <c r="D2247" s="2" t="s">
        <v>13</v>
      </c>
      <c r="E2247">
        <v>3</v>
      </c>
      <c r="F2247">
        <v>1</v>
      </c>
      <c r="G2247" s="4">
        <f>VALUE(SUBSTITUTE(SUBSTITUTE(Table1[[#This Row],[Price]],"$",""),",",""))</f>
        <v>1157354</v>
      </c>
      <c r="H2247" s="1">
        <f>Table1[[#This Row],[Price2]]/Table1[[#This Row],[Area]]</f>
        <v>531.13997246443319</v>
      </c>
      <c r="I2247">
        <v>2179</v>
      </c>
      <c r="J2247">
        <v>1979</v>
      </c>
      <c r="K2247">
        <v>100</v>
      </c>
      <c r="L2247" t="s">
        <v>52</v>
      </c>
      <c r="M2247" t="s">
        <v>2209</v>
      </c>
      <c r="N2247" s="2" t="s">
        <v>3029</v>
      </c>
      <c r="O2247" t="s">
        <v>3030</v>
      </c>
      <c r="P2247" t="s">
        <v>26</v>
      </c>
      <c r="Q2247">
        <v>531.13997246443319</v>
      </c>
      <c r="R2247">
        <f ca="1">YEAR(TODAY())-Table1[[#This Row],[Year Built]]</f>
        <v>47</v>
      </c>
      <c r="S2247" t="str">
        <f>IF(Table1[[#This Row],[Days on Market]] &lt; 30,"Fast",IF(Table1[[#This Row],[Days on Market]]&lt;= 90,"Average", "Slow"))</f>
        <v>Slow</v>
      </c>
      <c r="T2247" t="str">
        <f>IF(Table1[[#This Row],[Price2]]&lt;500000,"Affordable",IF(Table1[[#This Row],[Price2]]&lt;1000000,"Mid range","Luxury"))</f>
        <v>Luxury</v>
      </c>
    </row>
    <row r="2248" spans="1:20" x14ac:dyDescent="0.35">
      <c r="A2248" s="3">
        <v>1157381</v>
      </c>
      <c r="B2248" s="2" t="s">
        <v>27</v>
      </c>
      <c r="C2248">
        <v>58518</v>
      </c>
      <c r="D2248" s="2" t="s">
        <v>29</v>
      </c>
      <c r="E2248">
        <v>1</v>
      </c>
      <c r="F2248">
        <v>4</v>
      </c>
      <c r="G2248" s="4">
        <f>VALUE(SUBSTITUTE(SUBSTITUTE(Table1[[#This Row],[Price]],"$",""),",",""))</f>
        <v>1157381</v>
      </c>
      <c r="H2248" s="1">
        <f>Table1[[#This Row],[Price2]]/Table1[[#This Row],[Area]]</f>
        <v>302.58326797385621</v>
      </c>
      <c r="I2248">
        <v>3825</v>
      </c>
      <c r="J2248">
        <v>2006</v>
      </c>
      <c r="K2248">
        <v>58</v>
      </c>
      <c r="L2248" t="s">
        <v>14</v>
      </c>
      <c r="M2248" t="s">
        <v>1265</v>
      </c>
      <c r="N2248" s="2" t="s">
        <v>3035</v>
      </c>
      <c r="O2248" t="s">
        <v>3036</v>
      </c>
      <c r="P2248" t="s">
        <v>26</v>
      </c>
      <c r="Q2248">
        <v>302.58326797385621</v>
      </c>
      <c r="R2248">
        <f ca="1">YEAR(TODAY())-Table1[[#This Row],[Year Built]]</f>
        <v>20</v>
      </c>
      <c r="S2248" t="str">
        <f>IF(Table1[[#This Row],[Days on Market]] &lt; 30,"Fast",IF(Table1[[#This Row],[Days on Market]]&lt;= 90,"Average", "Slow"))</f>
        <v>Average</v>
      </c>
      <c r="T2248" t="str">
        <f>IF(Table1[[#This Row],[Price2]]&lt;500000,"Affordable",IF(Table1[[#This Row],[Price2]]&lt;1000000,"Mid range","Luxury"))</f>
        <v>Luxury</v>
      </c>
    </row>
    <row r="2249" spans="1:20" x14ac:dyDescent="0.35">
      <c r="A2249" s="3">
        <v>1158003</v>
      </c>
      <c r="B2249" s="2" t="s">
        <v>12</v>
      </c>
      <c r="C2249">
        <v>64361</v>
      </c>
      <c r="D2249" s="2" t="s">
        <v>18</v>
      </c>
      <c r="E2249">
        <v>2</v>
      </c>
      <c r="F2249">
        <v>2</v>
      </c>
      <c r="G2249" s="4">
        <f>VALUE(SUBSTITUTE(SUBSTITUTE(Table1[[#This Row],[Price]],"$",""),",",""))</f>
        <v>1158003</v>
      </c>
      <c r="H2249" s="1">
        <f>Table1[[#This Row],[Price2]]/Table1[[#This Row],[Area]]</f>
        <v>1148.8125</v>
      </c>
      <c r="I2249">
        <v>1008</v>
      </c>
      <c r="J2249">
        <v>1975</v>
      </c>
      <c r="K2249">
        <v>75</v>
      </c>
      <c r="L2249" t="s">
        <v>14</v>
      </c>
      <c r="M2249" t="s">
        <v>33</v>
      </c>
      <c r="N2249" s="2" t="s">
        <v>3033</v>
      </c>
      <c r="O2249" t="s">
        <v>3034</v>
      </c>
      <c r="P2249" t="s">
        <v>16</v>
      </c>
      <c r="Q2249">
        <v>1148.8125</v>
      </c>
      <c r="R2249">
        <f ca="1">YEAR(TODAY())-Table1[[#This Row],[Year Built]]</f>
        <v>51</v>
      </c>
      <c r="S2249" t="str">
        <f>IF(Table1[[#This Row],[Days on Market]] &lt; 30,"Fast",IF(Table1[[#This Row],[Days on Market]]&lt;= 90,"Average", "Slow"))</f>
        <v>Average</v>
      </c>
      <c r="T2249" t="str">
        <f>IF(Table1[[#This Row],[Price2]]&lt;500000,"Affordable",IF(Table1[[#This Row],[Price2]]&lt;1000000,"Mid range","Luxury"))</f>
        <v>Luxury</v>
      </c>
    </row>
    <row r="2250" spans="1:20" x14ac:dyDescent="0.35">
      <c r="A2250" s="3">
        <v>1158742</v>
      </c>
      <c r="B2250" s="2" t="s">
        <v>22</v>
      </c>
      <c r="C2250">
        <v>80471</v>
      </c>
      <c r="D2250" s="2" t="s">
        <v>18</v>
      </c>
      <c r="E2250">
        <v>2</v>
      </c>
      <c r="F2250">
        <v>1</v>
      </c>
      <c r="G2250" s="4">
        <f>VALUE(SUBSTITUTE(SUBSTITUTE(Table1[[#This Row],[Price]],"$",""),",",""))</f>
        <v>1158742</v>
      </c>
      <c r="H2250" s="1">
        <f>Table1[[#This Row],[Price2]]/Table1[[#This Row],[Area]]</f>
        <v>517.06470325747432</v>
      </c>
      <c r="I2250">
        <v>2241</v>
      </c>
      <c r="J2250">
        <v>1950</v>
      </c>
      <c r="K2250">
        <v>33</v>
      </c>
      <c r="L2250" t="s">
        <v>19</v>
      </c>
      <c r="M2250" t="s">
        <v>3021</v>
      </c>
      <c r="N2250" s="2" t="s">
        <v>3029</v>
      </c>
      <c r="O2250" t="s">
        <v>3030</v>
      </c>
      <c r="P2250" t="s">
        <v>26</v>
      </c>
      <c r="Q2250">
        <v>517.06470325747432</v>
      </c>
      <c r="R2250">
        <f ca="1">YEAR(TODAY())-Table1[[#This Row],[Year Built]]</f>
        <v>76</v>
      </c>
      <c r="S2250" t="str">
        <f>IF(Table1[[#This Row],[Days on Market]] &lt; 30,"Fast",IF(Table1[[#This Row],[Days on Market]]&lt;= 90,"Average", "Slow"))</f>
        <v>Average</v>
      </c>
      <c r="T2250" t="str">
        <f>IF(Table1[[#This Row],[Price2]]&lt;500000,"Affordable",IF(Table1[[#This Row],[Price2]]&lt;1000000,"Mid range","Luxury"))</f>
        <v>Luxury</v>
      </c>
    </row>
    <row r="2251" spans="1:20" x14ac:dyDescent="0.35">
      <c r="A2251" s="3">
        <v>1159314</v>
      </c>
      <c r="B2251" s="2" t="s">
        <v>34</v>
      </c>
      <c r="C2251">
        <v>31671</v>
      </c>
      <c r="D2251" s="2" t="s">
        <v>35</v>
      </c>
      <c r="E2251">
        <v>2</v>
      </c>
      <c r="F2251">
        <v>1</v>
      </c>
      <c r="G2251" s="4">
        <f>VALUE(SUBSTITUTE(SUBSTITUTE(Table1[[#This Row],[Price]],"$",""),",",""))</f>
        <v>1159314</v>
      </c>
      <c r="H2251" s="1">
        <f>Table1[[#This Row],[Price2]]/Table1[[#This Row],[Area]]</f>
        <v>299.40960743801651</v>
      </c>
      <c r="I2251">
        <v>3872</v>
      </c>
      <c r="J2251">
        <v>2005</v>
      </c>
      <c r="K2251">
        <v>97</v>
      </c>
      <c r="L2251" t="s">
        <v>30</v>
      </c>
      <c r="M2251" t="s">
        <v>2433</v>
      </c>
      <c r="N2251" s="2" t="s">
        <v>3035</v>
      </c>
      <c r="O2251" t="s">
        <v>3036</v>
      </c>
      <c r="P2251" t="s">
        <v>26</v>
      </c>
      <c r="Q2251">
        <v>299.40960743801651</v>
      </c>
      <c r="R2251">
        <f ca="1">YEAR(TODAY())-Table1[[#This Row],[Year Built]]</f>
        <v>21</v>
      </c>
      <c r="S2251" t="str">
        <f>IF(Table1[[#This Row],[Days on Market]] &lt; 30,"Fast",IF(Table1[[#This Row],[Days on Market]]&lt;= 90,"Average", "Slow"))</f>
        <v>Slow</v>
      </c>
      <c r="T2251" t="str">
        <f>IF(Table1[[#This Row],[Price2]]&lt;500000,"Affordable",IF(Table1[[#This Row],[Price2]]&lt;1000000,"Mid range","Luxury"))</f>
        <v>Luxury</v>
      </c>
    </row>
    <row r="2252" spans="1:20" x14ac:dyDescent="0.35">
      <c r="A2252" s="3">
        <v>1159353</v>
      </c>
      <c r="B2252" s="2" t="s">
        <v>12</v>
      </c>
      <c r="C2252">
        <v>15561</v>
      </c>
      <c r="D2252" s="2" t="s">
        <v>35</v>
      </c>
      <c r="E2252">
        <v>3</v>
      </c>
      <c r="F2252">
        <v>3</v>
      </c>
      <c r="G2252" s="4">
        <f>VALUE(SUBSTITUTE(SUBSTITUTE(Table1[[#This Row],[Price]],"$",""),",",""))</f>
        <v>1159353</v>
      </c>
      <c r="H2252" s="1">
        <f>Table1[[#This Row],[Price2]]/Table1[[#This Row],[Area]]</f>
        <v>859.41660489251296</v>
      </c>
      <c r="I2252">
        <v>1349</v>
      </c>
      <c r="J2252">
        <v>1954</v>
      </c>
      <c r="K2252">
        <v>109</v>
      </c>
      <c r="L2252" t="s">
        <v>14</v>
      </c>
      <c r="M2252" t="s">
        <v>2948</v>
      </c>
      <c r="N2252" s="2" t="s">
        <v>3029</v>
      </c>
      <c r="O2252" t="s">
        <v>3030</v>
      </c>
      <c r="P2252" t="s">
        <v>21</v>
      </c>
      <c r="Q2252">
        <v>859.41660489251296</v>
      </c>
      <c r="R2252">
        <f ca="1">YEAR(TODAY())-Table1[[#This Row],[Year Built]]</f>
        <v>72</v>
      </c>
      <c r="S2252" t="str">
        <f>IF(Table1[[#This Row],[Days on Market]] &lt; 30,"Fast",IF(Table1[[#This Row],[Days on Market]]&lt;= 90,"Average", "Slow"))</f>
        <v>Slow</v>
      </c>
      <c r="T2252" t="str">
        <f>IF(Table1[[#This Row],[Price2]]&lt;500000,"Affordable",IF(Table1[[#This Row],[Price2]]&lt;1000000,"Mid range","Luxury"))</f>
        <v>Luxury</v>
      </c>
    </row>
    <row r="2253" spans="1:20" x14ac:dyDescent="0.35">
      <c r="A2253" s="3">
        <v>1159677</v>
      </c>
      <c r="B2253" s="2" t="s">
        <v>27</v>
      </c>
      <c r="C2253">
        <v>83680</v>
      </c>
      <c r="D2253" s="2" t="s">
        <v>23</v>
      </c>
      <c r="E2253">
        <v>5</v>
      </c>
      <c r="F2253">
        <v>2</v>
      </c>
      <c r="G2253" s="4">
        <f>VALUE(SUBSTITUTE(SUBSTITUTE(Table1[[#This Row],[Price]],"$",""),",",""))</f>
        <v>1159677</v>
      </c>
      <c r="H2253" s="1">
        <f>Table1[[#This Row],[Price2]]/Table1[[#This Row],[Area]]</f>
        <v>311.07215665236049</v>
      </c>
      <c r="I2253">
        <v>3728</v>
      </c>
      <c r="J2253">
        <v>2019</v>
      </c>
      <c r="K2253">
        <v>22</v>
      </c>
      <c r="L2253" t="s">
        <v>52</v>
      </c>
      <c r="M2253" t="s">
        <v>932</v>
      </c>
      <c r="N2253" s="2" t="s">
        <v>3031</v>
      </c>
      <c r="O2253" t="s">
        <v>3032</v>
      </c>
      <c r="P2253" t="s">
        <v>26</v>
      </c>
      <c r="Q2253">
        <v>311.07215665236049</v>
      </c>
      <c r="R2253">
        <f ca="1">YEAR(TODAY())-Table1[[#This Row],[Year Built]]</f>
        <v>7</v>
      </c>
      <c r="S2253" t="str">
        <f>IF(Table1[[#This Row],[Days on Market]] &lt; 30,"Fast",IF(Table1[[#This Row],[Days on Market]]&lt;= 90,"Average", "Slow"))</f>
        <v>Fast</v>
      </c>
      <c r="T2253" t="str">
        <f>IF(Table1[[#This Row],[Price2]]&lt;500000,"Affordable",IF(Table1[[#This Row],[Price2]]&lt;1000000,"Mid range","Luxury"))</f>
        <v>Luxury</v>
      </c>
    </row>
    <row r="2254" spans="1:20" x14ac:dyDescent="0.35">
      <c r="A2254" s="3">
        <v>1159949</v>
      </c>
      <c r="B2254" s="2" t="s">
        <v>22</v>
      </c>
      <c r="C2254">
        <v>15971</v>
      </c>
      <c r="D2254" s="2" t="s">
        <v>35</v>
      </c>
      <c r="E2254">
        <v>3</v>
      </c>
      <c r="F2254">
        <v>2</v>
      </c>
      <c r="G2254" s="4">
        <f>VALUE(SUBSTITUTE(SUBSTITUTE(Table1[[#This Row],[Price]],"$",""),",",""))</f>
        <v>1159949</v>
      </c>
      <c r="H2254" s="1">
        <f>Table1[[#This Row],[Price2]]/Table1[[#This Row],[Area]]</f>
        <v>1455.3939774153073</v>
      </c>
      <c r="I2254">
        <v>797</v>
      </c>
      <c r="J2254">
        <v>1953</v>
      </c>
      <c r="K2254">
        <v>49</v>
      </c>
      <c r="L2254" t="s">
        <v>14</v>
      </c>
      <c r="M2254" t="s">
        <v>2588</v>
      </c>
      <c r="N2254" s="2" t="s">
        <v>3027</v>
      </c>
      <c r="O2254" t="s">
        <v>3028</v>
      </c>
      <c r="P2254" t="s">
        <v>21</v>
      </c>
      <c r="Q2254">
        <v>1455.3939774153073</v>
      </c>
      <c r="R2254">
        <f ca="1">YEAR(TODAY())-Table1[[#This Row],[Year Built]]</f>
        <v>73</v>
      </c>
      <c r="S2254" t="str">
        <f>IF(Table1[[#This Row],[Days on Market]] &lt; 30,"Fast",IF(Table1[[#This Row],[Days on Market]]&lt;= 90,"Average", "Slow"))</f>
        <v>Average</v>
      </c>
      <c r="T2254" t="str">
        <f>IF(Table1[[#This Row],[Price2]]&lt;500000,"Affordable",IF(Table1[[#This Row],[Price2]]&lt;1000000,"Mid range","Luxury"))</f>
        <v>Luxury</v>
      </c>
    </row>
    <row r="2255" spans="1:20" x14ac:dyDescent="0.35">
      <c r="A2255" s="3">
        <v>1159956</v>
      </c>
      <c r="B2255" s="2" t="s">
        <v>27</v>
      </c>
      <c r="C2255">
        <v>97824</v>
      </c>
      <c r="D2255" s="2" t="s">
        <v>29</v>
      </c>
      <c r="E2255">
        <v>2</v>
      </c>
      <c r="F2255">
        <v>4</v>
      </c>
      <c r="G2255" s="4">
        <f>VALUE(SUBSTITUTE(SUBSTITUTE(Table1[[#This Row],[Price]],"$",""),",",""))</f>
        <v>1159956</v>
      </c>
      <c r="H2255" s="1">
        <f>Table1[[#This Row],[Price2]]/Table1[[#This Row],[Area]]</f>
        <v>916.96126482213435</v>
      </c>
      <c r="I2255">
        <v>1265</v>
      </c>
      <c r="J2255">
        <v>1982</v>
      </c>
      <c r="K2255">
        <v>16</v>
      </c>
      <c r="L2255" t="s">
        <v>40</v>
      </c>
      <c r="M2255" t="s">
        <v>479</v>
      </c>
      <c r="N2255" s="2" t="s">
        <v>3029</v>
      </c>
      <c r="O2255" t="s">
        <v>3030</v>
      </c>
      <c r="P2255" t="s">
        <v>21</v>
      </c>
      <c r="Q2255">
        <v>916.96126482213435</v>
      </c>
      <c r="R2255">
        <f ca="1">YEAR(TODAY())-Table1[[#This Row],[Year Built]]</f>
        <v>44</v>
      </c>
      <c r="S2255" t="str">
        <f>IF(Table1[[#This Row],[Days on Market]] &lt; 30,"Fast",IF(Table1[[#This Row],[Days on Market]]&lt;= 90,"Average", "Slow"))</f>
        <v>Fast</v>
      </c>
      <c r="T2255" t="str">
        <f>IF(Table1[[#This Row],[Price2]]&lt;500000,"Affordable",IF(Table1[[#This Row],[Price2]]&lt;1000000,"Mid range","Luxury"))</f>
        <v>Luxury</v>
      </c>
    </row>
    <row r="2256" spans="1:20" x14ac:dyDescent="0.35">
      <c r="A2256" s="3">
        <v>1160505</v>
      </c>
      <c r="B2256" s="2" t="s">
        <v>27</v>
      </c>
      <c r="C2256">
        <v>88644</v>
      </c>
      <c r="D2256" s="2" t="s">
        <v>29</v>
      </c>
      <c r="E2256">
        <v>6</v>
      </c>
      <c r="F2256">
        <v>3</v>
      </c>
      <c r="G2256" s="4">
        <f>VALUE(SUBSTITUTE(SUBSTITUTE(Table1[[#This Row],[Price]],"$",""),",",""))</f>
        <v>1160505</v>
      </c>
      <c r="H2256" s="1">
        <f>Table1[[#This Row],[Price2]]/Table1[[#This Row],[Area]]</f>
        <v>382.62611275964395</v>
      </c>
      <c r="I2256">
        <v>3033</v>
      </c>
      <c r="J2256">
        <v>1966</v>
      </c>
      <c r="K2256">
        <v>38</v>
      </c>
      <c r="L2256" t="s">
        <v>40</v>
      </c>
      <c r="M2256" t="s">
        <v>1891</v>
      </c>
      <c r="N2256" s="2" t="s">
        <v>3033</v>
      </c>
      <c r="O2256" t="s">
        <v>3034</v>
      </c>
      <c r="P2256" t="s">
        <v>16</v>
      </c>
      <c r="Q2256">
        <v>382.62611275964395</v>
      </c>
      <c r="R2256">
        <f ca="1">YEAR(TODAY())-Table1[[#This Row],[Year Built]]</f>
        <v>60</v>
      </c>
      <c r="S2256" t="str">
        <f>IF(Table1[[#This Row],[Days on Market]] &lt; 30,"Fast",IF(Table1[[#This Row],[Days on Market]]&lt;= 90,"Average", "Slow"))</f>
        <v>Average</v>
      </c>
      <c r="T2256" t="str">
        <f>IF(Table1[[#This Row],[Price2]]&lt;500000,"Affordable",IF(Table1[[#This Row],[Price2]]&lt;1000000,"Mid range","Luxury"))</f>
        <v>Luxury</v>
      </c>
    </row>
    <row r="2257" spans="1:20" x14ac:dyDescent="0.35">
      <c r="A2257" s="3">
        <v>1160990</v>
      </c>
      <c r="B2257" s="2" t="s">
        <v>17</v>
      </c>
      <c r="C2257">
        <v>32159</v>
      </c>
      <c r="D2257" s="2" t="s">
        <v>23</v>
      </c>
      <c r="E2257">
        <v>2</v>
      </c>
      <c r="F2257">
        <v>3</v>
      </c>
      <c r="G2257" s="4">
        <f>VALUE(SUBSTITUTE(SUBSTITUTE(Table1[[#This Row],[Price]],"$",""),",",""))</f>
        <v>1160990</v>
      </c>
      <c r="H2257" s="1">
        <f>Table1[[#This Row],[Price2]]/Table1[[#This Row],[Area]]</f>
        <v>303.60617154811717</v>
      </c>
      <c r="I2257">
        <v>3824</v>
      </c>
      <c r="J2257">
        <v>1981</v>
      </c>
      <c r="K2257">
        <v>26</v>
      </c>
      <c r="L2257" t="s">
        <v>19</v>
      </c>
      <c r="M2257" t="s">
        <v>1144</v>
      </c>
      <c r="N2257" s="2" t="s">
        <v>3031</v>
      </c>
      <c r="O2257" t="s">
        <v>3032</v>
      </c>
      <c r="P2257" t="s">
        <v>16</v>
      </c>
      <c r="Q2257">
        <v>303.60617154811717</v>
      </c>
      <c r="R2257">
        <f ca="1">YEAR(TODAY())-Table1[[#This Row],[Year Built]]</f>
        <v>45</v>
      </c>
      <c r="S2257" t="str">
        <f>IF(Table1[[#This Row],[Days on Market]] &lt; 30,"Fast",IF(Table1[[#This Row],[Days on Market]]&lt;= 90,"Average", "Slow"))</f>
        <v>Fast</v>
      </c>
      <c r="T2257" t="str">
        <f>IF(Table1[[#This Row],[Price2]]&lt;500000,"Affordable",IF(Table1[[#This Row],[Price2]]&lt;1000000,"Mid range","Luxury"))</f>
        <v>Luxury</v>
      </c>
    </row>
    <row r="2258" spans="1:20" x14ac:dyDescent="0.35">
      <c r="A2258" s="3">
        <v>1161136</v>
      </c>
      <c r="B2258" s="2" t="s">
        <v>17</v>
      </c>
      <c r="C2258">
        <v>61835</v>
      </c>
      <c r="D2258" s="2" t="s">
        <v>23</v>
      </c>
      <c r="E2258">
        <v>5</v>
      </c>
      <c r="F2258">
        <v>4</v>
      </c>
      <c r="G2258" s="4">
        <f>VALUE(SUBSTITUTE(SUBSTITUTE(Table1[[#This Row],[Price]],"$",""),",",""))</f>
        <v>1161136</v>
      </c>
      <c r="H2258" s="1">
        <f>Table1[[#This Row],[Price2]]/Table1[[#This Row],[Area]]</f>
        <v>736.76142131979691</v>
      </c>
      <c r="I2258">
        <v>1576</v>
      </c>
      <c r="J2258">
        <v>1983</v>
      </c>
      <c r="K2258">
        <v>4</v>
      </c>
      <c r="L2258" t="s">
        <v>14</v>
      </c>
      <c r="M2258" t="s">
        <v>242</v>
      </c>
      <c r="N2258" s="2" t="s">
        <v>3029</v>
      </c>
      <c r="O2258" t="s">
        <v>3030</v>
      </c>
      <c r="P2258" t="s">
        <v>26</v>
      </c>
      <c r="Q2258">
        <v>736.76142131979691</v>
      </c>
      <c r="R2258">
        <f ca="1">YEAR(TODAY())-Table1[[#This Row],[Year Built]]</f>
        <v>43</v>
      </c>
      <c r="S2258" t="str">
        <f>IF(Table1[[#This Row],[Days on Market]] &lt; 30,"Fast",IF(Table1[[#This Row],[Days on Market]]&lt;= 90,"Average", "Slow"))</f>
        <v>Fast</v>
      </c>
      <c r="T2258" t="str">
        <f>IF(Table1[[#This Row],[Price2]]&lt;500000,"Affordable",IF(Table1[[#This Row],[Price2]]&lt;1000000,"Mid range","Luxury"))</f>
        <v>Luxury</v>
      </c>
    </row>
    <row r="2259" spans="1:20" x14ac:dyDescent="0.35">
      <c r="A2259" s="3">
        <v>1161421</v>
      </c>
      <c r="B2259" s="2" t="s">
        <v>22</v>
      </c>
      <c r="C2259">
        <v>80455</v>
      </c>
      <c r="D2259" s="2" t="s">
        <v>13</v>
      </c>
      <c r="E2259">
        <v>2</v>
      </c>
      <c r="F2259">
        <v>3</v>
      </c>
      <c r="G2259" s="4">
        <f>VALUE(SUBSTITUTE(SUBSTITUTE(Table1[[#This Row],[Price]],"$",""),",",""))</f>
        <v>1161421</v>
      </c>
      <c r="H2259" s="1">
        <f>Table1[[#This Row],[Price2]]/Table1[[#This Row],[Area]]</f>
        <v>350.56474494415937</v>
      </c>
      <c r="I2259">
        <v>3313</v>
      </c>
      <c r="J2259">
        <v>2005</v>
      </c>
      <c r="K2259">
        <v>49</v>
      </c>
      <c r="L2259" t="s">
        <v>40</v>
      </c>
      <c r="M2259" t="s">
        <v>423</v>
      </c>
      <c r="N2259" s="2" t="s">
        <v>3031</v>
      </c>
      <c r="O2259" t="s">
        <v>3032</v>
      </c>
      <c r="P2259" t="s">
        <v>21</v>
      </c>
      <c r="Q2259">
        <v>350.56474494415937</v>
      </c>
      <c r="R2259">
        <f ca="1">YEAR(TODAY())-Table1[[#This Row],[Year Built]]</f>
        <v>21</v>
      </c>
      <c r="S2259" t="str">
        <f>IF(Table1[[#This Row],[Days on Market]] &lt; 30,"Fast",IF(Table1[[#This Row],[Days on Market]]&lt;= 90,"Average", "Slow"))</f>
        <v>Average</v>
      </c>
      <c r="T2259" t="str">
        <f>IF(Table1[[#This Row],[Price2]]&lt;500000,"Affordable",IF(Table1[[#This Row],[Price2]]&lt;1000000,"Mid range","Luxury"))</f>
        <v>Luxury</v>
      </c>
    </row>
    <row r="2260" spans="1:20" x14ac:dyDescent="0.35">
      <c r="A2260" s="3">
        <v>1164086</v>
      </c>
      <c r="B2260" s="2" t="s">
        <v>22</v>
      </c>
      <c r="C2260">
        <v>48480</v>
      </c>
      <c r="D2260" s="2" t="s">
        <v>23</v>
      </c>
      <c r="E2260">
        <v>2</v>
      </c>
      <c r="F2260">
        <v>3</v>
      </c>
      <c r="G2260" s="4">
        <f>VALUE(SUBSTITUTE(SUBSTITUTE(Table1[[#This Row],[Price]],"$",""),",",""))</f>
        <v>1164086</v>
      </c>
      <c r="H2260" s="1">
        <f>Table1[[#This Row],[Price2]]/Table1[[#This Row],[Area]]</f>
        <v>409.60098522167488</v>
      </c>
      <c r="I2260">
        <v>2842</v>
      </c>
      <c r="J2260">
        <v>1954</v>
      </c>
      <c r="K2260">
        <v>17</v>
      </c>
      <c r="L2260" t="s">
        <v>30</v>
      </c>
      <c r="M2260" t="s">
        <v>2229</v>
      </c>
      <c r="N2260" s="2" t="s">
        <v>3035</v>
      </c>
      <c r="O2260" t="s">
        <v>3036</v>
      </c>
      <c r="P2260" t="s">
        <v>21</v>
      </c>
      <c r="Q2260">
        <v>409.60098522167488</v>
      </c>
      <c r="R2260">
        <f ca="1">YEAR(TODAY())-Table1[[#This Row],[Year Built]]</f>
        <v>72</v>
      </c>
      <c r="S2260" t="str">
        <f>IF(Table1[[#This Row],[Days on Market]] &lt; 30,"Fast",IF(Table1[[#This Row],[Days on Market]]&lt;= 90,"Average", "Slow"))</f>
        <v>Fast</v>
      </c>
      <c r="T2260" t="str">
        <f>IF(Table1[[#This Row],[Price2]]&lt;500000,"Affordable",IF(Table1[[#This Row],[Price2]]&lt;1000000,"Mid range","Luxury"))</f>
        <v>Luxury</v>
      </c>
    </row>
    <row r="2261" spans="1:20" x14ac:dyDescent="0.35">
      <c r="A2261" s="3">
        <v>1164095</v>
      </c>
      <c r="B2261" s="2" t="s">
        <v>12</v>
      </c>
      <c r="C2261">
        <v>96515</v>
      </c>
      <c r="D2261" s="2" t="s">
        <v>35</v>
      </c>
      <c r="E2261">
        <v>6</v>
      </c>
      <c r="F2261">
        <v>3</v>
      </c>
      <c r="G2261" s="4">
        <f>VALUE(SUBSTITUTE(SUBSTITUTE(Table1[[#This Row],[Price]],"$",""),",",""))</f>
        <v>1164095</v>
      </c>
      <c r="H2261" s="1">
        <f>Table1[[#This Row],[Price2]]/Table1[[#This Row],[Area]]</f>
        <v>814.05244755244757</v>
      </c>
      <c r="I2261">
        <v>1430</v>
      </c>
      <c r="J2261">
        <v>1993</v>
      </c>
      <c r="K2261">
        <v>112</v>
      </c>
      <c r="L2261" t="s">
        <v>19</v>
      </c>
      <c r="M2261" t="s">
        <v>2445</v>
      </c>
      <c r="N2261" s="2" t="s">
        <v>3031</v>
      </c>
      <c r="O2261" t="s">
        <v>3032</v>
      </c>
      <c r="P2261" t="s">
        <v>21</v>
      </c>
      <c r="Q2261">
        <v>814.05244755244757</v>
      </c>
      <c r="R2261">
        <f ca="1">YEAR(TODAY())-Table1[[#This Row],[Year Built]]</f>
        <v>33</v>
      </c>
      <c r="S2261" t="str">
        <f>IF(Table1[[#This Row],[Days on Market]] &lt; 30,"Fast",IF(Table1[[#This Row],[Days on Market]]&lt;= 90,"Average", "Slow"))</f>
        <v>Slow</v>
      </c>
      <c r="T2261" t="str">
        <f>IF(Table1[[#This Row],[Price2]]&lt;500000,"Affordable",IF(Table1[[#This Row],[Price2]]&lt;1000000,"Mid range","Luxury"))</f>
        <v>Luxury</v>
      </c>
    </row>
    <row r="2262" spans="1:20" x14ac:dyDescent="0.35">
      <c r="A2262" s="3">
        <v>1164190</v>
      </c>
      <c r="B2262" s="2" t="s">
        <v>27</v>
      </c>
      <c r="C2262">
        <v>49058</v>
      </c>
      <c r="D2262" s="2" t="s">
        <v>18</v>
      </c>
      <c r="E2262">
        <v>2</v>
      </c>
      <c r="F2262">
        <v>3</v>
      </c>
      <c r="G2262" s="4">
        <f>VALUE(SUBSTITUTE(SUBSTITUTE(Table1[[#This Row],[Price]],"$",""),",",""))</f>
        <v>1164190</v>
      </c>
      <c r="H2262" s="1">
        <f>Table1[[#This Row],[Price2]]/Table1[[#This Row],[Area]]</f>
        <v>473.2479674796748</v>
      </c>
      <c r="I2262">
        <v>2460</v>
      </c>
      <c r="J2262">
        <v>2010</v>
      </c>
      <c r="K2262">
        <v>26</v>
      </c>
      <c r="L2262" t="s">
        <v>52</v>
      </c>
      <c r="M2262" t="s">
        <v>2298</v>
      </c>
      <c r="N2262" s="2" t="s">
        <v>3033</v>
      </c>
      <c r="O2262" t="s">
        <v>3034</v>
      </c>
      <c r="P2262" t="s">
        <v>26</v>
      </c>
      <c r="Q2262">
        <v>473.2479674796748</v>
      </c>
      <c r="R2262">
        <f ca="1">YEAR(TODAY())-Table1[[#This Row],[Year Built]]</f>
        <v>16</v>
      </c>
      <c r="S2262" t="str">
        <f>IF(Table1[[#This Row],[Days on Market]] &lt; 30,"Fast",IF(Table1[[#This Row],[Days on Market]]&lt;= 90,"Average", "Slow"))</f>
        <v>Fast</v>
      </c>
      <c r="T2262" t="str">
        <f>IF(Table1[[#This Row],[Price2]]&lt;500000,"Affordable",IF(Table1[[#This Row],[Price2]]&lt;1000000,"Mid range","Luxury"))</f>
        <v>Luxury</v>
      </c>
    </row>
    <row r="2263" spans="1:20" x14ac:dyDescent="0.35">
      <c r="A2263" s="3">
        <v>1164352</v>
      </c>
      <c r="B2263" s="2" t="s">
        <v>12</v>
      </c>
      <c r="C2263">
        <v>92760</v>
      </c>
      <c r="D2263" s="2" t="s">
        <v>29</v>
      </c>
      <c r="E2263">
        <v>6</v>
      </c>
      <c r="F2263">
        <v>4</v>
      </c>
      <c r="G2263" s="4">
        <f>VALUE(SUBSTITUTE(SUBSTITUTE(Table1[[#This Row],[Price]],"$",""),",",""))</f>
        <v>1164352</v>
      </c>
      <c r="H2263" s="1">
        <f>Table1[[#This Row],[Price2]]/Table1[[#This Row],[Area]]</f>
        <v>301.25536869340232</v>
      </c>
      <c r="I2263">
        <v>3865</v>
      </c>
      <c r="J2263">
        <v>1964</v>
      </c>
      <c r="K2263">
        <v>86</v>
      </c>
      <c r="L2263" t="s">
        <v>19</v>
      </c>
      <c r="M2263" t="s">
        <v>1559</v>
      </c>
      <c r="N2263" s="2" t="s">
        <v>3027</v>
      </c>
      <c r="O2263" t="s">
        <v>3028</v>
      </c>
      <c r="P2263" t="s">
        <v>21</v>
      </c>
      <c r="Q2263">
        <v>301.25536869340232</v>
      </c>
      <c r="R2263">
        <f ca="1">YEAR(TODAY())-Table1[[#This Row],[Year Built]]</f>
        <v>62</v>
      </c>
      <c r="S2263" t="str">
        <f>IF(Table1[[#This Row],[Days on Market]] &lt; 30,"Fast",IF(Table1[[#This Row],[Days on Market]]&lt;= 90,"Average", "Slow"))</f>
        <v>Average</v>
      </c>
      <c r="T2263" t="str">
        <f>IF(Table1[[#This Row],[Price2]]&lt;500000,"Affordable",IF(Table1[[#This Row],[Price2]]&lt;1000000,"Mid range","Luxury"))</f>
        <v>Luxury</v>
      </c>
    </row>
    <row r="2264" spans="1:20" x14ac:dyDescent="0.35">
      <c r="A2264" s="3">
        <v>1164379</v>
      </c>
      <c r="B2264" s="2" t="s">
        <v>34</v>
      </c>
      <c r="C2264">
        <v>57058</v>
      </c>
      <c r="D2264" s="2" t="s">
        <v>18</v>
      </c>
      <c r="E2264">
        <v>5</v>
      </c>
      <c r="F2264">
        <v>2</v>
      </c>
      <c r="G2264" s="4">
        <f>VALUE(SUBSTITUTE(SUBSTITUTE(Table1[[#This Row],[Price]],"$",""),",",""))</f>
        <v>1164379</v>
      </c>
      <c r="H2264" s="1">
        <f>Table1[[#This Row],[Price2]]/Table1[[#This Row],[Area]]</f>
        <v>428.08051470588236</v>
      </c>
      <c r="I2264">
        <v>2720</v>
      </c>
      <c r="J2264">
        <v>1964</v>
      </c>
      <c r="K2264">
        <v>44</v>
      </c>
      <c r="L2264" t="s">
        <v>30</v>
      </c>
      <c r="M2264" t="s">
        <v>2020</v>
      </c>
      <c r="N2264" s="2" t="s">
        <v>3031</v>
      </c>
      <c r="O2264" t="s">
        <v>3032</v>
      </c>
      <c r="P2264" t="s">
        <v>26</v>
      </c>
      <c r="Q2264">
        <v>428.08051470588236</v>
      </c>
      <c r="R2264">
        <f ca="1">YEAR(TODAY())-Table1[[#This Row],[Year Built]]</f>
        <v>62</v>
      </c>
      <c r="S2264" t="str">
        <f>IF(Table1[[#This Row],[Days on Market]] &lt; 30,"Fast",IF(Table1[[#This Row],[Days on Market]]&lt;= 90,"Average", "Slow"))</f>
        <v>Average</v>
      </c>
      <c r="T2264" t="str">
        <f>IF(Table1[[#This Row],[Price2]]&lt;500000,"Affordable",IF(Table1[[#This Row],[Price2]]&lt;1000000,"Mid range","Luxury"))</f>
        <v>Luxury</v>
      </c>
    </row>
    <row r="2265" spans="1:20" x14ac:dyDescent="0.35">
      <c r="A2265" s="3">
        <v>1167277</v>
      </c>
      <c r="B2265" s="2" t="s">
        <v>17</v>
      </c>
      <c r="C2265">
        <v>34454</v>
      </c>
      <c r="D2265" s="2" t="s">
        <v>18</v>
      </c>
      <c r="E2265">
        <v>3</v>
      </c>
      <c r="F2265">
        <v>4</v>
      </c>
      <c r="G2265" s="4">
        <f>VALUE(SUBSTITUTE(SUBSTITUTE(Table1[[#This Row],[Price]],"$",""),",",""))</f>
        <v>1167277</v>
      </c>
      <c r="H2265" s="1">
        <f>Table1[[#This Row],[Price2]]/Table1[[#This Row],[Area]]</f>
        <v>478.58835588355885</v>
      </c>
      <c r="I2265">
        <v>2439</v>
      </c>
      <c r="J2265">
        <v>1979</v>
      </c>
      <c r="K2265">
        <v>111</v>
      </c>
      <c r="L2265" t="s">
        <v>52</v>
      </c>
      <c r="M2265" t="s">
        <v>2190</v>
      </c>
      <c r="N2265" s="2" t="s">
        <v>3031</v>
      </c>
      <c r="O2265" t="s">
        <v>3032</v>
      </c>
      <c r="P2265" t="s">
        <v>21</v>
      </c>
      <c r="Q2265">
        <v>478.58835588355885</v>
      </c>
      <c r="R2265">
        <f ca="1">YEAR(TODAY())-Table1[[#This Row],[Year Built]]</f>
        <v>47</v>
      </c>
      <c r="S2265" t="str">
        <f>IF(Table1[[#This Row],[Days on Market]] &lt; 30,"Fast",IF(Table1[[#This Row],[Days on Market]]&lt;= 90,"Average", "Slow"))</f>
        <v>Slow</v>
      </c>
      <c r="T2265" t="str">
        <f>IF(Table1[[#This Row],[Price2]]&lt;500000,"Affordable",IF(Table1[[#This Row],[Price2]]&lt;1000000,"Mid range","Luxury"))</f>
        <v>Luxury</v>
      </c>
    </row>
    <row r="2266" spans="1:20" x14ac:dyDescent="0.35">
      <c r="A2266" s="3">
        <v>1167370</v>
      </c>
      <c r="B2266" s="2" t="s">
        <v>17</v>
      </c>
      <c r="C2266">
        <v>26151</v>
      </c>
      <c r="D2266" s="2" t="s">
        <v>18</v>
      </c>
      <c r="E2266">
        <v>5</v>
      </c>
      <c r="F2266">
        <v>1</v>
      </c>
      <c r="G2266" s="4">
        <f>VALUE(SUBSTITUTE(SUBSTITUTE(Table1[[#This Row],[Price]],"$",""),",",""))</f>
        <v>1167370</v>
      </c>
      <c r="H2266" s="1">
        <f>Table1[[#This Row],[Price2]]/Table1[[#This Row],[Area]]</f>
        <v>1418.4325637910085</v>
      </c>
      <c r="I2266">
        <v>823</v>
      </c>
      <c r="J2266">
        <v>2021</v>
      </c>
      <c r="K2266">
        <v>88</v>
      </c>
      <c r="L2266" t="s">
        <v>14</v>
      </c>
      <c r="M2266" t="s">
        <v>139</v>
      </c>
      <c r="N2266" s="2" t="s">
        <v>3033</v>
      </c>
      <c r="O2266" t="s">
        <v>3034</v>
      </c>
      <c r="P2266" t="s">
        <v>16</v>
      </c>
      <c r="Q2266">
        <v>1418.4325637910085</v>
      </c>
      <c r="R2266">
        <f ca="1">YEAR(TODAY())-Table1[[#This Row],[Year Built]]</f>
        <v>5</v>
      </c>
      <c r="S2266" t="str">
        <f>IF(Table1[[#This Row],[Days on Market]] &lt; 30,"Fast",IF(Table1[[#This Row],[Days on Market]]&lt;= 90,"Average", "Slow"))</f>
        <v>Average</v>
      </c>
      <c r="T2266" t="str">
        <f>IF(Table1[[#This Row],[Price2]]&lt;500000,"Affordable",IF(Table1[[#This Row],[Price2]]&lt;1000000,"Mid range","Luxury"))</f>
        <v>Luxury</v>
      </c>
    </row>
    <row r="2267" spans="1:20" x14ac:dyDescent="0.35">
      <c r="A2267" s="3">
        <v>1167412</v>
      </c>
      <c r="B2267" s="2" t="s">
        <v>34</v>
      </c>
      <c r="C2267">
        <v>85803</v>
      </c>
      <c r="D2267" s="2" t="s">
        <v>23</v>
      </c>
      <c r="E2267">
        <v>1</v>
      </c>
      <c r="F2267">
        <v>1</v>
      </c>
      <c r="G2267" s="4">
        <f>VALUE(SUBSTITUTE(SUBSTITUTE(Table1[[#This Row],[Price]],"$",""),",",""))</f>
        <v>1167412</v>
      </c>
      <c r="H2267" s="1">
        <f>Table1[[#This Row],[Price2]]/Table1[[#This Row],[Area]]</f>
        <v>819.81179775280896</v>
      </c>
      <c r="I2267">
        <v>1424</v>
      </c>
      <c r="J2267">
        <v>2012</v>
      </c>
      <c r="K2267">
        <v>9</v>
      </c>
      <c r="L2267" t="s">
        <v>19</v>
      </c>
      <c r="M2267" t="s">
        <v>2710</v>
      </c>
      <c r="N2267" s="2" t="s">
        <v>3033</v>
      </c>
      <c r="O2267" t="s">
        <v>3034</v>
      </c>
      <c r="P2267" t="s">
        <v>26</v>
      </c>
      <c r="Q2267">
        <v>819.81179775280896</v>
      </c>
      <c r="R2267">
        <f ca="1">YEAR(TODAY())-Table1[[#This Row],[Year Built]]</f>
        <v>14</v>
      </c>
      <c r="S2267" t="str">
        <f>IF(Table1[[#This Row],[Days on Market]] &lt; 30,"Fast",IF(Table1[[#This Row],[Days on Market]]&lt;= 90,"Average", "Slow"))</f>
        <v>Fast</v>
      </c>
      <c r="T2267" t="str">
        <f>IF(Table1[[#This Row],[Price2]]&lt;500000,"Affordable",IF(Table1[[#This Row],[Price2]]&lt;1000000,"Mid range","Luxury"))</f>
        <v>Luxury</v>
      </c>
    </row>
    <row r="2268" spans="1:20" x14ac:dyDescent="0.35">
      <c r="A2268" s="3">
        <v>1167635</v>
      </c>
      <c r="B2268" s="2" t="s">
        <v>12</v>
      </c>
      <c r="C2268">
        <v>63355</v>
      </c>
      <c r="D2268" s="2" t="s">
        <v>23</v>
      </c>
      <c r="E2268">
        <v>1</v>
      </c>
      <c r="F2268">
        <v>3</v>
      </c>
      <c r="G2268" s="4">
        <f>VALUE(SUBSTITUTE(SUBSTITUTE(Table1[[#This Row],[Price]],"$",""),",",""))</f>
        <v>1167635</v>
      </c>
      <c r="H2268" s="1">
        <f>Table1[[#This Row],[Price2]]/Table1[[#This Row],[Area]]</f>
        <v>455.57354662504878</v>
      </c>
      <c r="I2268">
        <v>2563</v>
      </c>
      <c r="J2268">
        <v>1991</v>
      </c>
      <c r="K2268">
        <v>66</v>
      </c>
      <c r="L2268" t="s">
        <v>14</v>
      </c>
      <c r="M2268" t="s">
        <v>2794</v>
      </c>
      <c r="N2268" s="2" t="s">
        <v>3035</v>
      </c>
      <c r="O2268" t="s">
        <v>3036</v>
      </c>
      <c r="P2268" t="s">
        <v>26</v>
      </c>
      <c r="Q2268">
        <v>455.57354662504878</v>
      </c>
      <c r="R2268">
        <f ca="1">YEAR(TODAY())-Table1[[#This Row],[Year Built]]</f>
        <v>35</v>
      </c>
      <c r="S2268" t="str">
        <f>IF(Table1[[#This Row],[Days on Market]] &lt; 30,"Fast",IF(Table1[[#This Row],[Days on Market]]&lt;= 90,"Average", "Slow"))</f>
        <v>Average</v>
      </c>
      <c r="T2268" t="str">
        <f>IF(Table1[[#This Row],[Price2]]&lt;500000,"Affordable",IF(Table1[[#This Row],[Price2]]&lt;1000000,"Mid range","Luxury"))</f>
        <v>Luxury</v>
      </c>
    </row>
    <row r="2269" spans="1:20" x14ac:dyDescent="0.35">
      <c r="A2269" s="3">
        <v>1167836</v>
      </c>
      <c r="B2269" s="2" t="s">
        <v>27</v>
      </c>
      <c r="C2269">
        <v>68715</v>
      </c>
      <c r="D2269" s="2" t="s">
        <v>23</v>
      </c>
      <c r="E2269">
        <v>6</v>
      </c>
      <c r="F2269">
        <v>2</v>
      </c>
      <c r="G2269" s="4">
        <f>VALUE(SUBSTITUTE(SUBSTITUTE(Table1[[#This Row],[Price]],"$",""),",",""))</f>
        <v>1167836</v>
      </c>
      <c r="H2269" s="1">
        <f>Table1[[#This Row],[Price2]]/Table1[[#This Row],[Area]]</f>
        <v>511.53569864213756</v>
      </c>
      <c r="I2269">
        <v>2283</v>
      </c>
      <c r="J2269">
        <v>1953</v>
      </c>
      <c r="K2269">
        <v>70</v>
      </c>
      <c r="L2269" t="s">
        <v>40</v>
      </c>
      <c r="M2269" t="s">
        <v>718</v>
      </c>
      <c r="N2269" s="2" t="s">
        <v>3035</v>
      </c>
      <c r="O2269" t="s">
        <v>3036</v>
      </c>
      <c r="P2269" t="s">
        <v>21</v>
      </c>
      <c r="Q2269">
        <v>511.53569864213756</v>
      </c>
      <c r="R2269">
        <f ca="1">YEAR(TODAY())-Table1[[#This Row],[Year Built]]</f>
        <v>73</v>
      </c>
      <c r="S2269" t="str">
        <f>IF(Table1[[#This Row],[Days on Market]] &lt; 30,"Fast",IF(Table1[[#This Row],[Days on Market]]&lt;= 90,"Average", "Slow"))</f>
        <v>Average</v>
      </c>
      <c r="T2269" t="str">
        <f>IF(Table1[[#This Row],[Price2]]&lt;500000,"Affordable",IF(Table1[[#This Row],[Price2]]&lt;1000000,"Mid range","Luxury"))</f>
        <v>Luxury</v>
      </c>
    </row>
    <row r="2270" spans="1:20" x14ac:dyDescent="0.35">
      <c r="A2270" s="3">
        <v>1167986</v>
      </c>
      <c r="B2270" s="2" t="s">
        <v>22</v>
      </c>
      <c r="C2270">
        <v>27085</v>
      </c>
      <c r="D2270" s="2" t="s">
        <v>35</v>
      </c>
      <c r="E2270">
        <v>6</v>
      </c>
      <c r="F2270">
        <v>1</v>
      </c>
      <c r="G2270" s="4">
        <f>VALUE(SUBSTITUTE(SUBSTITUTE(Table1[[#This Row],[Price]],"$",""),",",""))</f>
        <v>1167986</v>
      </c>
      <c r="H2270" s="1">
        <f>Table1[[#This Row],[Price2]]/Table1[[#This Row],[Area]]</f>
        <v>952.68026101141925</v>
      </c>
      <c r="I2270">
        <v>1226</v>
      </c>
      <c r="J2270">
        <v>1972</v>
      </c>
      <c r="K2270">
        <v>62</v>
      </c>
      <c r="L2270" t="s">
        <v>14</v>
      </c>
      <c r="M2270" t="s">
        <v>3014</v>
      </c>
      <c r="N2270" s="2" t="s">
        <v>3029</v>
      </c>
      <c r="O2270" t="s">
        <v>3030</v>
      </c>
      <c r="P2270" t="s">
        <v>16</v>
      </c>
      <c r="Q2270">
        <v>952.68026101141925</v>
      </c>
      <c r="R2270">
        <f ca="1">YEAR(TODAY())-Table1[[#This Row],[Year Built]]</f>
        <v>54</v>
      </c>
      <c r="S2270" t="str">
        <f>IF(Table1[[#This Row],[Days on Market]] &lt; 30,"Fast",IF(Table1[[#This Row],[Days on Market]]&lt;= 90,"Average", "Slow"))</f>
        <v>Average</v>
      </c>
      <c r="T2270" t="str">
        <f>IF(Table1[[#This Row],[Price2]]&lt;500000,"Affordable",IF(Table1[[#This Row],[Price2]]&lt;1000000,"Mid range","Luxury"))</f>
        <v>Luxury</v>
      </c>
    </row>
    <row r="2271" spans="1:20" x14ac:dyDescent="0.35">
      <c r="A2271" s="3">
        <v>1168200</v>
      </c>
      <c r="B2271" s="2" t="s">
        <v>34</v>
      </c>
      <c r="C2271">
        <v>74633</v>
      </c>
      <c r="D2271" s="2" t="s">
        <v>29</v>
      </c>
      <c r="E2271">
        <v>3</v>
      </c>
      <c r="F2271">
        <v>4</v>
      </c>
      <c r="G2271" s="4">
        <f>VALUE(SUBSTITUTE(SUBSTITUTE(Table1[[#This Row],[Price]],"$",""),",",""))</f>
        <v>1168200</v>
      </c>
      <c r="H2271" s="1">
        <f>Table1[[#This Row],[Price2]]/Table1[[#This Row],[Area]]</f>
        <v>1089.7388059701493</v>
      </c>
      <c r="I2271">
        <v>1072</v>
      </c>
      <c r="J2271">
        <v>1971</v>
      </c>
      <c r="K2271">
        <v>114</v>
      </c>
      <c r="L2271" t="s">
        <v>52</v>
      </c>
      <c r="M2271" t="s">
        <v>623</v>
      </c>
      <c r="N2271" s="2" t="s">
        <v>3035</v>
      </c>
      <c r="O2271" t="s">
        <v>3036</v>
      </c>
      <c r="P2271" t="s">
        <v>16</v>
      </c>
      <c r="Q2271">
        <v>1089.7388059701493</v>
      </c>
      <c r="R2271">
        <f ca="1">YEAR(TODAY())-Table1[[#This Row],[Year Built]]</f>
        <v>55</v>
      </c>
      <c r="S2271" t="str">
        <f>IF(Table1[[#This Row],[Days on Market]] &lt; 30,"Fast",IF(Table1[[#This Row],[Days on Market]]&lt;= 90,"Average", "Slow"))</f>
        <v>Slow</v>
      </c>
      <c r="T2271" t="str">
        <f>IF(Table1[[#This Row],[Price2]]&lt;500000,"Affordable",IF(Table1[[#This Row],[Price2]]&lt;1000000,"Mid range","Luxury"))</f>
        <v>Luxury</v>
      </c>
    </row>
    <row r="2272" spans="1:20" x14ac:dyDescent="0.35">
      <c r="A2272" s="3">
        <v>1168371</v>
      </c>
      <c r="B2272" s="2" t="s">
        <v>12</v>
      </c>
      <c r="C2272">
        <v>33706</v>
      </c>
      <c r="D2272" s="2" t="s">
        <v>13</v>
      </c>
      <c r="E2272">
        <v>3</v>
      </c>
      <c r="F2272">
        <v>1</v>
      </c>
      <c r="G2272" s="4">
        <f>VALUE(SUBSTITUTE(SUBSTITUTE(Table1[[#This Row],[Price]],"$",""),",",""))</f>
        <v>1168371</v>
      </c>
      <c r="H2272" s="1">
        <f>Table1[[#This Row],[Price2]]/Table1[[#This Row],[Area]]</f>
        <v>311.98157543391187</v>
      </c>
      <c r="I2272">
        <v>3745</v>
      </c>
      <c r="J2272">
        <v>1969</v>
      </c>
      <c r="K2272">
        <v>114</v>
      </c>
      <c r="L2272" t="s">
        <v>14</v>
      </c>
      <c r="M2272" t="s">
        <v>2790</v>
      </c>
      <c r="N2272" s="2" t="s">
        <v>3033</v>
      </c>
      <c r="O2272" t="s">
        <v>3034</v>
      </c>
      <c r="P2272" t="s">
        <v>26</v>
      </c>
      <c r="Q2272">
        <v>311.98157543391187</v>
      </c>
      <c r="R2272">
        <f ca="1">YEAR(TODAY())-Table1[[#This Row],[Year Built]]</f>
        <v>57</v>
      </c>
      <c r="S2272" t="str">
        <f>IF(Table1[[#This Row],[Days on Market]] &lt; 30,"Fast",IF(Table1[[#This Row],[Days on Market]]&lt;= 90,"Average", "Slow"))</f>
        <v>Slow</v>
      </c>
      <c r="T2272" t="str">
        <f>IF(Table1[[#This Row],[Price2]]&lt;500000,"Affordable",IF(Table1[[#This Row],[Price2]]&lt;1000000,"Mid range","Luxury"))</f>
        <v>Luxury</v>
      </c>
    </row>
    <row r="2273" spans="1:20" x14ac:dyDescent="0.35">
      <c r="A2273" s="3">
        <v>1169326</v>
      </c>
      <c r="B2273" s="2" t="s">
        <v>27</v>
      </c>
      <c r="C2273">
        <v>25727</v>
      </c>
      <c r="D2273" s="2" t="s">
        <v>29</v>
      </c>
      <c r="E2273">
        <v>1</v>
      </c>
      <c r="F2273">
        <v>4</v>
      </c>
      <c r="G2273" s="4">
        <f>VALUE(SUBSTITUTE(SUBSTITUTE(Table1[[#This Row],[Price]],"$",""),",",""))</f>
        <v>1169326</v>
      </c>
      <c r="H2273" s="1">
        <f>Table1[[#This Row],[Price2]]/Table1[[#This Row],[Area]]</f>
        <v>1053.4468468468469</v>
      </c>
      <c r="I2273">
        <v>1110</v>
      </c>
      <c r="J2273">
        <v>1982</v>
      </c>
      <c r="K2273">
        <v>78</v>
      </c>
      <c r="L2273" t="s">
        <v>40</v>
      </c>
      <c r="M2273" t="s">
        <v>1387</v>
      </c>
      <c r="N2273" s="2" t="s">
        <v>3027</v>
      </c>
      <c r="O2273" t="s">
        <v>3028</v>
      </c>
      <c r="P2273" t="s">
        <v>21</v>
      </c>
      <c r="Q2273">
        <v>1053.4468468468469</v>
      </c>
      <c r="R2273">
        <f ca="1">YEAR(TODAY())-Table1[[#This Row],[Year Built]]</f>
        <v>44</v>
      </c>
      <c r="S2273" t="str">
        <f>IF(Table1[[#This Row],[Days on Market]] &lt; 30,"Fast",IF(Table1[[#This Row],[Days on Market]]&lt;= 90,"Average", "Slow"))</f>
        <v>Average</v>
      </c>
      <c r="T2273" t="str">
        <f>IF(Table1[[#This Row],[Price2]]&lt;500000,"Affordable",IF(Table1[[#This Row],[Price2]]&lt;1000000,"Mid range","Luxury"))</f>
        <v>Luxury</v>
      </c>
    </row>
    <row r="2274" spans="1:20" x14ac:dyDescent="0.35">
      <c r="A2274" s="3">
        <v>1169718</v>
      </c>
      <c r="B2274" s="2" t="s">
        <v>22</v>
      </c>
      <c r="C2274">
        <v>87798</v>
      </c>
      <c r="D2274" s="2" t="s">
        <v>13</v>
      </c>
      <c r="E2274">
        <v>3</v>
      </c>
      <c r="F2274">
        <v>3</v>
      </c>
      <c r="G2274" s="4">
        <f>VALUE(SUBSTITUTE(SUBSTITUTE(Table1[[#This Row],[Price]],"$",""),",",""))</f>
        <v>1169718</v>
      </c>
      <c r="H2274" s="1">
        <f>Table1[[#This Row],[Price2]]/Table1[[#This Row],[Area]]</f>
        <v>331.4587701898555</v>
      </c>
      <c r="I2274">
        <v>3529</v>
      </c>
      <c r="J2274">
        <v>1959</v>
      </c>
      <c r="K2274">
        <v>86</v>
      </c>
      <c r="L2274" t="s">
        <v>14</v>
      </c>
      <c r="M2274" t="s">
        <v>1269</v>
      </c>
      <c r="N2274" s="2" t="s">
        <v>3033</v>
      </c>
      <c r="O2274" t="s">
        <v>3034</v>
      </c>
      <c r="P2274" t="s">
        <v>21</v>
      </c>
      <c r="Q2274">
        <v>331.4587701898555</v>
      </c>
      <c r="R2274">
        <f ca="1">YEAR(TODAY())-Table1[[#This Row],[Year Built]]</f>
        <v>67</v>
      </c>
      <c r="S2274" t="str">
        <f>IF(Table1[[#This Row],[Days on Market]] &lt; 30,"Fast",IF(Table1[[#This Row],[Days on Market]]&lt;= 90,"Average", "Slow"))</f>
        <v>Average</v>
      </c>
      <c r="T2274" t="str">
        <f>IF(Table1[[#This Row],[Price2]]&lt;500000,"Affordable",IF(Table1[[#This Row],[Price2]]&lt;1000000,"Mid range","Luxury"))</f>
        <v>Luxury</v>
      </c>
    </row>
    <row r="2275" spans="1:20" x14ac:dyDescent="0.35">
      <c r="A2275" s="3">
        <v>1170279</v>
      </c>
      <c r="B2275" s="2" t="s">
        <v>22</v>
      </c>
      <c r="C2275">
        <v>87611</v>
      </c>
      <c r="D2275" s="2" t="s">
        <v>35</v>
      </c>
      <c r="E2275">
        <v>6</v>
      </c>
      <c r="F2275">
        <v>1</v>
      </c>
      <c r="G2275" s="4">
        <f>VALUE(SUBSTITUTE(SUBSTITUTE(Table1[[#This Row],[Price]],"$",""),",",""))</f>
        <v>1170279</v>
      </c>
      <c r="H2275" s="1">
        <f>Table1[[#This Row],[Price2]]/Table1[[#This Row],[Area]]</f>
        <v>1485.1256345177665</v>
      </c>
      <c r="I2275">
        <v>788</v>
      </c>
      <c r="J2275">
        <v>1989</v>
      </c>
      <c r="K2275">
        <v>21</v>
      </c>
      <c r="L2275" t="s">
        <v>30</v>
      </c>
      <c r="M2275" t="s">
        <v>1370</v>
      </c>
      <c r="N2275" s="2" t="s">
        <v>3035</v>
      </c>
      <c r="O2275" t="s">
        <v>3036</v>
      </c>
      <c r="P2275" t="s">
        <v>21</v>
      </c>
      <c r="Q2275">
        <v>1485.1256345177665</v>
      </c>
      <c r="R2275">
        <f ca="1">YEAR(TODAY())-Table1[[#This Row],[Year Built]]</f>
        <v>37</v>
      </c>
      <c r="S2275" t="str">
        <f>IF(Table1[[#This Row],[Days on Market]] &lt; 30,"Fast",IF(Table1[[#This Row],[Days on Market]]&lt;= 90,"Average", "Slow"))</f>
        <v>Fast</v>
      </c>
      <c r="T2275" t="str">
        <f>IF(Table1[[#This Row],[Price2]]&lt;500000,"Affordable",IF(Table1[[#This Row],[Price2]]&lt;1000000,"Mid range","Luxury"))</f>
        <v>Luxury</v>
      </c>
    </row>
    <row r="2276" spans="1:20" x14ac:dyDescent="0.35">
      <c r="A2276" s="3">
        <v>1170490</v>
      </c>
      <c r="B2276" s="2" t="s">
        <v>34</v>
      </c>
      <c r="C2276">
        <v>51041</v>
      </c>
      <c r="D2276" s="2" t="s">
        <v>18</v>
      </c>
      <c r="E2276">
        <v>2</v>
      </c>
      <c r="F2276">
        <v>4</v>
      </c>
      <c r="G2276" s="4">
        <f>VALUE(SUBSTITUTE(SUBSTITUTE(Table1[[#This Row],[Price]],"$",""),",",""))</f>
        <v>1170490</v>
      </c>
      <c r="H2276" s="1">
        <f>Table1[[#This Row],[Price2]]/Table1[[#This Row],[Area]]</f>
        <v>314.22550335570469</v>
      </c>
      <c r="I2276">
        <v>3725</v>
      </c>
      <c r="J2276">
        <v>1957</v>
      </c>
      <c r="K2276">
        <v>39</v>
      </c>
      <c r="L2276" t="s">
        <v>40</v>
      </c>
      <c r="M2276" t="s">
        <v>2935</v>
      </c>
      <c r="N2276" s="2" t="s">
        <v>3031</v>
      </c>
      <c r="O2276" t="s">
        <v>3032</v>
      </c>
      <c r="P2276" t="s">
        <v>16</v>
      </c>
      <c r="Q2276">
        <v>314.22550335570469</v>
      </c>
      <c r="R2276">
        <f ca="1">YEAR(TODAY())-Table1[[#This Row],[Year Built]]</f>
        <v>69</v>
      </c>
      <c r="S2276" t="str">
        <f>IF(Table1[[#This Row],[Days on Market]] &lt; 30,"Fast",IF(Table1[[#This Row],[Days on Market]]&lt;= 90,"Average", "Slow"))</f>
        <v>Average</v>
      </c>
      <c r="T2276" t="str">
        <f>IF(Table1[[#This Row],[Price2]]&lt;500000,"Affordable",IF(Table1[[#This Row],[Price2]]&lt;1000000,"Mid range","Luxury"))</f>
        <v>Luxury</v>
      </c>
    </row>
    <row r="2277" spans="1:20" x14ac:dyDescent="0.35">
      <c r="A2277" s="3">
        <v>1171593</v>
      </c>
      <c r="B2277" s="2" t="s">
        <v>34</v>
      </c>
      <c r="C2277">
        <v>38092</v>
      </c>
      <c r="D2277" s="2" t="s">
        <v>13</v>
      </c>
      <c r="E2277">
        <v>6</v>
      </c>
      <c r="F2277">
        <v>1</v>
      </c>
      <c r="G2277" s="4">
        <f>VALUE(SUBSTITUTE(SUBSTITUTE(Table1[[#This Row],[Price]],"$",""),",",""))</f>
        <v>1171593</v>
      </c>
      <c r="H2277" s="1">
        <f>Table1[[#This Row],[Price2]]/Table1[[#This Row],[Area]]</f>
        <v>636.73532608695655</v>
      </c>
      <c r="I2277">
        <v>1840</v>
      </c>
      <c r="J2277">
        <v>2016</v>
      </c>
      <c r="K2277">
        <v>10</v>
      </c>
      <c r="L2277" t="s">
        <v>14</v>
      </c>
      <c r="M2277" t="s">
        <v>677</v>
      </c>
      <c r="N2277" s="2" t="s">
        <v>3033</v>
      </c>
      <c r="O2277" t="s">
        <v>3034</v>
      </c>
      <c r="P2277" t="s">
        <v>26</v>
      </c>
      <c r="Q2277">
        <v>636.73532608695655</v>
      </c>
      <c r="R2277">
        <f ca="1">YEAR(TODAY())-Table1[[#This Row],[Year Built]]</f>
        <v>10</v>
      </c>
      <c r="S2277" t="str">
        <f>IF(Table1[[#This Row],[Days on Market]] &lt; 30,"Fast",IF(Table1[[#This Row],[Days on Market]]&lt;= 90,"Average", "Slow"))</f>
        <v>Fast</v>
      </c>
      <c r="T2277" t="str">
        <f>IF(Table1[[#This Row],[Price2]]&lt;500000,"Affordable",IF(Table1[[#This Row],[Price2]]&lt;1000000,"Mid range","Luxury"))</f>
        <v>Luxury</v>
      </c>
    </row>
    <row r="2278" spans="1:20" x14ac:dyDescent="0.35">
      <c r="A2278" s="3">
        <v>1171629</v>
      </c>
      <c r="B2278" s="2" t="s">
        <v>22</v>
      </c>
      <c r="C2278">
        <v>63853</v>
      </c>
      <c r="D2278" s="2" t="s">
        <v>23</v>
      </c>
      <c r="E2278">
        <v>2</v>
      </c>
      <c r="F2278">
        <v>4</v>
      </c>
      <c r="G2278" s="4">
        <f>VALUE(SUBSTITUTE(SUBSTITUTE(Table1[[#This Row],[Price]],"$",""),",",""))</f>
        <v>1171629</v>
      </c>
      <c r="H2278" s="1">
        <f>Table1[[#This Row],[Price2]]/Table1[[#This Row],[Area]]</f>
        <v>498.35346660995322</v>
      </c>
      <c r="I2278">
        <v>2351</v>
      </c>
      <c r="J2278">
        <v>2007</v>
      </c>
      <c r="K2278">
        <v>46</v>
      </c>
      <c r="L2278" t="s">
        <v>40</v>
      </c>
      <c r="M2278" t="s">
        <v>44</v>
      </c>
      <c r="N2278" s="2" t="s">
        <v>3027</v>
      </c>
      <c r="O2278" t="s">
        <v>3028</v>
      </c>
      <c r="P2278" t="s">
        <v>16</v>
      </c>
      <c r="Q2278">
        <v>498.35346660995322</v>
      </c>
      <c r="R2278">
        <f ca="1">YEAR(TODAY())-Table1[[#This Row],[Year Built]]</f>
        <v>19</v>
      </c>
      <c r="S2278" t="str">
        <f>IF(Table1[[#This Row],[Days on Market]] &lt; 30,"Fast",IF(Table1[[#This Row],[Days on Market]]&lt;= 90,"Average", "Slow"))</f>
        <v>Average</v>
      </c>
      <c r="T2278" t="str">
        <f>IF(Table1[[#This Row],[Price2]]&lt;500000,"Affordable",IF(Table1[[#This Row],[Price2]]&lt;1000000,"Mid range","Luxury"))</f>
        <v>Luxury</v>
      </c>
    </row>
    <row r="2279" spans="1:20" x14ac:dyDescent="0.35">
      <c r="A2279" s="3">
        <v>1171830</v>
      </c>
      <c r="B2279" s="2" t="s">
        <v>12</v>
      </c>
      <c r="C2279">
        <v>70965</v>
      </c>
      <c r="D2279" s="2" t="s">
        <v>18</v>
      </c>
      <c r="E2279">
        <v>1</v>
      </c>
      <c r="F2279">
        <v>4</v>
      </c>
      <c r="G2279" s="4">
        <f>VALUE(SUBSTITUTE(SUBSTITUTE(Table1[[#This Row],[Price]],"$",""),",",""))</f>
        <v>1171830</v>
      </c>
      <c r="H2279" s="1">
        <f>Table1[[#This Row],[Price2]]/Table1[[#This Row],[Area]]</f>
        <v>504.66408268733852</v>
      </c>
      <c r="I2279">
        <v>2322</v>
      </c>
      <c r="J2279">
        <v>1957</v>
      </c>
      <c r="K2279">
        <v>3</v>
      </c>
      <c r="L2279" t="s">
        <v>14</v>
      </c>
      <c r="M2279" t="s">
        <v>830</v>
      </c>
      <c r="N2279" s="2" t="s">
        <v>3031</v>
      </c>
      <c r="O2279" t="s">
        <v>3032</v>
      </c>
      <c r="P2279" t="s">
        <v>16</v>
      </c>
      <c r="Q2279">
        <v>504.66408268733852</v>
      </c>
      <c r="R2279">
        <f ca="1">YEAR(TODAY())-Table1[[#This Row],[Year Built]]</f>
        <v>69</v>
      </c>
      <c r="S2279" t="str">
        <f>IF(Table1[[#This Row],[Days on Market]] &lt; 30,"Fast",IF(Table1[[#This Row],[Days on Market]]&lt;= 90,"Average", "Slow"))</f>
        <v>Fast</v>
      </c>
      <c r="T2279" t="str">
        <f>IF(Table1[[#This Row],[Price2]]&lt;500000,"Affordable",IF(Table1[[#This Row],[Price2]]&lt;1000000,"Mid range","Luxury"))</f>
        <v>Luxury</v>
      </c>
    </row>
    <row r="2280" spans="1:20" x14ac:dyDescent="0.35">
      <c r="A2280" s="3">
        <v>1171839</v>
      </c>
      <c r="B2280" s="2" t="s">
        <v>22</v>
      </c>
      <c r="C2280">
        <v>48702</v>
      </c>
      <c r="D2280" s="2" t="s">
        <v>23</v>
      </c>
      <c r="E2280">
        <v>2</v>
      </c>
      <c r="F2280">
        <v>3</v>
      </c>
      <c r="G2280" s="4">
        <f>VALUE(SUBSTITUTE(SUBSTITUTE(Table1[[#This Row],[Price]],"$",""),",",""))</f>
        <v>1171839</v>
      </c>
      <c r="H2280" s="1">
        <f>Table1[[#This Row],[Price2]]/Table1[[#This Row],[Area]]</f>
        <v>1359.4419953596287</v>
      </c>
      <c r="I2280">
        <v>862</v>
      </c>
      <c r="J2280">
        <v>1955</v>
      </c>
      <c r="K2280">
        <v>95</v>
      </c>
      <c r="L2280" t="s">
        <v>30</v>
      </c>
      <c r="M2280" t="s">
        <v>935</v>
      </c>
      <c r="N2280" s="2" t="s">
        <v>3029</v>
      </c>
      <c r="O2280" t="s">
        <v>3030</v>
      </c>
      <c r="P2280" t="s">
        <v>16</v>
      </c>
      <c r="Q2280">
        <v>1359.4419953596287</v>
      </c>
      <c r="R2280">
        <f ca="1">YEAR(TODAY())-Table1[[#This Row],[Year Built]]</f>
        <v>71</v>
      </c>
      <c r="S2280" t="str">
        <f>IF(Table1[[#This Row],[Days on Market]] &lt; 30,"Fast",IF(Table1[[#This Row],[Days on Market]]&lt;= 90,"Average", "Slow"))</f>
        <v>Slow</v>
      </c>
      <c r="T2280" t="str">
        <f>IF(Table1[[#This Row],[Price2]]&lt;500000,"Affordable",IF(Table1[[#This Row],[Price2]]&lt;1000000,"Mid range","Luxury"))</f>
        <v>Luxury</v>
      </c>
    </row>
    <row r="2281" spans="1:20" x14ac:dyDescent="0.35">
      <c r="A2281" s="3">
        <v>1172082</v>
      </c>
      <c r="B2281" s="2" t="s">
        <v>17</v>
      </c>
      <c r="C2281">
        <v>61689</v>
      </c>
      <c r="D2281" s="2" t="s">
        <v>35</v>
      </c>
      <c r="E2281">
        <v>5</v>
      </c>
      <c r="F2281">
        <v>4</v>
      </c>
      <c r="G2281" s="4">
        <f>VALUE(SUBSTITUTE(SUBSTITUTE(Table1[[#This Row],[Price]],"$",""),",",""))</f>
        <v>1172082</v>
      </c>
      <c r="H2281" s="1">
        <f>Table1[[#This Row],[Price2]]/Table1[[#This Row],[Area]]</f>
        <v>478.59616169865251</v>
      </c>
      <c r="I2281">
        <v>2449</v>
      </c>
      <c r="J2281">
        <v>1984</v>
      </c>
      <c r="K2281">
        <v>36</v>
      </c>
      <c r="L2281" t="s">
        <v>14</v>
      </c>
      <c r="M2281" t="s">
        <v>2627</v>
      </c>
      <c r="N2281" s="2" t="s">
        <v>3027</v>
      </c>
      <c r="O2281" t="s">
        <v>3028</v>
      </c>
      <c r="P2281" t="s">
        <v>26</v>
      </c>
      <c r="Q2281">
        <v>478.59616169865251</v>
      </c>
      <c r="R2281">
        <f ca="1">YEAR(TODAY())-Table1[[#This Row],[Year Built]]</f>
        <v>42</v>
      </c>
      <c r="S2281" t="str">
        <f>IF(Table1[[#This Row],[Days on Market]] &lt; 30,"Fast",IF(Table1[[#This Row],[Days on Market]]&lt;= 90,"Average", "Slow"))</f>
        <v>Average</v>
      </c>
      <c r="T2281" t="str">
        <f>IF(Table1[[#This Row],[Price2]]&lt;500000,"Affordable",IF(Table1[[#This Row],[Price2]]&lt;1000000,"Mid range","Luxury"))</f>
        <v>Luxury</v>
      </c>
    </row>
    <row r="2282" spans="1:20" x14ac:dyDescent="0.35">
      <c r="A2282" s="3">
        <v>1172234</v>
      </c>
      <c r="B2282" s="2" t="s">
        <v>27</v>
      </c>
      <c r="C2282">
        <v>89715</v>
      </c>
      <c r="D2282" s="2" t="s">
        <v>35</v>
      </c>
      <c r="E2282">
        <v>4</v>
      </c>
      <c r="F2282">
        <v>2</v>
      </c>
      <c r="G2282" s="4">
        <f>VALUE(SUBSTITUTE(SUBSTITUTE(Table1[[#This Row],[Price]],"$",""),",",""))</f>
        <v>1172234</v>
      </c>
      <c r="H2282" s="1">
        <f>Table1[[#This Row],[Price2]]/Table1[[#This Row],[Area]]</f>
        <v>794.19647696476966</v>
      </c>
      <c r="I2282">
        <v>1476</v>
      </c>
      <c r="J2282">
        <v>1960</v>
      </c>
      <c r="K2282">
        <v>3</v>
      </c>
      <c r="L2282" t="s">
        <v>52</v>
      </c>
      <c r="M2282" t="s">
        <v>2920</v>
      </c>
      <c r="N2282" s="2" t="s">
        <v>3033</v>
      </c>
      <c r="O2282" t="s">
        <v>3034</v>
      </c>
      <c r="P2282" t="s">
        <v>26</v>
      </c>
      <c r="Q2282">
        <v>794.19647696476966</v>
      </c>
      <c r="R2282">
        <f ca="1">YEAR(TODAY())-Table1[[#This Row],[Year Built]]</f>
        <v>66</v>
      </c>
      <c r="S2282" t="str">
        <f>IF(Table1[[#This Row],[Days on Market]] &lt; 30,"Fast",IF(Table1[[#This Row],[Days on Market]]&lt;= 90,"Average", "Slow"))</f>
        <v>Fast</v>
      </c>
      <c r="T2282" t="str">
        <f>IF(Table1[[#This Row],[Price2]]&lt;500000,"Affordable",IF(Table1[[#This Row],[Price2]]&lt;1000000,"Mid range","Luxury"))</f>
        <v>Luxury</v>
      </c>
    </row>
    <row r="2283" spans="1:20" x14ac:dyDescent="0.35">
      <c r="A2283" s="3">
        <v>1173683</v>
      </c>
      <c r="B2283" s="2" t="s">
        <v>12</v>
      </c>
      <c r="C2283">
        <v>31733</v>
      </c>
      <c r="D2283" s="2" t="s">
        <v>18</v>
      </c>
      <c r="E2283">
        <v>3</v>
      </c>
      <c r="F2283">
        <v>1</v>
      </c>
      <c r="G2283" s="4">
        <f>VALUE(SUBSTITUTE(SUBSTITUTE(Table1[[#This Row],[Price]],"$",""),",",""))</f>
        <v>1173683</v>
      </c>
      <c r="H2283" s="1">
        <f>Table1[[#This Row],[Price2]]/Table1[[#This Row],[Area]]</f>
        <v>743.77883396704692</v>
      </c>
      <c r="I2283">
        <v>1578</v>
      </c>
      <c r="J2283">
        <v>2014</v>
      </c>
      <c r="K2283">
        <v>25</v>
      </c>
      <c r="L2283" t="s">
        <v>14</v>
      </c>
      <c r="M2283" t="s">
        <v>1811</v>
      </c>
      <c r="N2283" s="2" t="s">
        <v>3035</v>
      </c>
      <c r="O2283" t="s">
        <v>3036</v>
      </c>
      <c r="P2283" t="s">
        <v>21</v>
      </c>
      <c r="Q2283">
        <v>743.77883396704692</v>
      </c>
      <c r="R2283">
        <f ca="1">YEAR(TODAY())-Table1[[#This Row],[Year Built]]</f>
        <v>12</v>
      </c>
      <c r="S2283" t="str">
        <f>IF(Table1[[#This Row],[Days on Market]] &lt; 30,"Fast",IF(Table1[[#This Row],[Days on Market]]&lt;= 90,"Average", "Slow"))</f>
        <v>Fast</v>
      </c>
      <c r="T2283" t="str">
        <f>IF(Table1[[#This Row],[Price2]]&lt;500000,"Affordable",IF(Table1[[#This Row],[Price2]]&lt;1000000,"Mid range","Luxury"))</f>
        <v>Luxury</v>
      </c>
    </row>
    <row r="2284" spans="1:20" x14ac:dyDescent="0.35">
      <c r="A2284" s="3">
        <v>1173697</v>
      </c>
      <c r="B2284" s="2" t="s">
        <v>27</v>
      </c>
      <c r="C2284">
        <v>97442</v>
      </c>
      <c r="D2284" s="2" t="s">
        <v>23</v>
      </c>
      <c r="E2284">
        <v>2</v>
      </c>
      <c r="F2284">
        <v>4</v>
      </c>
      <c r="G2284" s="4">
        <f>VALUE(SUBSTITUTE(SUBSTITUTE(Table1[[#This Row],[Price]],"$",""),",",""))</f>
        <v>1173697</v>
      </c>
      <c r="H2284" s="1">
        <f>Table1[[#This Row],[Price2]]/Table1[[#This Row],[Area]]</f>
        <v>755.27477477477476</v>
      </c>
      <c r="I2284">
        <v>1554</v>
      </c>
      <c r="J2284">
        <v>1982</v>
      </c>
      <c r="K2284">
        <v>1</v>
      </c>
      <c r="L2284" t="s">
        <v>30</v>
      </c>
      <c r="M2284" t="s">
        <v>48</v>
      </c>
      <c r="N2284" s="2" t="s">
        <v>3031</v>
      </c>
      <c r="O2284" t="s">
        <v>3032</v>
      </c>
      <c r="P2284" t="s">
        <v>26</v>
      </c>
      <c r="Q2284">
        <v>755.27477477477476</v>
      </c>
      <c r="R2284">
        <f ca="1">YEAR(TODAY())-Table1[[#This Row],[Year Built]]</f>
        <v>44</v>
      </c>
      <c r="S2284" t="str">
        <f>IF(Table1[[#This Row],[Days on Market]] &lt; 30,"Fast",IF(Table1[[#This Row],[Days on Market]]&lt;= 90,"Average", "Slow"))</f>
        <v>Fast</v>
      </c>
      <c r="T2284" t="str">
        <f>IF(Table1[[#This Row],[Price2]]&lt;500000,"Affordable",IF(Table1[[#This Row],[Price2]]&lt;1000000,"Mid range","Luxury"))</f>
        <v>Luxury</v>
      </c>
    </row>
    <row r="2285" spans="1:20" x14ac:dyDescent="0.35">
      <c r="A2285" s="3">
        <v>1173967</v>
      </c>
      <c r="B2285" s="2" t="s">
        <v>17</v>
      </c>
      <c r="C2285">
        <v>22268</v>
      </c>
      <c r="D2285" s="2" t="s">
        <v>18</v>
      </c>
      <c r="E2285">
        <v>5</v>
      </c>
      <c r="F2285">
        <v>3</v>
      </c>
      <c r="G2285" s="4">
        <f>VALUE(SUBSTITUTE(SUBSTITUTE(Table1[[#This Row],[Price]],"$",""),",",""))</f>
        <v>1173967</v>
      </c>
      <c r="H2285" s="1">
        <f>Table1[[#This Row],[Price2]]/Table1[[#This Row],[Area]]</f>
        <v>667.02670454545455</v>
      </c>
      <c r="I2285">
        <v>1760</v>
      </c>
      <c r="J2285">
        <v>1959</v>
      </c>
      <c r="K2285">
        <v>90</v>
      </c>
      <c r="L2285" t="s">
        <v>52</v>
      </c>
      <c r="M2285" t="s">
        <v>1763</v>
      </c>
      <c r="N2285" s="2" t="s">
        <v>3029</v>
      </c>
      <c r="O2285" t="s">
        <v>3030</v>
      </c>
      <c r="P2285" t="s">
        <v>26</v>
      </c>
      <c r="Q2285">
        <v>667.02670454545455</v>
      </c>
      <c r="R2285">
        <f ca="1">YEAR(TODAY())-Table1[[#This Row],[Year Built]]</f>
        <v>67</v>
      </c>
      <c r="S2285" t="str">
        <f>IF(Table1[[#This Row],[Days on Market]] &lt; 30,"Fast",IF(Table1[[#This Row],[Days on Market]]&lt;= 90,"Average", "Slow"))</f>
        <v>Average</v>
      </c>
      <c r="T2285" t="str">
        <f>IF(Table1[[#This Row],[Price2]]&lt;500000,"Affordable",IF(Table1[[#This Row],[Price2]]&lt;1000000,"Mid range","Luxury"))</f>
        <v>Luxury</v>
      </c>
    </row>
    <row r="2286" spans="1:20" x14ac:dyDescent="0.35">
      <c r="A2286" s="3">
        <v>1174412</v>
      </c>
      <c r="B2286" s="2" t="s">
        <v>27</v>
      </c>
      <c r="C2286">
        <v>54265</v>
      </c>
      <c r="D2286" s="2" t="s">
        <v>13</v>
      </c>
      <c r="E2286">
        <v>2</v>
      </c>
      <c r="F2286">
        <v>4</v>
      </c>
      <c r="G2286" s="4">
        <f>VALUE(SUBSTITUTE(SUBSTITUTE(Table1[[#This Row],[Price]],"$",""),",",""))</f>
        <v>1174412</v>
      </c>
      <c r="H2286" s="1">
        <f>Table1[[#This Row],[Price2]]/Table1[[#This Row],[Area]]</f>
        <v>496.79018612521151</v>
      </c>
      <c r="I2286">
        <v>2364</v>
      </c>
      <c r="J2286">
        <v>1971</v>
      </c>
      <c r="K2286">
        <v>106</v>
      </c>
      <c r="L2286" t="s">
        <v>19</v>
      </c>
      <c r="M2286" t="s">
        <v>1825</v>
      </c>
      <c r="N2286" s="2" t="s">
        <v>3033</v>
      </c>
      <c r="O2286" t="s">
        <v>3034</v>
      </c>
      <c r="P2286" t="s">
        <v>16</v>
      </c>
      <c r="Q2286">
        <v>496.79018612521151</v>
      </c>
      <c r="R2286">
        <f ca="1">YEAR(TODAY())-Table1[[#This Row],[Year Built]]</f>
        <v>55</v>
      </c>
      <c r="S2286" t="str">
        <f>IF(Table1[[#This Row],[Days on Market]] &lt; 30,"Fast",IF(Table1[[#This Row],[Days on Market]]&lt;= 90,"Average", "Slow"))</f>
        <v>Slow</v>
      </c>
      <c r="T2286" t="str">
        <f>IF(Table1[[#This Row],[Price2]]&lt;500000,"Affordable",IF(Table1[[#This Row],[Price2]]&lt;1000000,"Mid range","Luxury"))</f>
        <v>Luxury</v>
      </c>
    </row>
    <row r="2287" spans="1:20" x14ac:dyDescent="0.35">
      <c r="A2287" s="3">
        <v>1174887</v>
      </c>
      <c r="B2287" s="2" t="s">
        <v>22</v>
      </c>
      <c r="C2287">
        <v>35806</v>
      </c>
      <c r="D2287" s="2" t="s">
        <v>35</v>
      </c>
      <c r="E2287">
        <v>6</v>
      </c>
      <c r="F2287">
        <v>2</v>
      </c>
      <c r="G2287" s="4">
        <f>VALUE(SUBSTITUTE(SUBSTITUTE(Table1[[#This Row],[Price]],"$",""),",",""))</f>
        <v>1174887</v>
      </c>
      <c r="H2287" s="1">
        <f>Table1[[#This Row],[Price2]]/Table1[[#This Row],[Area]]</f>
        <v>387.75148514851486</v>
      </c>
      <c r="I2287">
        <v>3030</v>
      </c>
      <c r="J2287">
        <v>1971</v>
      </c>
      <c r="K2287">
        <v>32</v>
      </c>
      <c r="L2287" t="s">
        <v>40</v>
      </c>
      <c r="M2287" t="s">
        <v>2801</v>
      </c>
      <c r="N2287" s="2" t="s">
        <v>3031</v>
      </c>
      <c r="O2287" t="s">
        <v>3032</v>
      </c>
      <c r="P2287" t="s">
        <v>26</v>
      </c>
      <c r="Q2287">
        <v>387.75148514851486</v>
      </c>
      <c r="R2287">
        <f ca="1">YEAR(TODAY())-Table1[[#This Row],[Year Built]]</f>
        <v>55</v>
      </c>
      <c r="S2287" t="str">
        <f>IF(Table1[[#This Row],[Days on Market]] &lt; 30,"Fast",IF(Table1[[#This Row],[Days on Market]]&lt;= 90,"Average", "Slow"))</f>
        <v>Average</v>
      </c>
      <c r="T2287" t="str">
        <f>IF(Table1[[#This Row],[Price2]]&lt;500000,"Affordable",IF(Table1[[#This Row],[Price2]]&lt;1000000,"Mid range","Luxury"))</f>
        <v>Luxury</v>
      </c>
    </row>
    <row r="2288" spans="1:20" x14ac:dyDescent="0.35">
      <c r="A2288" s="3">
        <v>1175183</v>
      </c>
      <c r="B2288" s="2" t="s">
        <v>17</v>
      </c>
      <c r="C2288">
        <v>81440</v>
      </c>
      <c r="D2288" s="2" t="s">
        <v>23</v>
      </c>
      <c r="E2288">
        <v>5</v>
      </c>
      <c r="F2288">
        <v>4</v>
      </c>
      <c r="G2288" s="4">
        <f>VALUE(SUBSTITUTE(SUBSTITUTE(Table1[[#This Row],[Price]],"$",""),",",""))</f>
        <v>1175183</v>
      </c>
      <c r="H2288" s="1">
        <f>Table1[[#This Row],[Price2]]/Table1[[#This Row],[Area]]</f>
        <v>321.70353134410072</v>
      </c>
      <c r="I2288">
        <v>3653</v>
      </c>
      <c r="J2288">
        <v>2003</v>
      </c>
      <c r="K2288">
        <v>108</v>
      </c>
      <c r="L2288" t="s">
        <v>40</v>
      </c>
      <c r="M2288" t="s">
        <v>2309</v>
      </c>
      <c r="N2288" s="2" t="s">
        <v>3035</v>
      </c>
      <c r="O2288" t="s">
        <v>3036</v>
      </c>
      <c r="P2288" t="s">
        <v>26</v>
      </c>
      <c r="Q2288">
        <v>321.70353134410072</v>
      </c>
      <c r="R2288">
        <f ca="1">YEAR(TODAY())-Table1[[#This Row],[Year Built]]</f>
        <v>23</v>
      </c>
      <c r="S2288" t="str">
        <f>IF(Table1[[#This Row],[Days on Market]] &lt; 30,"Fast",IF(Table1[[#This Row],[Days on Market]]&lt;= 90,"Average", "Slow"))</f>
        <v>Slow</v>
      </c>
      <c r="T2288" t="str">
        <f>IF(Table1[[#This Row],[Price2]]&lt;500000,"Affordable",IF(Table1[[#This Row],[Price2]]&lt;1000000,"Mid range","Luxury"))</f>
        <v>Luxury</v>
      </c>
    </row>
    <row r="2289" spans="1:20" x14ac:dyDescent="0.35">
      <c r="A2289" s="3">
        <v>1175358</v>
      </c>
      <c r="B2289" s="2" t="s">
        <v>22</v>
      </c>
      <c r="C2289">
        <v>72578</v>
      </c>
      <c r="D2289" s="2" t="s">
        <v>23</v>
      </c>
      <c r="E2289">
        <v>2</v>
      </c>
      <c r="F2289">
        <v>3</v>
      </c>
      <c r="G2289" s="4">
        <f>VALUE(SUBSTITUTE(SUBSTITUTE(Table1[[#This Row],[Price]],"$",""),",",""))</f>
        <v>1175358</v>
      </c>
      <c r="H2289" s="1">
        <f>Table1[[#This Row],[Price2]]/Table1[[#This Row],[Area]]</f>
        <v>409.24721448467966</v>
      </c>
      <c r="I2289">
        <v>2872</v>
      </c>
      <c r="J2289">
        <v>2006</v>
      </c>
      <c r="K2289">
        <v>110</v>
      </c>
      <c r="L2289" t="s">
        <v>19</v>
      </c>
      <c r="M2289" t="s">
        <v>1082</v>
      </c>
      <c r="N2289" s="2" t="s">
        <v>3027</v>
      </c>
      <c r="O2289" t="s">
        <v>3028</v>
      </c>
      <c r="P2289" t="s">
        <v>21</v>
      </c>
      <c r="Q2289">
        <v>409.24721448467966</v>
      </c>
      <c r="R2289">
        <f ca="1">YEAR(TODAY())-Table1[[#This Row],[Year Built]]</f>
        <v>20</v>
      </c>
      <c r="S2289" t="str">
        <f>IF(Table1[[#This Row],[Days on Market]] &lt; 30,"Fast",IF(Table1[[#This Row],[Days on Market]]&lt;= 90,"Average", "Slow"))</f>
        <v>Slow</v>
      </c>
      <c r="T2289" t="str">
        <f>IF(Table1[[#This Row],[Price2]]&lt;500000,"Affordable",IF(Table1[[#This Row],[Price2]]&lt;1000000,"Mid range","Luxury"))</f>
        <v>Luxury</v>
      </c>
    </row>
    <row r="2290" spans="1:20" x14ac:dyDescent="0.35">
      <c r="A2290" s="3">
        <v>1175776</v>
      </c>
      <c r="B2290" s="2" t="s">
        <v>12</v>
      </c>
      <c r="C2290">
        <v>91039</v>
      </c>
      <c r="D2290" s="2" t="s">
        <v>29</v>
      </c>
      <c r="E2290">
        <v>4</v>
      </c>
      <c r="F2290">
        <v>4</v>
      </c>
      <c r="G2290" s="4">
        <f>VALUE(SUBSTITUTE(SUBSTITUTE(Table1[[#This Row],[Price]],"$",""),",",""))</f>
        <v>1175776</v>
      </c>
      <c r="H2290" s="1">
        <f>Table1[[#This Row],[Price2]]/Table1[[#This Row],[Area]]</f>
        <v>747.94910941475825</v>
      </c>
      <c r="I2290">
        <v>1572</v>
      </c>
      <c r="J2290">
        <v>1995</v>
      </c>
      <c r="K2290">
        <v>65</v>
      </c>
      <c r="L2290" t="s">
        <v>19</v>
      </c>
      <c r="M2290" t="s">
        <v>2078</v>
      </c>
      <c r="N2290" s="2" t="s">
        <v>3027</v>
      </c>
      <c r="O2290" t="s">
        <v>3028</v>
      </c>
      <c r="P2290" t="s">
        <v>16</v>
      </c>
      <c r="Q2290">
        <v>747.94910941475825</v>
      </c>
      <c r="R2290">
        <f ca="1">YEAR(TODAY())-Table1[[#This Row],[Year Built]]</f>
        <v>31</v>
      </c>
      <c r="S2290" t="str">
        <f>IF(Table1[[#This Row],[Days on Market]] &lt; 30,"Fast",IF(Table1[[#This Row],[Days on Market]]&lt;= 90,"Average", "Slow"))</f>
        <v>Average</v>
      </c>
      <c r="T2290" t="str">
        <f>IF(Table1[[#This Row],[Price2]]&lt;500000,"Affordable",IF(Table1[[#This Row],[Price2]]&lt;1000000,"Mid range","Luxury"))</f>
        <v>Luxury</v>
      </c>
    </row>
    <row r="2291" spans="1:20" x14ac:dyDescent="0.35">
      <c r="A2291" s="3">
        <v>1175985</v>
      </c>
      <c r="B2291" s="2" t="s">
        <v>22</v>
      </c>
      <c r="C2291">
        <v>82995</v>
      </c>
      <c r="D2291" s="2" t="s">
        <v>18</v>
      </c>
      <c r="E2291">
        <v>4</v>
      </c>
      <c r="F2291">
        <v>2</v>
      </c>
      <c r="G2291" s="4">
        <f>VALUE(SUBSTITUTE(SUBSTITUTE(Table1[[#This Row],[Price]],"$",""),",",""))</f>
        <v>1175985</v>
      </c>
      <c r="H2291" s="1">
        <f>Table1[[#This Row],[Price2]]/Table1[[#This Row],[Area]]</f>
        <v>681.73043478260865</v>
      </c>
      <c r="I2291">
        <v>1725</v>
      </c>
      <c r="J2291">
        <v>1978</v>
      </c>
      <c r="K2291">
        <v>40</v>
      </c>
      <c r="L2291" t="s">
        <v>52</v>
      </c>
      <c r="M2291" t="s">
        <v>516</v>
      </c>
      <c r="N2291" s="2" t="s">
        <v>3029</v>
      </c>
      <c r="O2291" t="s">
        <v>3030</v>
      </c>
      <c r="P2291" t="s">
        <v>21</v>
      </c>
      <c r="Q2291">
        <v>681.73043478260865</v>
      </c>
      <c r="R2291">
        <f ca="1">YEAR(TODAY())-Table1[[#This Row],[Year Built]]</f>
        <v>48</v>
      </c>
      <c r="S2291" t="str">
        <f>IF(Table1[[#This Row],[Days on Market]] &lt; 30,"Fast",IF(Table1[[#This Row],[Days on Market]]&lt;= 90,"Average", "Slow"))</f>
        <v>Average</v>
      </c>
      <c r="T2291" t="str">
        <f>IF(Table1[[#This Row],[Price2]]&lt;500000,"Affordable",IF(Table1[[#This Row],[Price2]]&lt;1000000,"Mid range","Luxury"))</f>
        <v>Luxury</v>
      </c>
    </row>
    <row r="2292" spans="1:20" x14ac:dyDescent="0.35">
      <c r="A2292" s="3">
        <v>1176035</v>
      </c>
      <c r="B2292" s="2" t="s">
        <v>27</v>
      </c>
      <c r="C2292">
        <v>95565</v>
      </c>
      <c r="D2292" s="2" t="s">
        <v>35</v>
      </c>
      <c r="E2292">
        <v>4</v>
      </c>
      <c r="F2292">
        <v>4</v>
      </c>
      <c r="G2292" s="4">
        <f>VALUE(SUBSTITUTE(SUBSTITUTE(Table1[[#This Row],[Price]],"$",""),",",""))</f>
        <v>1176035</v>
      </c>
      <c r="H2292" s="1">
        <f>Table1[[#This Row],[Price2]]/Table1[[#This Row],[Area]]</f>
        <v>368.66300940438873</v>
      </c>
      <c r="I2292">
        <v>3190</v>
      </c>
      <c r="J2292">
        <v>2018</v>
      </c>
      <c r="K2292">
        <v>62</v>
      </c>
      <c r="L2292" t="s">
        <v>19</v>
      </c>
      <c r="M2292" t="s">
        <v>1561</v>
      </c>
      <c r="N2292" s="2" t="s">
        <v>3035</v>
      </c>
      <c r="O2292" t="s">
        <v>3036</v>
      </c>
      <c r="P2292" t="s">
        <v>21</v>
      </c>
      <c r="Q2292">
        <v>368.66300940438873</v>
      </c>
      <c r="R2292">
        <f ca="1">YEAR(TODAY())-Table1[[#This Row],[Year Built]]</f>
        <v>8</v>
      </c>
      <c r="S2292" t="str">
        <f>IF(Table1[[#This Row],[Days on Market]] &lt; 30,"Fast",IF(Table1[[#This Row],[Days on Market]]&lt;= 90,"Average", "Slow"))</f>
        <v>Average</v>
      </c>
      <c r="T2292" t="str">
        <f>IF(Table1[[#This Row],[Price2]]&lt;500000,"Affordable",IF(Table1[[#This Row],[Price2]]&lt;1000000,"Mid range","Luxury"))</f>
        <v>Luxury</v>
      </c>
    </row>
    <row r="2293" spans="1:20" x14ac:dyDescent="0.35">
      <c r="A2293" s="3">
        <v>1177290</v>
      </c>
      <c r="B2293" s="2" t="s">
        <v>34</v>
      </c>
      <c r="C2293">
        <v>77910</v>
      </c>
      <c r="D2293" s="2" t="s">
        <v>18</v>
      </c>
      <c r="E2293">
        <v>1</v>
      </c>
      <c r="F2293">
        <v>3</v>
      </c>
      <c r="G2293" s="4">
        <f>VALUE(SUBSTITUTE(SUBSTITUTE(Table1[[#This Row],[Price]],"$",""),",",""))</f>
        <v>1177290</v>
      </c>
      <c r="H2293" s="1">
        <f>Table1[[#This Row],[Price2]]/Table1[[#This Row],[Area]]</f>
        <v>803.61092150170646</v>
      </c>
      <c r="I2293">
        <v>1465</v>
      </c>
      <c r="J2293">
        <v>2023</v>
      </c>
      <c r="K2293">
        <v>77</v>
      </c>
      <c r="L2293" t="s">
        <v>40</v>
      </c>
      <c r="M2293" t="s">
        <v>2584</v>
      </c>
      <c r="N2293" s="2" t="s">
        <v>3031</v>
      </c>
      <c r="O2293" t="s">
        <v>3032</v>
      </c>
      <c r="P2293" t="s">
        <v>21</v>
      </c>
      <c r="Q2293">
        <v>803.61092150170646</v>
      </c>
      <c r="R2293">
        <f ca="1">YEAR(TODAY())-Table1[[#This Row],[Year Built]]</f>
        <v>3</v>
      </c>
      <c r="S2293" t="str">
        <f>IF(Table1[[#This Row],[Days on Market]] &lt; 30,"Fast",IF(Table1[[#This Row],[Days on Market]]&lt;= 90,"Average", "Slow"))</f>
        <v>Average</v>
      </c>
      <c r="T2293" t="str">
        <f>IF(Table1[[#This Row],[Price2]]&lt;500000,"Affordable",IF(Table1[[#This Row],[Price2]]&lt;1000000,"Mid range","Luxury"))</f>
        <v>Luxury</v>
      </c>
    </row>
    <row r="2294" spans="1:20" x14ac:dyDescent="0.35">
      <c r="A2294" s="3">
        <v>1177337</v>
      </c>
      <c r="B2294" s="2" t="s">
        <v>22</v>
      </c>
      <c r="C2294">
        <v>52410</v>
      </c>
      <c r="D2294" s="2" t="s">
        <v>18</v>
      </c>
      <c r="E2294">
        <v>2</v>
      </c>
      <c r="F2294">
        <v>4</v>
      </c>
      <c r="G2294" s="4">
        <f>VALUE(SUBSTITUTE(SUBSTITUTE(Table1[[#This Row],[Price]],"$",""),",",""))</f>
        <v>1177337</v>
      </c>
      <c r="H2294" s="1">
        <f>Table1[[#This Row],[Price2]]/Table1[[#This Row],[Area]]</f>
        <v>344.04938632378725</v>
      </c>
      <c r="I2294">
        <v>3422</v>
      </c>
      <c r="J2294">
        <v>1985</v>
      </c>
      <c r="K2294">
        <v>32</v>
      </c>
      <c r="L2294" t="s">
        <v>30</v>
      </c>
      <c r="M2294" t="s">
        <v>2063</v>
      </c>
      <c r="N2294" s="2" t="s">
        <v>3031</v>
      </c>
      <c r="O2294" t="s">
        <v>3032</v>
      </c>
      <c r="P2294" t="s">
        <v>26</v>
      </c>
      <c r="Q2294">
        <v>344.04938632378725</v>
      </c>
      <c r="R2294">
        <f ca="1">YEAR(TODAY())-Table1[[#This Row],[Year Built]]</f>
        <v>41</v>
      </c>
      <c r="S2294" t="str">
        <f>IF(Table1[[#This Row],[Days on Market]] &lt; 30,"Fast",IF(Table1[[#This Row],[Days on Market]]&lt;= 90,"Average", "Slow"))</f>
        <v>Average</v>
      </c>
      <c r="T2294" t="str">
        <f>IF(Table1[[#This Row],[Price2]]&lt;500000,"Affordable",IF(Table1[[#This Row],[Price2]]&lt;1000000,"Mid range","Luxury"))</f>
        <v>Luxury</v>
      </c>
    </row>
    <row r="2295" spans="1:20" x14ac:dyDescent="0.35">
      <c r="A2295" s="3">
        <v>1177500</v>
      </c>
      <c r="B2295" s="2" t="s">
        <v>27</v>
      </c>
      <c r="C2295">
        <v>52466</v>
      </c>
      <c r="D2295" s="2" t="s">
        <v>35</v>
      </c>
      <c r="E2295">
        <v>1</v>
      </c>
      <c r="F2295">
        <v>3</v>
      </c>
      <c r="G2295" s="4">
        <f>VALUE(SUBSTITUTE(SUBSTITUTE(Table1[[#This Row],[Price]],"$",""),",",""))</f>
        <v>1177500</v>
      </c>
      <c r="H2295" s="1">
        <f>Table1[[#This Row],[Price2]]/Table1[[#This Row],[Area]]</f>
        <v>343.19440396385892</v>
      </c>
      <c r="I2295">
        <v>3431</v>
      </c>
      <c r="J2295">
        <v>1975</v>
      </c>
      <c r="K2295">
        <v>26</v>
      </c>
      <c r="L2295" t="s">
        <v>19</v>
      </c>
      <c r="M2295" t="s">
        <v>2901</v>
      </c>
      <c r="N2295" s="2" t="s">
        <v>3033</v>
      </c>
      <c r="O2295" t="s">
        <v>3034</v>
      </c>
      <c r="P2295" t="s">
        <v>26</v>
      </c>
      <c r="Q2295">
        <v>343.19440396385892</v>
      </c>
      <c r="R2295">
        <f ca="1">YEAR(TODAY())-Table1[[#This Row],[Year Built]]</f>
        <v>51</v>
      </c>
      <c r="S2295" t="str">
        <f>IF(Table1[[#This Row],[Days on Market]] &lt; 30,"Fast",IF(Table1[[#This Row],[Days on Market]]&lt;= 90,"Average", "Slow"))</f>
        <v>Fast</v>
      </c>
      <c r="T2295" t="str">
        <f>IF(Table1[[#This Row],[Price2]]&lt;500000,"Affordable",IF(Table1[[#This Row],[Price2]]&lt;1000000,"Mid range","Luxury"))</f>
        <v>Luxury</v>
      </c>
    </row>
    <row r="2296" spans="1:20" x14ac:dyDescent="0.35">
      <c r="A2296" s="3">
        <v>1177942</v>
      </c>
      <c r="B2296" s="2" t="s">
        <v>17</v>
      </c>
      <c r="C2296">
        <v>71836</v>
      </c>
      <c r="D2296" s="2" t="s">
        <v>13</v>
      </c>
      <c r="E2296">
        <v>1</v>
      </c>
      <c r="F2296">
        <v>4</v>
      </c>
      <c r="G2296" s="4">
        <f>VALUE(SUBSTITUTE(SUBSTITUTE(Table1[[#This Row],[Price]],"$",""),",",""))</f>
        <v>1177942</v>
      </c>
      <c r="H2296" s="1">
        <f>Table1[[#This Row],[Price2]]/Table1[[#This Row],[Area]]</f>
        <v>311.54244908754299</v>
      </c>
      <c r="I2296">
        <v>3781</v>
      </c>
      <c r="J2296">
        <v>2016</v>
      </c>
      <c r="K2296">
        <v>48</v>
      </c>
      <c r="L2296" t="s">
        <v>40</v>
      </c>
      <c r="M2296" t="s">
        <v>2503</v>
      </c>
      <c r="N2296" s="2" t="s">
        <v>3033</v>
      </c>
      <c r="O2296" t="s">
        <v>3034</v>
      </c>
      <c r="P2296" t="s">
        <v>21</v>
      </c>
      <c r="Q2296">
        <v>311.54244908754299</v>
      </c>
      <c r="R2296">
        <f ca="1">YEAR(TODAY())-Table1[[#This Row],[Year Built]]</f>
        <v>10</v>
      </c>
      <c r="S2296" t="str">
        <f>IF(Table1[[#This Row],[Days on Market]] &lt; 30,"Fast",IF(Table1[[#This Row],[Days on Market]]&lt;= 90,"Average", "Slow"))</f>
        <v>Average</v>
      </c>
      <c r="T2296" t="str">
        <f>IF(Table1[[#This Row],[Price2]]&lt;500000,"Affordable",IF(Table1[[#This Row],[Price2]]&lt;1000000,"Mid range","Luxury"))</f>
        <v>Luxury</v>
      </c>
    </row>
    <row r="2297" spans="1:20" x14ac:dyDescent="0.35">
      <c r="A2297" s="3">
        <v>1178128</v>
      </c>
      <c r="B2297" s="2" t="s">
        <v>27</v>
      </c>
      <c r="C2297">
        <v>19472</v>
      </c>
      <c r="D2297" s="2" t="s">
        <v>13</v>
      </c>
      <c r="E2297">
        <v>1</v>
      </c>
      <c r="F2297">
        <v>4</v>
      </c>
      <c r="G2297" s="4">
        <f>VALUE(SUBSTITUTE(SUBSTITUTE(Table1[[#This Row],[Price]],"$",""),",",""))</f>
        <v>1178128</v>
      </c>
      <c r="H2297" s="1">
        <f>Table1[[#This Row],[Price2]]/Table1[[#This Row],[Area]]</f>
        <v>1835.0903426791276</v>
      </c>
      <c r="I2297">
        <v>642</v>
      </c>
      <c r="J2297">
        <v>1967</v>
      </c>
      <c r="K2297">
        <v>70</v>
      </c>
      <c r="L2297" t="s">
        <v>52</v>
      </c>
      <c r="M2297" t="s">
        <v>755</v>
      </c>
      <c r="N2297" s="2" t="s">
        <v>3031</v>
      </c>
      <c r="O2297" t="s">
        <v>3032</v>
      </c>
      <c r="P2297" t="s">
        <v>21</v>
      </c>
      <c r="Q2297">
        <v>1835.0903426791276</v>
      </c>
      <c r="R2297">
        <f ca="1">YEAR(TODAY())-Table1[[#This Row],[Year Built]]</f>
        <v>59</v>
      </c>
      <c r="S2297" t="str">
        <f>IF(Table1[[#This Row],[Days on Market]] &lt; 30,"Fast",IF(Table1[[#This Row],[Days on Market]]&lt;= 90,"Average", "Slow"))</f>
        <v>Average</v>
      </c>
      <c r="T2297" t="str">
        <f>IF(Table1[[#This Row],[Price2]]&lt;500000,"Affordable",IF(Table1[[#This Row],[Price2]]&lt;1000000,"Mid range","Luxury"))</f>
        <v>Luxury</v>
      </c>
    </row>
    <row r="2298" spans="1:20" x14ac:dyDescent="0.35">
      <c r="A2298" s="3">
        <v>1178273</v>
      </c>
      <c r="B2298" s="2" t="s">
        <v>27</v>
      </c>
      <c r="C2298">
        <v>40641</v>
      </c>
      <c r="D2298" s="2" t="s">
        <v>13</v>
      </c>
      <c r="E2298">
        <v>2</v>
      </c>
      <c r="F2298">
        <v>1</v>
      </c>
      <c r="G2298" s="4">
        <f>VALUE(SUBSTITUTE(SUBSTITUTE(Table1[[#This Row],[Price]],"$",""),",",""))</f>
        <v>1178273</v>
      </c>
      <c r="H2298" s="1">
        <f>Table1[[#This Row],[Price2]]/Table1[[#This Row],[Area]]</f>
        <v>425.52293246659445</v>
      </c>
      <c r="I2298">
        <v>2769</v>
      </c>
      <c r="J2298">
        <v>1967</v>
      </c>
      <c r="K2298">
        <v>55</v>
      </c>
      <c r="L2298" t="s">
        <v>40</v>
      </c>
      <c r="M2298" t="s">
        <v>2493</v>
      </c>
      <c r="N2298" s="2" t="s">
        <v>3031</v>
      </c>
      <c r="O2298" t="s">
        <v>3032</v>
      </c>
      <c r="P2298" t="s">
        <v>16</v>
      </c>
      <c r="Q2298">
        <v>425.52293246659445</v>
      </c>
      <c r="R2298">
        <f ca="1">YEAR(TODAY())-Table1[[#This Row],[Year Built]]</f>
        <v>59</v>
      </c>
      <c r="S2298" t="str">
        <f>IF(Table1[[#This Row],[Days on Market]] &lt; 30,"Fast",IF(Table1[[#This Row],[Days on Market]]&lt;= 90,"Average", "Slow"))</f>
        <v>Average</v>
      </c>
      <c r="T2298" t="str">
        <f>IF(Table1[[#This Row],[Price2]]&lt;500000,"Affordable",IF(Table1[[#This Row],[Price2]]&lt;1000000,"Mid range","Luxury"))</f>
        <v>Luxury</v>
      </c>
    </row>
    <row r="2299" spans="1:20" x14ac:dyDescent="0.35">
      <c r="A2299" s="3">
        <v>1178393</v>
      </c>
      <c r="B2299" s="2" t="s">
        <v>27</v>
      </c>
      <c r="C2299">
        <v>45468</v>
      </c>
      <c r="D2299" s="2" t="s">
        <v>23</v>
      </c>
      <c r="E2299">
        <v>1</v>
      </c>
      <c r="F2299">
        <v>2</v>
      </c>
      <c r="G2299" s="4">
        <f>VALUE(SUBSTITUTE(SUBSTITUTE(Table1[[#This Row],[Price]],"$",""),",",""))</f>
        <v>1178393</v>
      </c>
      <c r="H2299" s="1">
        <f>Table1[[#This Row],[Price2]]/Table1[[#This Row],[Area]]</f>
        <v>476.5034371209058</v>
      </c>
      <c r="I2299">
        <v>2473</v>
      </c>
      <c r="J2299">
        <v>1956</v>
      </c>
      <c r="K2299">
        <v>75</v>
      </c>
      <c r="L2299" t="s">
        <v>40</v>
      </c>
      <c r="M2299" t="s">
        <v>639</v>
      </c>
      <c r="N2299" s="2" t="s">
        <v>3033</v>
      </c>
      <c r="O2299" t="s">
        <v>3034</v>
      </c>
      <c r="P2299" t="s">
        <v>21</v>
      </c>
      <c r="Q2299">
        <v>476.5034371209058</v>
      </c>
      <c r="R2299">
        <f ca="1">YEAR(TODAY())-Table1[[#This Row],[Year Built]]</f>
        <v>70</v>
      </c>
      <c r="S2299" t="str">
        <f>IF(Table1[[#This Row],[Days on Market]] &lt; 30,"Fast",IF(Table1[[#This Row],[Days on Market]]&lt;= 90,"Average", "Slow"))</f>
        <v>Average</v>
      </c>
      <c r="T2299" t="str">
        <f>IF(Table1[[#This Row],[Price2]]&lt;500000,"Affordable",IF(Table1[[#This Row],[Price2]]&lt;1000000,"Mid range","Luxury"))</f>
        <v>Luxury</v>
      </c>
    </row>
    <row r="2300" spans="1:20" x14ac:dyDescent="0.35">
      <c r="A2300" s="3">
        <v>1179701</v>
      </c>
      <c r="B2300" s="2" t="s">
        <v>34</v>
      </c>
      <c r="C2300">
        <v>40966</v>
      </c>
      <c r="D2300" s="2" t="s">
        <v>18</v>
      </c>
      <c r="E2300">
        <v>5</v>
      </c>
      <c r="F2300">
        <v>2</v>
      </c>
      <c r="G2300" s="4">
        <f>VALUE(SUBSTITUTE(SUBSTITUTE(Table1[[#This Row],[Price]],"$",""),",",""))</f>
        <v>1179701</v>
      </c>
      <c r="H2300" s="1">
        <f>Table1[[#This Row],[Price2]]/Table1[[#This Row],[Area]]</f>
        <v>757.18934531450577</v>
      </c>
      <c r="I2300">
        <v>1558</v>
      </c>
      <c r="J2300">
        <v>1969</v>
      </c>
      <c r="K2300">
        <v>98</v>
      </c>
      <c r="L2300" t="s">
        <v>40</v>
      </c>
      <c r="M2300" t="s">
        <v>1329</v>
      </c>
      <c r="N2300" s="2" t="s">
        <v>3029</v>
      </c>
      <c r="O2300" t="s">
        <v>3030</v>
      </c>
      <c r="P2300" t="s">
        <v>26</v>
      </c>
      <c r="Q2300">
        <v>757.18934531450577</v>
      </c>
      <c r="R2300">
        <f ca="1">YEAR(TODAY())-Table1[[#This Row],[Year Built]]</f>
        <v>57</v>
      </c>
      <c r="S2300" t="str">
        <f>IF(Table1[[#This Row],[Days on Market]] &lt; 30,"Fast",IF(Table1[[#This Row],[Days on Market]]&lt;= 90,"Average", "Slow"))</f>
        <v>Slow</v>
      </c>
      <c r="T2300" t="str">
        <f>IF(Table1[[#This Row],[Price2]]&lt;500000,"Affordable",IF(Table1[[#This Row],[Price2]]&lt;1000000,"Mid range","Luxury"))</f>
        <v>Luxury</v>
      </c>
    </row>
    <row r="2301" spans="1:20" x14ac:dyDescent="0.35">
      <c r="A2301" s="3">
        <v>1181226</v>
      </c>
      <c r="B2301" s="2" t="s">
        <v>34</v>
      </c>
      <c r="C2301">
        <v>13718</v>
      </c>
      <c r="D2301" s="2" t="s">
        <v>13</v>
      </c>
      <c r="E2301">
        <v>1</v>
      </c>
      <c r="F2301">
        <v>2</v>
      </c>
      <c r="G2301" s="4">
        <f>VALUE(SUBSTITUTE(SUBSTITUTE(Table1[[#This Row],[Price]],"$",""),",",""))</f>
        <v>1181226</v>
      </c>
      <c r="H2301" s="1">
        <f>Table1[[#This Row],[Price2]]/Table1[[#This Row],[Area]]</f>
        <v>1423.1638554216868</v>
      </c>
      <c r="I2301">
        <v>830</v>
      </c>
      <c r="J2301">
        <v>1969</v>
      </c>
      <c r="K2301">
        <v>21</v>
      </c>
      <c r="L2301" t="s">
        <v>52</v>
      </c>
      <c r="M2301" t="s">
        <v>1044</v>
      </c>
      <c r="N2301" s="2" t="s">
        <v>3027</v>
      </c>
      <c r="O2301" t="s">
        <v>3028</v>
      </c>
      <c r="P2301" t="s">
        <v>21</v>
      </c>
      <c r="Q2301">
        <v>1423.1638554216868</v>
      </c>
      <c r="R2301">
        <f ca="1">YEAR(TODAY())-Table1[[#This Row],[Year Built]]</f>
        <v>57</v>
      </c>
      <c r="S2301" t="str">
        <f>IF(Table1[[#This Row],[Days on Market]] &lt; 30,"Fast",IF(Table1[[#This Row],[Days on Market]]&lt;= 90,"Average", "Slow"))</f>
        <v>Fast</v>
      </c>
      <c r="T2301" t="str">
        <f>IF(Table1[[#This Row],[Price2]]&lt;500000,"Affordable",IF(Table1[[#This Row],[Price2]]&lt;1000000,"Mid range","Luxury"))</f>
        <v>Luxury</v>
      </c>
    </row>
    <row r="2302" spans="1:20" x14ac:dyDescent="0.35">
      <c r="A2302" s="3">
        <v>1181346</v>
      </c>
      <c r="B2302" s="2" t="s">
        <v>12</v>
      </c>
      <c r="C2302">
        <v>24302</v>
      </c>
      <c r="D2302" s="2" t="s">
        <v>18</v>
      </c>
      <c r="E2302">
        <v>3</v>
      </c>
      <c r="F2302">
        <v>3</v>
      </c>
      <c r="G2302" s="4">
        <f>VALUE(SUBSTITUTE(SUBSTITUTE(Table1[[#This Row],[Price]],"$",""),",",""))</f>
        <v>1181346</v>
      </c>
      <c r="H2302" s="1">
        <f>Table1[[#This Row],[Price2]]/Table1[[#This Row],[Area]]</f>
        <v>363.82691715429627</v>
      </c>
      <c r="I2302">
        <v>3247</v>
      </c>
      <c r="J2302">
        <v>1957</v>
      </c>
      <c r="K2302">
        <v>47</v>
      </c>
      <c r="L2302" t="s">
        <v>14</v>
      </c>
      <c r="M2302" t="s">
        <v>769</v>
      </c>
      <c r="N2302" s="2" t="s">
        <v>3033</v>
      </c>
      <c r="O2302" t="s">
        <v>3034</v>
      </c>
      <c r="P2302" t="s">
        <v>26</v>
      </c>
      <c r="Q2302">
        <v>363.82691715429627</v>
      </c>
      <c r="R2302">
        <f ca="1">YEAR(TODAY())-Table1[[#This Row],[Year Built]]</f>
        <v>69</v>
      </c>
      <c r="S2302" t="str">
        <f>IF(Table1[[#This Row],[Days on Market]] &lt; 30,"Fast",IF(Table1[[#This Row],[Days on Market]]&lt;= 90,"Average", "Slow"))</f>
        <v>Average</v>
      </c>
      <c r="T2302" t="str">
        <f>IF(Table1[[#This Row],[Price2]]&lt;500000,"Affordable",IF(Table1[[#This Row],[Price2]]&lt;1000000,"Mid range","Luxury"))</f>
        <v>Luxury</v>
      </c>
    </row>
    <row r="2303" spans="1:20" x14ac:dyDescent="0.35">
      <c r="A2303" s="3">
        <v>1181779</v>
      </c>
      <c r="B2303" s="2" t="s">
        <v>22</v>
      </c>
      <c r="C2303">
        <v>48832</v>
      </c>
      <c r="D2303" s="2" t="s">
        <v>35</v>
      </c>
      <c r="E2303">
        <v>4</v>
      </c>
      <c r="F2303">
        <v>1</v>
      </c>
      <c r="G2303" s="4">
        <f>VALUE(SUBSTITUTE(SUBSTITUTE(Table1[[#This Row],[Price]],"$",""),",",""))</f>
        <v>1181779</v>
      </c>
      <c r="H2303" s="1">
        <f>Table1[[#This Row],[Price2]]/Table1[[#This Row],[Area]]</f>
        <v>445.78611844586948</v>
      </c>
      <c r="I2303">
        <v>2651</v>
      </c>
      <c r="J2303">
        <v>1999</v>
      </c>
      <c r="K2303">
        <v>110</v>
      </c>
      <c r="L2303" t="s">
        <v>19</v>
      </c>
      <c r="M2303" t="s">
        <v>1248</v>
      </c>
      <c r="N2303" s="2" t="s">
        <v>3027</v>
      </c>
      <c r="O2303" t="s">
        <v>3028</v>
      </c>
      <c r="P2303" t="s">
        <v>16</v>
      </c>
      <c r="Q2303">
        <v>445.78611844586948</v>
      </c>
      <c r="R2303">
        <f ca="1">YEAR(TODAY())-Table1[[#This Row],[Year Built]]</f>
        <v>27</v>
      </c>
      <c r="S2303" t="str">
        <f>IF(Table1[[#This Row],[Days on Market]] &lt; 30,"Fast",IF(Table1[[#This Row],[Days on Market]]&lt;= 90,"Average", "Slow"))</f>
        <v>Slow</v>
      </c>
      <c r="T2303" t="str">
        <f>IF(Table1[[#This Row],[Price2]]&lt;500000,"Affordable",IF(Table1[[#This Row],[Price2]]&lt;1000000,"Mid range","Luxury"))</f>
        <v>Luxury</v>
      </c>
    </row>
    <row r="2304" spans="1:20" x14ac:dyDescent="0.35">
      <c r="A2304" s="3">
        <v>1182854</v>
      </c>
      <c r="B2304" s="2" t="s">
        <v>34</v>
      </c>
      <c r="C2304">
        <v>29647</v>
      </c>
      <c r="D2304" s="2" t="s">
        <v>13</v>
      </c>
      <c r="E2304">
        <v>2</v>
      </c>
      <c r="F2304">
        <v>1</v>
      </c>
      <c r="G2304" s="4">
        <f>VALUE(SUBSTITUTE(SUBSTITUTE(Table1[[#This Row],[Price]],"$",""),",",""))</f>
        <v>1182854</v>
      </c>
      <c r="H2304" s="1">
        <f>Table1[[#This Row],[Price2]]/Table1[[#This Row],[Area]]</f>
        <v>1333.544532130778</v>
      </c>
      <c r="I2304">
        <v>887</v>
      </c>
      <c r="J2304">
        <v>1970</v>
      </c>
      <c r="K2304">
        <v>17</v>
      </c>
      <c r="L2304" t="s">
        <v>52</v>
      </c>
      <c r="M2304" t="s">
        <v>352</v>
      </c>
      <c r="N2304" s="2" t="s">
        <v>3029</v>
      </c>
      <c r="O2304" t="s">
        <v>3030</v>
      </c>
      <c r="P2304" t="s">
        <v>26</v>
      </c>
      <c r="Q2304">
        <v>1333.544532130778</v>
      </c>
      <c r="R2304">
        <f ca="1">YEAR(TODAY())-Table1[[#This Row],[Year Built]]</f>
        <v>56</v>
      </c>
      <c r="S2304" t="str">
        <f>IF(Table1[[#This Row],[Days on Market]] &lt; 30,"Fast",IF(Table1[[#This Row],[Days on Market]]&lt;= 90,"Average", "Slow"))</f>
        <v>Fast</v>
      </c>
      <c r="T2304" t="str">
        <f>IF(Table1[[#This Row],[Price2]]&lt;500000,"Affordable",IF(Table1[[#This Row],[Price2]]&lt;1000000,"Mid range","Luxury"))</f>
        <v>Luxury</v>
      </c>
    </row>
    <row r="2305" spans="1:20" x14ac:dyDescent="0.35">
      <c r="A2305" s="3">
        <v>1183386</v>
      </c>
      <c r="B2305" s="2" t="s">
        <v>27</v>
      </c>
      <c r="C2305">
        <v>64043</v>
      </c>
      <c r="D2305" s="2" t="s">
        <v>23</v>
      </c>
      <c r="E2305">
        <v>1</v>
      </c>
      <c r="F2305">
        <v>4</v>
      </c>
      <c r="G2305" s="4">
        <f>VALUE(SUBSTITUTE(SUBSTITUTE(Table1[[#This Row],[Price]],"$",""),",",""))</f>
        <v>1183386</v>
      </c>
      <c r="H2305" s="1">
        <f>Table1[[#This Row],[Price2]]/Table1[[#This Row],[Area]]</f>
        <v>521.31541850220265</v>
      </c>
      <c r="I2305">
        <v>2270</v>
      </c>
      <c r="J2305">
        <v>1957</v>
      </c>
      <c r="K2305">
        <v>71</v>
      </c>
      <c r="L2305" t="s">
        <v>30</v>
      </c>
      <c r="M2305" t="s">
        <v>1845</v>
      </c>
      <c r="N2305" s="2" t="s">
        <v>3033</v>
      </c>
      <c r="O2305" t="s">
        <v>3034</v>
      </c>
      <c r="P2305" t="s">
        <v>21</v>
      </c>
      <c r="Q2305">
        <v>521.31541850220265</v>
      </c>
      <c r="R2305">
        <f ca="1">YEAR(TODAY())-Table1[[#This Row],[Year Built]]</f>
        <v>69</v>
      </c>
      <c r="S2305" t="str">
        <f>IF(Table1[[#This Row],[Days on Market]] &lt; 30,"Fast",IF(Table1[[#This Row],[Days on Market]]&lt;= 90,"Average", "Slow"))</f>
        <v>Average</v>
      </c>
      <c r="T2305" t="str">
        <f>IF(Table1[[#This Row],[Price2]]&lt;500000,"Affordable",IF(Table1[[#This Row],[Price2]]&lt;1000000,"Mid range","Luxury"))</f>
        <v>Luxury</v>
      </c>
    </row>
    <row r="2306" spans="1:20" x14ac:dyDescent="0.35">
      <c r="A2306" s="3">
        <v>1184343</v>
      </c>
      <c r="B2306" s="2" t="s">
        <v>12</v>
      </c>
      <c r="C2306">
        <v>94949</v>
      </c>
      <c r="D2306" s="2" t="s">
        <v>18</v>
      </c>
      <c r="E2306">
        <v>2</v>
      </c>
      <c r="F2306">
        <v>4</v>
      </c>
      <c r="G2306" s="4">
        <f>VALUE(SUBSTITUTE(SUBSTITUTE(Table1[[#This Row],[Price]],"$",""),",",""))</f>
        <v>1184343</v>
      </c>
      <c r="H2306" s="1">
        <f>Table1[[#This Row],[Price2]]/Table1[[#This Row],[Area]]</f>
        <v>304.77174472465259</v>
      </c>
      <c r="I2306">
        <v>3886</v>
      </c>
      <c r="J2306">
        <v>1957</v>
      </c>
      <c r="K2306">
        <v>90</v>
      </c>
      <c r="L2306" t="s">
        <v>40</v>
      </c>
      <c r="M2306" t="s">
        <v>1905</v>
      </c>
      <c r="N2306" s="2" t="s">
        <v>3027</v>
      </c>
      <c r="O2306" t="s">
        <v>3028</v>
      </c>
      <c r="P2306" t="s">
        <v>26</v>
      </c>
      <c r="Q2306">
        <v>304.77174472465259</v>
      </c>
      <c r="R2306">
        <f ca="1">YEAR(TODAY())-Table1[[#This Row],[Year Built]]</f>
        <v>69</v>
      </c>
      <c r="S2306" t="str">
        <f>IF(Table1[[#This Row],[Days on Market]] &lt; 30,"Fast",IF(Table1[[#This Row],[Days on Market]]&lt;= 90,"Average", "Slow"))</f>
        <v>Average</v>
      </c>
      <c r="T2306" t="str">
        <f>IF(Table1[[#This Row],[Price2]]&lt;500000,"Affordable",IF(Table1[[#This Row],[Price2]]&lt;1000000,"Mid range","Luxury"))</f>
        <v>Luxury</v>
      </c>
    </row>
    <row r="2307" spans="1:20" x14ac:dyDescent="0.35">
      <c r="A2307" s="3">
        <v>1185143</v>
      </c>
      <c r="B2307" s="2" t="s">
        <v>27</v>
      </c>
      <c r="C2307">
        <v>69880</v>
      </c>
      <c r="D2307" s="2" t="s">
        <v>18</v>
      </c>
      <c r="E2307">
        <v>1</v>
      </c>
      <c r="F2307">
        <v>4</v>
      </c>
      <c r="G2307" s="4">
        <f>VALUE(SUBSTITUTE(SUBSTITUTE(Table1[[#This Row],[Price]],"$",""),",",""))</f>
        <v>1185143</v>
      </c>
      <c r="H2307" s="1">
        <f>Table1[[#This Row],[Price2]]/Table1[[#This Row],[Area]]</f>
        <v>477.11070853462155</v>
      </c>
      <c r="I2307">
        <v>2484</v>
      </c>
      <c r="J2307">
        <v>1951</v>
      </c>
      <c r="K2307">
        <v>23</v>
      </c>
      <c r="L2307" t="s">
        <v>52</v>
      </c>
      <c r="M2307" t="s">
        <v>2135</v>
      </c>
      <c r="N2307" s="2" t="s">
        <v>3029</v>
      </c>
      <c r="O2307" t="s">
        <v>3030</v>
      </c>
      <c r="P2307" t="s">
        <v>21</v>
      </c>
      <c r="Q2307">
        <v>477.11070853462155</v>
      </c>
      <c r="R2307">
        <f ca="1">YEAR(TODAY())-Table1[[#This Row],[Year Built]]</f>
        <v>75</v>
      </c>
      <c r="S2307" t="str">
        <f>IF(Table1[[#This Row],[Days on Market]] &lt; 30,"Fast",IF(Table1[[#This Row],[Days on Market]]&lt;= 90,"Average", "Slow"))</f>
        <v>Fast</v>
      </c>
      <c r="T2307" t="str">
        <f>IF(Table1[[#This Row],[Price2]]&lt;500000,"Affordable",IF(Table1[[#This Row],[Price2]]&lt;1000000,"Mid range","Luxury"))</f>
        <v>Luxury</v>
      </c>
    </row>
    <row r="2308" spans="1:20" x14ac:dyDescent="0.35">
      <c r="A2308" s="3">
        <v>1185896</v>
      </c>
      <c r="B2308" s="2" t="s">
        <v>22</v>
      </c>
      <c r="C2308">
        <v>85052</v>
      </c>
      <c r="D2308" s="2" t="s">
        <v>35</v>
      </c>
      <c r="E2308">
        <v>6</v>
      </c>
      <c r="F2308">
        <v>3</v>
      </c>
      <c r="G2308" s="4">
        <f>VALUE(SUBSTITUTE(SUBSTITUTE(Table1[[#This Row],[Price]],"$",""),",",""))</f>
        <v>1185896</v>
      </c>
      <c r="H2308" s="1">
        <f>Table1[[#This Row],[Price2]]/Table1[[#This Row],[Area]]</f>
        <v>1777.9550224887557</v>
      </c>
      <c r="I2308">
        <v>667</v>
      </c>
      <c r="J2308">
        <v>1977</v>
      </c>
      <c r="K2308">
        <v>90</v>
      </c>
      <c r="L2308" t="s">
        <v>19</v>
      </c>
      <c r="M2308" t="s">
        <v>1952</v>
      </c>
      <c r="N2308" s="2" t="s">
        <v>3031</v>
      </c>
      <c r="O2308" t="s">
        <v>3032</v>
      </c>
      <c r="P2308" t="s">
        <v>21</v>
      </c>
      <c r="Q2308">
        <v>1777.9550224887557</v>
      </c>
      <c r="R2308">
        <f ca="1">YEAR(TODAY())-Table1[[#This Row],[Year Built]]</f>
        <v>49</v>
      </c>
      <c r="S2308" t="str">
        <f>IF(Table1[[#This Row],[Days on Market]] &lt; 30,"Fast",IF(Table1[[#This Row],[Days on Market]]&lt;= 90,"Average", "Slow"))</f>
        <v>Average</v>
      </c>
      <c r="T2308" t="str">
        <f>IF(Table1[[#This Row],[Price2]]&lt;500000,"Affordable",IF(Table1[[#This Row],[Price2]]&lt;1000000,"Mid range","Luxury"))</f>
        <v>Luxury</v>
      </c>
    </row>
    <row r="2309" spans="1:20" x14ac:dyDescent="0.35">
      <c r="A2309" s="3">
        <v>1186246</v>
      </c>
      <c r="B2309" s="2" t="s">
        <v>27</v>
      </c>
      <c r="C2309">
        <v>87781</v>
      </c>
      <c r="D2309" s="2" t="s">
        <v>13</v>
      </c>
      <c r="E2309">
        <v>6</v>
      </c>
      <c r="F2309">
        <v>1</v>
      </c>
      <c r="G2309" s="4">
        <f>VALUE(SUBSTITUTE(SUBSTITUTE(Table1[[#This Row],[Price]],"$",""),",",""))</f>
        <v>1186246</v>
      </c>
      <c r="H2309" s="1">
        <f>Table1[[#This Row],[Price2]]/Table1[[#This Row],[Area]]</f>
        <v>472.9848484848485</v>
      </c>
      <c r="I2309">
        <v>2508</v>
      </c>
      <c r="J2309">
        <v>1978</v>
      </c>
      <c r="K2309">
        <v>41</v>
      </c>
      <c r="L2309" t="s">
        <v>40</v>
      </c>
      <c r="M2309" t="s">
        <v>2395</v>
      </c>
      <c r="N2309" s="2" t="s">
        <v>3031</v>
      </c>
      <c r="O2309" t="s">
        <v>3032</v>
      </c>
      <c r="P2309" t="s">
        <v>26</v>
      </c>
      <c r="Q2309">
        <v>472.9848484848485</v>
      </c>
      <c r="R2309">
        <f ca="1">YEAR(TODAY())-Table1[[#This Row],[Year Built]]</f>
        <v>48</v>
      </c>
      <c r="S2309" t="str">
        <f>IF(Table1[[#This Row],[Days on Market]] &lt; 30,"Fast",IF(Table1[[#This Row],[Days on Market]]&lt;= 90,"Average", "Slow"))</f>
        <v>Average</v>
      </c>
      <c r="T2309" t="str">
        <f>IF(Table1[[#This Row],[Price2]]&lt;500000,"Affordable",IF(Table1[[#This Row],[Price2]]&lt;1000000,"Mid range","Luxury"))</f>
        <v>Luxury</v>
      </c>
    </row>
    <row r="2310" spans="1:20" x14ac:dyDescent="0.35">
      <c r="A2310" s="3">
        <v>1186759</v>
      </c>
      <c r="B2310" s="2" t="s">
        <v>22</v>
      </c>
      <c r="C2310">
        <v>65418</v>
      </c>
      <c r="D2310" s="2" t="s">
        <v>13</v>
      </c>
      <c r="E2310">
        <v>4</v>
      </c>
      <c r="F2310">
        <v>1</v>
      </c>
      <c r="G2310" s="4">
        <f>VALUE(SUBSTITUTE(SUBSTITUTE(Table1[[#This Row],[Price]],"$",""),",",""))</f>
        <v>1186759</v>
      </c>
      <c r="H2310" s="1">
        <f>Table1[[#This Row],[Price2]]/Table1[[#This Row],[Area]]</f>
        <v>444.64556013488198</v>
      </c>
      <c r="I2310">
        <v>2669</v>
      </c>
      <c r="J2310">
        <v>1961</v>
      </c>
      <c r="K2310">
        <v>25</v>
      </c>
      <c r="L2310" t="s">
        <v>40</v>
      </c>
      <c r="M2310" t="s">
        <v>554</v>
      </c>
      <c r="N2310" s="2" t="s">
        <v>3033</v>
      </c>
      <c r="O2310" t="s">
        <v>3034</v>
      </c>
      <c r="P2310" t="s">
        <v>21</v>
      </c>
      <c r="Q2310">
        <v>444.64556013488198</v>
      </c>
      <c r="R2310">
        <f ca="1">YEAR(TODAY())-Table1[[#This Row],[Year Built]]</f>
        <v>65</v>
      </c>
      <c r="S2310" t="str">
        <f>IF(Table1[[#This Row],[Days on Market]] &lt; 30,"Fast",IF(Table1[[#This Row],[Days on Market]]&lt;= 90,"Average", "Slow"))</f>
        <v>Fast</v>
      </c>
      <c r="T2310" t="str">
        <f>IF(Table1[[#This Row],[Price2]]&lt;500000,"Affordable",IF(Table1[[#This Row],[Price2]]&lt;1000000,"Mid range","Luxury"))</f>
        <v>Luxury</v>
      </c>
    </row>
    <row r="2311" spans="1:20" x14ac:dyDescent="0.35">
      <c r="A2311" s="3">
        <v>1186869</v>
      </c>
      <c r="B2311" s="2" t="s">
        <v>34</v>
      </c>
      <c r="C2311">
        <v>21339</v>
      </c>
      <c r="D2311" s="2" t="s">
        <v>13</v>
      </c>
      <c r="E2311">
        <v>5</v>
      </c>
      <c r="F2311">
        <v>3</v>
      </c>
      <c r="G2311" s="4">
        <f>VALUE(SUBSTITUTE(SUBSTITUTE(Table1[[#This Row],[Price]],"$",""),",",""))</f>
        <v>1186869</v>
      </c>
      <c r="H2311" s="1">
        <f>Table1[[#This Row],[Price2]]/Table1[[#This Row],[Area]]</f>
        <v>745.5207286432161</v>
      </c>
      <c r="I2311">
        <v>1592</v>
      </c>
      <c r="J2311">
        <v>2021</v>
      </c>
      <c r="K2311">
        <v>36</v>
      </c>
      <c r="L2311" t="s">
        <v>30</v>
      </c>
      <c r="M2311" t="s">
        <v>1233</v>
      </c>
      <c r="N2311" s="2" t="s">
        <v>3031</v>
      </c>
      <c r="O2311" t="s">
        <v>3032</v>
      </c>
      <c r="P2311" t="s">
        <v>26</v>
      </c>
      <c r="Q2311">
        <v>745.5207286432161</v>
      </c>
      <c r="R2311">
        <f ca="1">YEAR(TODAY())-Table1[[#This Row],[Year Built]]</f>
        <v>5</v>
      </c>
      <c r="S2311" t="str">
        <f>IF(Table1[[#This Row],[Days on Market]] &lt; 30,"Fast",IF(Table1[[#This Row],[Days on Market]]&lt;= 90,"Average", "Slow"))</f>
        <v>Average</v>
      </c>
      <c r="T2311" t="str">
        <f>IF(Table1[[#This Row],[Price2]]&lt;500000,"Affordable",IF(Table1[[#This Row],[Price2]]&lt;1000000,"Mid range","Luxury"))</f>
        <v>Luxury</v>
      </c>
    </row>
    <row r="2312" spans="1:20" x14ac:dyDescent="0.35">
      <c r="A2312" s="3">
        <v>1186905</v>
      </c>
      <c r="B2312" s="2" t="s">
        <v>34</v>
      </c>
      <c r="C2312">
        <v>56905</v>
      </c>
      <c r="D2312" s="2" t="s">
        <v>23</v>
      </c>
      <c r="E2312">
        <v>4</v>
      </c>
      <c r="F2312">
        <v>3</v>
      </c>
      <c r="G2312" s="4">
        <f>VALUE(SUBSTITUTE(SUBSTITUTE(Table1[[#This Row],[Price]],"$",""),",",""))</f>
        <v>1186905</v>
      </c>
      <c r="H2312" s="1">
        <f>Table1[[#This Row],[Price2]]/Table1[[#This Row],[Area]]</f>
        <v>509.62000858737656</v>
      </c>
      <c r="I2312">
        <v>2329</v>
      </c>
      <c r="J2312">
        <v>2006</v>
      </c>
      <c r="K2312">
        <v>53</v>
      </c>
      <c r="L2312" t="s">
        <v>14</v>
      </c>
      <c r="M2312" t="s">
        <v>2379</v>
      </c>
      <c r="N2312" s="2" t="s">
        <v>3031</v>
      </c>
      <c r="O2312" t="s">
        <v>3032</v>
      </c>
      <c r="P2312" t="s">
        <v>16</v>
      </c>
      <c r="Q2312">
        <v>509.62000858737656</v>
      </c>
      <c r="R2312">
        <f ca="1">YEAR(TODAY())-Table1[[#This Row],[Year Built]]</f>
        <v>20</v>
      </c>
      <c r="S2312" t="str">
        <f>IF(Table1[[#This Row],[Days on Market]] &lt; 30,"Fast",IF(Table1[[#This Row],[Days on Market]]&lt;= 90,"Average", "Slow"))</f>
        <v>Average</v>
      </c>
      <c r="T2312" t="str">
        <f>IF(Table1[[#This Row],[Price2]]&lt;500000,"Affordable",IF(Table1[[#This Row],[Price2]]&lt;1000000,"Mid range","Luxury"))</f>
        <v>Luxury</v>
      </c>
    </row>
    <row r="2313" spans="1:20" x14ac:dyDescent="0.35">
      <c r="A2313" s="3">
        <v>1187392</v>
      </c>
      <c r="B2313" s="2" t="s">
        <v>17</v>
      </c>
      <c r="C2313">
        <v>40666</v>
      </c>
      <c r="D2313" s="2" t="s">
        <v>29</v>
      </c>
      <c r="E2313">
        <v>2</v>
      </c>
      <c r="F2313">
        <v>2</v>
      </c>
      <c r="G2313" s="4">
        <f>VALUE(SUBSTITUTE(SUBSTITUTE(Table1[[#This Row],[Price]],"$",""),",",""))</f>
        <v>1187392</v>
      </c>
      <c r="H2313" s="1">
        <f>Table1[[#This Row],[Price2]]/Table1[[#This Row],[Area]]</f>
        <v>1251.2033719704953</v>
      </c>
      <c r="I2313">
        <v>949</v>
      </c>
      <c r="J2313">
        <v>2004</v>
      </c>
      <c r="K2313">
        <v>76</v>
      </c>
      <c r="L2313" t="s">
        <v>52</v>
      </c>
      <c r="M2313" t="s">
        <v>347</v>
      </c>
      <c r="N2313" s="2" t="s">
        <v>3031</v>
      </c>
      <c r="O2313" t="s">
        <v>3032</v>
      </c>
      <c r="P2313" t="s">
        <v>26</v>
      </c>
      <c r="Q2313">
        <v>1251.2033719704953</v>
      </c>
      <c r="R2313">
        <f ca="1">YEAR(TODAY())-Table1[[#This Row],[Year Built]]</f>
        <v>22</v>
      </c>
      <c r="S2313" t="str">
        <f>IF(Table1[[#This Row],[Days on Market]] &lt; 30,"Fast",IF(Table1[[#This Row],[Days on Market]]&lt;= 90,"Average", "Slow"))</f>
        <v>Average</v>
      </c>
      <c r="T2313" t="str">
        <f>IF(Table1[[#This Row],[Price2]]&lt;500000,"Affordable",IF(Table1[[#This Row],[Price2]]&lt;1000000,"Mid range","Luxury"))</f>
        <v>Luxury</v>
      </c>
    </row>
    <row r="2314" spans="1:20" x14ac:dyDescent="0.35">
      <c r="A2314" s="3">
        <v>1187629</v>
      </c>
      <c r="B2314" s="2" t="s">
        <v>27</v>
      </c>
      <c r="C2314">
        <v>22864</v>
      </c>
      <c r="D2314" s="2" t="s">
        <v>35</v>
      </c>
      <c r="E2314">
        <v>4</v>
      </c>
      <c r="F2314">
        <v>4</v>
      </c>
      <c r="G2314" s="4">
        <f>VALUE(SUBSTITUTE(SUBSTITUTE(Table1[[#This Row],[Price]],"$",""),",",""))</f>
        <v>1187629</v>
      </c>
      <c r="H2314" s="1">
        <f>Table1[[#This Row],[Price2]]/Table1[[#This Row],[Area]]</f>
        <v>600.72281234193224</v>
      </c>
      <c r="I2314">
        <v>1977</v>
      </c>
      <c r="J2314">
        <v>1981</v>
      </c>
      <c r="K2314">
        <v>73</v>
      </c>
      <c r="L2314" t="s">
        <v>40</v>
      </c>
      <c r="M2314" t="s">
        <v>243</v>
      </c>
      <c r="N2314" s="2" t="s">
        <v>3035</v>
      </c>
      <c r="O2314" t="s">
        <v>3036</v>
      </c>
      <c r="P2314" t="s">
        <v>21</v>
      </c>
      <c r="Q2314">
        <v>600.72281234193224</v>
      </c>
      <c r="R2314">
        <f ca="1">YEAR(TODAY())-Table1[[#This Row],[Year Built]]</f>
        <v>45</v>
      </c>
      <c r="S2314" t="str">
        <f>IF(Table1[[#This Row],[Days on Market]] &lt; 30,"Fast",IF(Table1[[#This Row],[Days on Market]]&lt;= 90,"Average", "Slow"))</f>
        <v>Average</v>
      </c>
      <c r="T2314" t="str">
        <f>IF(Table1[[#This Row],[Price2]]&lt;500000,"Affordable",IF(Table1[[#This Row],[Price2]]&lt;1000000,"Mid range","Luxury"))</f>
        <v>Luxury</v>
      </c>
    </row>
    <row r="2315" spans="1:20" x14ac:dyDescent="0.35">
      <c r="A2315" s="3">
        <v>1188237</v>
      </c>
      <c r="B2315" s="2" t="s">
        <v>27</v>
      </c>
      <c r="C2315">
        <v>21192</v>
      </c>
      <c r="D2315" s="2" t="s">
        <v>35</v>
      </c>
      <c r="E2315">
        <v>2</v>
      </c>
      <c r="F2315">
        <v>2</v>
      </c>
      <c r="G2315" s="4">
        <f>VALUE(SUBSTITUTE(SUBSTITUTE(Table1[[#This Row],[Price]],"$",""),",",""))</f>
        <v>1188237</v>
      </c>
      <c r="H2315" s="1">
        <f>Table1[[#This Row],[Price2]]/Table1[[#This Row],[Area]]</f>
        <v>1113.6241799437676</v>
      </c>
      <c r="I2315">
        <v>1067</v>
      </c>
      <c r="J2315">
        <v>2012</v>
      </c>
      <c r="K2315">
        <v>15</v>
      </c>
      <c r="L2315" t="s">
        <v>19</v>
      </c>
      <c r="M2315" t="s">
        <v>1737</v>
      </c>
      <c r="N2315" s="2" t="s">
        <v>3033</v>
      </c>
      <c r="O2315" t="s">
        <v>3034</v>
      </c>
      <c r="P2315" t="s">
        <v>16</v>
      </c>
      <c r="Q2315">
        <v>1113.6241799437676</v>
      </c>
      <c r="R2315">
        <f ca="1">YEAR(TODAY())-Table1[[#This Row],[Year Built]]</f>
        <v>14</v>
      </c>
      <c r="S2315" t="str">
        <f>IF(Table1[[#This Row],[Days on Market]] &lt; 30,"Fast",IF(Table1[[#This Row],[Days on Market]]&lt;= 90,"Average", "Slow"))</f>
        <v>Fast</v>
      </c>
      <c r="T2315" t="str">
        <f>IF(Table1[[#This Row],[Price2]]&lt;500000,"Affordable",IF(Table1[[#This Row],[Price2]]&lt;1000000,"Mid range","Luxury"))</f>
        <v>Luxury</v>
      </c>
    </row>
    <row r="2316" spans="1:20" x14ac:dyDescent="0.35">
      <c r="A2316" s="3">
        <v>1189135</v>
      </c>
      <c r="B2316" s="2" t="s">
        <v>34</v>
      </c>
      <c r="C2316">
        <v>72478</v>
      </c>
      <c r="D2316" s="2" t="s">
        <v>29</v>
      </c>
      <c r="E2316">
        <v>6</v>
      </c>
      <c r="F2316">
        <v>2</v>
      </c>
      <c r="G2316" s="4">
        <f>VALUE(SUBSTITUTE(SUBSTITUTE(Table1[[#This Row],[Price]],"$",""),",",""))</f>
        <v>1189135</v>
      </c>
      <c r="H2316" s="1">
        <f>Table1[[#This Row],[Price2]]/Table1[[#This Row],[Area]]</f>
        <v>1147.8137065637065</v>
      </c>
      <c r="I2316">
        <v>1036</v>
      </c>
      <c r="J2316">
        <v>2017</v>
      </c>
      <c r="K2316">
        <v>9</v>
      </c>
      <c r="L2316" t="s">
        <v>30</v>
      </c>
      <c r="M2316" t="s">
        <v>2528</v>
      </c>
      <c r="N2316" s="2" t="s">
        <v>3029</v>
      </c>
      <c r="O2316" t="s">
        <v>3030</v>
      </c>
      <c r="P2316" t="s">
        <v>26</v>
      </c>
      <c r="Q2316">
        <v>1147.8137065637065</v>
      </c>
      <c r="R2316">
        <f ca="1">YEAR(TODAY())-Table1[[#This Row],[Year Built]]</f>
        <v>9</v>
      </c>
      <c r="S2316" t="str">
        <f>IF(Table1[[#This Row],[Days on Market]] &lt; 30,"Fast",IF(Table1[[#This Row],[Days on Market]]&lt;= 90,"Average", "Slow"))</f>
        <v>Fast</v>
      </c>
      <c r="T2316" t="str">
        <f>IF(Table1[[#This Row],[Price2]]&lt;500000,"Affordable",IF(Table1[[#This Row],[Price2]]&lt;1000000,"Mid range","Luxury"))</f>
        <v>Luxury</v>
      </c>
    </row>
    <row r="2317" spans="1:20" x14ac:dyDescent="0.35">
      <c r="A2317" s="3">
        <v>1189972</v>
      </c>
      <c r="B2317" s="2" t="s">
        <v>34</v>
      </c>
      <c r="C2317">
        <v>24763</v>
      </c>
      <c r="D2317" s="2" t="s">
        <v>18</v>
      </c>
      <c r="E2317">
        <v>3</v>
      </c>
      <c r="F2317">
        <v>2</v>
      </c>
      <c r="G2317" s="4">
        <f>VALUE(SUBSTITUTE(SUBSTITUTE(Table1[[#This Row],[Price]],"$",""),",",""))</f>
        <v>1189972</v>
      </c>
      <c r="H2317" s="1">
        <f>Table1[[#This Row],[Price2]]/Table1[[#This Row],[Area]]</f>
        <v>404.33978933061502</v>
      </c>
      <c r="I2317">
        <v>2943</v>
      </c>
      <c r="J2317">
        <v>2008</v>
      </c>
      <c r="K2317">
        <v>54</v>
      </c>
      <c r="L2317" t="s">
        <v>19</v>
      </c>
      <c r="M2317" t="s">
        <v>892</v>
      </c>
      <c r="N2317" s="2" t="s">
        <v>3035</v>
      </c>
      <c r="O2317" t="s">
        <v>3036</v>
      </c>
      <c r="P2317" t="s">
        <v>21</v>
      </c>
      <c r="Q2317">
        <v>404.33978933061502</v>
      </c>
      <c r="R2317">
        <f ca="1">YEAR(TODAY())-Table1[[#This Row],[Year Built]]</f>
        <v>18</v>
      </c>
      <c r="S2317" t="str">
        <f>IF(Table1[[#This Row],[Days on Market]] &lt; 30,"Fast",IF(Table1[[#This Row],[Days on Market]]&lt;= 90,"Average", "Slow"))</f>
        <v>Average</v>
      </c>
      <c r="T2317" t="str">
        <f>IF(Table1[[#This Row],[Price2]]&lt;500000,"Affordable",IF(Table1[[#This Row],[Price2]]&lt;1000000,"Mid range","Luxury"))</f>
        <v>Luxury</v>
      </c>
    </row>
    <row r="2318" spans="1:20" x14ac:dyDescent="0.35">
      <c r="A2318" s="3">
        <v>1190241</v>
      </c>
      <c r="B2318" s="2" t="s">
        <v>17</v>
      </c>
      <c r="C2318">
        <v>99876</v>
      </c>
      <c r="D2318" s="2" t="s">
        <v>29</v>
      </c>
      <c r="E2318">
        <v>5</v>
      </c>
      <c r="F2318">
        <v>1</v>
      </c>
      <c r="G2318" s="4">
        <f>VALUE(SUBSTITUTE(SUBSTITUTE(Table1[[#This Row],[Price]],"$",""),",",""))</f>
        <v>1190241</v>
      </c>
      <c r="H2318" s="1">
        <f>Table1[[#This Row],[Price2]]/Table1[[#This Row],[Area]]</f>
        <v>523.64320281566211</v>
      </c>
      <c r="I2318">
        <v>2273</v>
      </c>
      <c r="J2318">
        <v>1997</v>
      </c>
      <c r="K2318">
        <v>72</v>
      </c>
      <c r="L2318" t="s">
        <v>19</v>
      </c>
      <c r="M2318" t="s">
        <v>2802</v>
      </c>
      <c r="N2318" s="2" t="s">
        <v>3029</v>
      </c>
      <c r="O2318" t="s">
        <v>3030</v>
      </c>
      <c r="P2318" t="s">
        <v>21</v>
      </c>
      <c r="Q2318">
        <v>523.64320281566211</v>
      </c>
      <c r="R2318">
        <f ca="1">YEAR(TODAY())-Table1[[#This Row],[Year Built]]</f>
        <v>29</v>
      </c>
      <c r="S2318" t="str">
        <f>IF(Table1[[#This Row],[Days on Market]] &lt; 30,"Fast",IF(Table1[[#This Row],[Days on Market]]&lt;= 90,"Average", "Slow"))</f>
        <v>Average</v>
      </c>
      <c r="T2318" t="str">
        <f>IF(Table1[[#This Row],[Price2]]&lt;500000,"Affordable",IF(Table1[[#This Row],[Price2]]&lt;1000000,"Mid range","Luxury"))</f>
        <v>Luxury</v>
      </c>
    </row>
    <row r="2319" spans="1:20" x14ac:dyDescent="0.35">
      <c r="A2319" s="3">
        <v>1190257</v>
      </c>
      <c r="B2319" s="2" t="s">
        <v>27</v>
      </c>
      <c r="C2319">
        <v>89565</v>
      </c>
      <c r="D2319" s="2" t="s">
        <v>13</v>
      </c>
      <c r="E2319">
        <v>5</v>
      </c>
      <c r="F2319">
        <v>3</v>
      </c>
      <c r="G2319" s="4">
        <f>VALUE(SUBSTITUTE(SUBSTITUTE(Table1[[#This Row],[Price]],"$",""),",",""))</f>
        <v>1190257</v>
      </c>
      <c r="H2319" s="1">
        <f>Table1[[#This Row],[Price2]]/Table1[[#This Row],[Area]]</f>
        <v>603.57860040567948</v>
      </c>
      <c r="I2319">
        <v>1972</v>
      </c>
      <c r="J2319">
        <v>1993</v>
      </c>
      <c r="K2319">
        <v>62</v>
      </c>
      <c r="L2319" t="s">
        <v>14</v>
      </c>
      <c r="M2319" t="s">
        <v>2925</v>
      </c>
      <c r="N2319" s="2" t="s">
        <v>3031</v>
      </c>
      <c r="O2319" t="s">
        <v>3032</v>
      </c>
      <c r="P2319" t="s">
        <v>16</v>
      </c>
      <c r="Q2319">
        <v>603.57860040567948</v>
      </c>
      <c r="R2319">
        <f ca="1">YEAR(TODAY())-Table1[[#This Row],[Year Built]]</f>
        <v>33</v>
      </c>
      <c r="S2319" t="str">
        <f>IF(Table1[[#This Row],[Days on Market]] &lt; 30,"Fast",IF(Table1[[#This Row],[Days on Market]]&lt;= 90,"Average", "Slow"))</f>
        <v>Average</v>
      </c>
      <c r="T2319" t="str">
        <f>IF(Table1[[#This Row],[Price2]]&lt;500000,"Affordable",IF(Table1[[#This Row],[Price2]]&lt;1000000,"Mid range","Luxury"))</f>
        <v>Luxury</v>
      </c>
    </row>
    <row r="2320" spans="1:20" x14ac:dyDescent="0.35">
      <c r="A2320" s="3">
        <v>1190951</v>
      </c>
      <c r="B2320" s="2" t="s">
        <v>27</v>
      </c>
      <c r="C2320">
        <v>55291</v>
      </c>
      <c r="D2320" s="2" t="s">
        <v>18</v>
      </c>
      <c r="E2320">
        <v>3</v>
      </c>
      <c r="F2320">
        <v>3</v>
      </c>
      <c r="G2320" s="4">
        <f>VALUE(SUBSTITUTE(SUBSTITUTE(Table1[[#This Row],[Price]],"$",""),",",""))</f>
        <v>1190951</v>
      </c>
      <c r="H2320" s="1">
        <f>Table1[[#This Row],[Price2]]/Table1[[#This Row],[Area]]</f>
        <v>430.25686416184971</v>
      </c>
      <c r="I2320">
        <v>2768</v>
      </c>
      <c r="J2320">
        <v>2009</v>
      </c>
      <c r="K2320">
        <v>93</v>
      </c>
      <c r="L2320" t="s">
        <v>19</v>
      </c>
      <c r="M2320" t="s">
        <v>1718</v>
      </c>
      <c r="N2320" s="2" t="s">
        <v>3027</v>
      </c>
      <c r="O2320" t="s">
        <v>3028</v>
      </c>
      <c r="P2320" t="s">
        <v>21</v>
      </c>
      <c r="Q2320">
        <v>430.25686416184971</v>
      </c>
      <c r="R2320">
        <f ca="1">YEAR(TODAY())-Table1[[#This Row],[Year Built]]</f>
        <v>17</v>
      </c>
      <c r="S2320" t="str">
        <f>IF(Table1[[#This Row],[Days on Market]] &lt; 30,"Fast",IF(Table1[[#This Row],[Days on Market]]&lt;= 90,"Average", "Slow"))</f>
        <v>Slow</v>
      </c>
      <c r="T2320" t="str">
        <f>IF(Table1[[#This Row],[Price2]]&lt;500000,"Affordable",IF(Table1[[#This Row],[Price2]]&lt;1000000,"Mid range","Luxury"))</f>
        <v>Luxury</v>
      </c>
    </row>
    <row r="2321" spans="1:20" x14ac:dyDescent="0.35">
      <c r="A2321" s="3">
        <v>1191472</v>
      </c>
      <c r="B2321" s="2" t="s">
        <v>17</v>
      </c>
      <c r="C2321">
        <v>63939</v>
      </c>
      <c r="D2321" s="2" t="s">
        <v>35</v>
      </c>
      <c r="E2321">
        <v>4</v>
      </c>
      <c r="F2321">
        <v>1</v>
      </c>
      <c r="G2321" s="4">
        <f>VALUE(SUBSTITUTE(SUBSTITUTE(Table1[[#This Row],[Price]],"$",""),",",""))</f>
        <v>1191472</v>
      </c>
      <c r="H2321" s="1">
        <f>Table1[[#This Row],[Price2]]/Table1[[#This Row],[Area]]</f>
        <v>901.26475037821479</v>
      </c>
      <c r="I2321">
        <v>1322</v>
      </c>
      <c r="J2321">
        <v>1955</v>
      </c>
      <c r="K2321">
        <v>33</v>
      </c>
      <c r="L2321" t="s">
        <v>14</v>
      </c>
      <c r="M2321" t="s">
        <v>1606</v>
      </c>
      <c r="N2321" s="2" t="s">
        <v>3033</v>
      </c>
      <c r="O2321" t="s">
        <v>3034</v>
      </c>
      <c r="P2321" t="s">
        <v>26</v>
      </c>
      <c r="Q2321">
        <v>901.26475037821479</v>
      </c>
      <c r="R2321">
        <f ca="1">YEAR(TODAY())-Table1[[#This Row],[Year Built]]</f>
        <v>71</v>
      </c>
      <c r="S2321" t="str">
        <f>IF(Table1[[#This Row],[Days on Market]] &lt; 30,"Fast",IF(Table1[[#This Row],[Days on Market]]&lt;= 90,"Average", "Slow"))</f>
        <v>Average</v>
      </c>
      <c r="T2321" t="str">
        <f>IF(Table1[[#This Row],[Price2]]&lt;500000,"Affordable",IF(Table1[[#This Row],[Price2]]&lt;1000000,"Mid range","Luxury"))</f>
        <v>Luxury</v>
      </c>
    </row>
    <row r="2322" spans="1:20" x14ac:dyDescent="0.35">
      <c r="A2322" s="3">
        <v>1191596</v>
      </c>
      <c r="B2322" s="2" t="s">
        <v>27</v>
      </c>
      <c r="C2322">
        <v>43975</v>
      </c>
      <c r="D2322" s="2" t="s">
        <v>18</v>
      </c>
      <c r="E2322">
        <v>4</v>
      </c>
      <c r="F2322">
        <v>2</v>
      </c>
      <c r="G2322" s="4">
        <f>VALUE(SUBSTITUTE(SUBSTITUTE(Table1[[#This Row],[Price]],"$",""),",",""))</f>
        <v>1191596</v>
      </c>
      <c r="H2322" s="1">
        <f>Table1[[#This Row],[Price2]]/Table1[[#This Row],[Area]]</f>
        <v>756.08883248730967</v>
      </c>
      <c r="I2322">
        <v>1576</v>
      </c>
      <c r="J2322">
        <v>1981</v>
      </c>
      <c r="K2322">
        <v>60</v>
      </c>
      <c r="L2322" t="s">
        <v>19</v>
      </c>
      <c r="M2322" t="s">
        <v>2693</v>
      </c>
      <c r="N2322" s="2" t="s">
        <v>3031</v>
      </c>
      <c r="O2322" t="s">
        <v>3032</v>
      </c>
      <c r="P2322" t="s">
        <v>16</v>
      </c>
      <c r="Q2322">
        <v>756.08883248730967</v>
      </c>
      <c r="R2322">
        <f ca="1">YEAR(TODAY())-Table1[[#This Row],[Year Built]]</f>
        <v>45</v>
      </c>
      <c r="S2322" t="str">
        <f>IF(Table1[[#This Row],[Days on Market]] &lt; 30,"Fast",IF(Table1[[#This Row],[Days on Market]]&lt;= 90,"Average", "Slow"))</f>
        <v>Average</v>
      </c>
      <c r="T2322" t="str">
        <f>IF(Table1[[#This Row],[Price2]]&lt;500000,"Affordable",IF(Table1[[#This Row],[Price2]]&lt;1000000,"Mid range","Luxury"))</f>
        <v>Luxury</v>
      </c>
    </row>
    <row r="2323" spans="1:20" x14ac:dyDescent="0.35">
      <c r="A2323" s="3">
        <v>1191840</v>
      </c>
      <c r="B2323" s="2" t="s">
        <v>17</v>
      </c>
      <c r="C2323">
        <v>67080</v>
      </c>
      <c r="D2323" s="2" t="s">
        <v>18</v>
      </c>
      <c r="E2323">
        <v>4</v>
      </c>
      <c r="F2323">
        <v>3</v>
      </c>
      <c r="G2323" s="4">
        <f>VALUE(SUBSTITUTE(SUBSTITUTE(Table1[[#This Row],[Price]],"$",""),",",""))</f>
        <v>1191840</v>
      </c>
      <c r="H2323" s="1">
        <f>Table1[[#This Row],[Price2]]/Table1[[#This Row],[Area]]</f>
        <v>879.58671586715866</v>
      </c>
      <c r="I2323">
        <v>1355</v>
      </c>
      <c r="J2323">
        <v>2017</v>
      </c>
      <c r="K2323">
        <v>19</v>
      </c>
      <c r="L2323" t="s">
        <v>14</v>
      </c>
      <c r="M2323" t="s">
        <v>1633</v>
      </c>
      <c r="N2323" s="2" t="s">
        <v>3031</v>
      </c>
      <c r="O2323" t="s">
        <v>3032</v>
      </c>
      <c r="P2323" t="s">
        <v>26</v>
      </c>
      <c r="Q2323">
        <v>879.58671586715866</v>
      </c>
      <c r="R2323">
        <f ca="1">YEAR(TODAY())-Table1[[#This Row],[Year Built]]</f>
        <v>9</v>
      </c>
      <c r="S2323" t="str">
        <f>IF(Table1[[#This Row],[Days on Market]] &lt; 30,"Fast",IF(Table1[[#This Row],[Days on Market]]&lt;= 90,"Average", "Slow"))</f>
        <v>Fast</v>
      </c>
      <c r="T2323" t="str">
        <f>IF(Table1[[#This Row],[Price2]]&lt;500000,"Affordable",IF(Table1[[#This Row],[Price2]]&lt;1000000,"Mid range","Luxury"))</f>
        <v>Luxury</v>
      </c>
    </row>
    <row r="2324" spans="1:20" x14ac:dyDescent="0.35">
      <c r="A2324" s="3">
        <v>1192506</v>
      </c>
      <c r="B2324" s="2" t="s">
        <v>34</v>
      </c>
      <c r="C2324">
        <v>24515</v>
      </c>
      <c r="D2324" s="2" t="s">
        <v>18</v>
      </c>
      <c r="E2324">
        <v>6</v>
      </c>
      <c r="F2324">
        <v>1</v>
      </c>
      <c r="G2324" s="4">
        <f>VALUE(SUBSTITUTE(SUBSTITUTE(Table1[[#This Row],[Price]],"$",""),",",""))</f>
        <v>1192506</v>
      </c>
      <c r="H2324" s="1">
        <f>Table1[[#This Row],[Price2]]/Table1[[#This Row],[Area]]</f>
        <v>505.513353115727</v>
      </c>
      <c r="I2324">
        <v>2359</v>
      </c>
      <c r="J2324">
        <v>1987</v>
      </c>
      <c r="K2324">
        <v>113</v>
      </c>
      <c r="L2324" t="s">
        <v>30</v>
      </c>
      <c r="M2324" t="s">
        <v>1830</v>
      </c>
      <c r="N2324" s="2" t="s">
        <v>3031</v>
      </c>
      <c r="O2324" t="s">
        <v>3032</v>
      </c>
      <c r="P2324" t="s">
        <v>16</v>
      </c>
      <c r="Q2324">
        <v>505.513353115727</v>
      </c>
      <c r="R2324">
        <f ca="1">YEAR(TODAY())-Table1[[#This Row],[Year Built]]</f>
        <v>39</v>
      </c>
      <c r="S2324" t="str">
        <f>IF(Table1[[#This Row],[Days on Market]] &lt; 30,"Fast",IF(Table1[[#This Row],[Days on Market]]&lt;= 90,"Average", "Slow"))</f>
        <v>Slow</v>
      </c>
      <c r="T2324" t="str">
        <f>IF(Table1[[#This Row],[Price2]]&lt;500000,"Affordable",IF(Table1[[#This Row],[Price2]]&lt;1000000,"Mid range","Luxury"))</f>
        <v>Luxury</v>
      </c>
    </row>
    <row r="2325" spans="1:20" x14ac:dyDescent="0.35">
      <c r="A2325" s="3">
        <v>1192923</v>
      </c>
      <c r="B2325" s="2" t="s">
        <v>12</v>
      </c>
      <c r="C2325">
        <v>26898</v>
      </c>
      <c r="D2325" s="2" t="s">
        <v>13</v>
      </c>
      <c r="E2325">
        <v>6</v>
      </c>
      <c r="F2325">
        <v>2</v>
      </c>
      <c r="G2325" s="4">
        <f>VALUE(SUBSTITUTE(SUBSTITUTE(Table1[[#This Row],[Price]],"$",""),",",""))</f>
        <v>1192923</v>
      </c>
      <c r="H2325" s="1">
        <f>Table1[[#This Row],[Price2]]/Table1[[#This Row],[Area]]</f>
        <v>437.60931768158474</v>
      </c>
      <c r="I2325">
        <v>2726</v>
      </c>
      <c r="J2325">
        <v>1996</v>
      </c>
      <c r="K2325">
        <v>5</v>
      </c>
      <c r="L2325" t="s">
        <v>19</v>
      </c>
      <c r="M2325" t="s">
        <v>902</v>
      </c>
      <c r="N2325" s="2" t="s">
        <v>3031</v>
      </c>
      <c r="O2325" t="s">
        <v>3032</v>
      </c>
      <c r="P2325" t="s">
        <v>26</v>
      </c>
      <c r="Q2325">
        <v>437.60931768158474</v>
      </c>
      <c r="R2325">
        <f ca="1">YEAR(TODAY())-Table1[[#This Row],[Year Built]]</f>
        <v>30</v>
      </c>
      <c r="S2325" t="str">
        <f>IF(Table1[[#This Row],[Days on Market]] &lt; 30,"Fast",IF(Table1[[#This Row],[Days on Market]]&lt;= 90,"Average", "Slow"))</f>
        <v>Fast</v>
      </c>
      <c r="T2325" t="str">
        <f>IF(Table1[[#This Row],[Price2]]&lt;500000,"Affordable",IF(Table1[[#This Row],[Price2]]&lt;1000000,"Mid range","Luxury"))</f>
        <v>Luxury</v>
      </c>
    </row>
    <row r="2326" spans="1:20" x14ac:dyDescent="0.35">
      <c r="A2326" s="3">
        <v>1193022</v>
      </c>
      <c r="B2326" s="2" t="s">
        <v>22</v>
      </c>
      <c r="C2326">
        <v>66680</v>
      </c>
      <c r="D2326" s="2" t="s">
        <v>23</v>
      </c>
      <c r="E2326">
        <v>1</v>
      </c>
      <c r="F2326">
        <v>4</v>
      </c>
      <c r="G2326" s="4">
        <f>VALUE(SUBSTITUTE(SUBSTITUTE(Table1[[#This Row],[Price]],"$",""),",",""))</f>
        <v>1193022</v>
      </c>
      <c r="H2326" s="1">
        <f>Table1[[#This Row],[Price2]]/Table1[[#This Row],[Area]]</f>
        <v>805.0080971659919</v>
      </c>
      <c r="I2326">
        <v>1482</v>
      </c>
      <c r="J2326">
        <v>1950</v>
      </c>
      <c r="K2326">
        <v>12</v>
      </c>
      <c r="L2326" t="s">
        <v>52</v>
      </c>
      <c r="M2326" t="s">
        <v>2419</v>
      </c>
      <c r="N2326" s="2" t="s">
        <v>3033</v>
      </c>
      <c r="O2326" t="s">
        <v>3034</v>
      </c>
      <c r="P2326" t="s">
        <v>21</v>
      </c>
      <c r="Q2326">
        <v>805.0080971659919</v>
      </c>
      <c r="R2326">
        <f ca="1">YEAR(TODAY())-Table1[[#This Row],[Year Built]]</f>
        <v>76</v>
      </c>
      <c r="S2326" t="str">
        <f>IF(Table1[[#This Row],[Days on Market]] &lt; 30,"Fast",IF(Table1[[#This Row],[Days on Market]]&lt;= 90,"Average", "Slow"))</f>
        <v>Fast</v>
      </c>
      <c r="T2326" t="str">
        <f>IF(Table1[[#This Row],[Price2]]&lt;500000,"Affordable",IF(Table1[[#This Row],[Price2]]&lt;1000000,"Mid range","Luxury"))</f>
        <v>Luxury</v>
      </c>
    </row>
    <row r="2327" spans="1:20" x14ac:dyDescent="0.35">
      <c r="A2327" s="3">
        <v>1193460</v>
      </c>
      <c r="B2327" s="2" t="s">
        <v>17</v>
      </c>
      <c r="C2327">
        <v>82157</v>
      </c>
      <c r="D2327" s="2" t="s">
        <v>18</v>
      </c>
      <c r="E2327">
        <v>6</v>
      </c>
      <c r="F2327">
        <v>2</v>
      </c>
      <c r="G2327" s="4">
        <f>VALUE(SUBSTITUTE(SUBSTITUTE(Table1[[#This Row],[Price]],"$",""),",",""))</f>
        <v>1193460</v>
      </c>
      <c r="H2327" s="1">
        <f>Table1[[#This Row],[Price2]]/Table1[[#This Row],[Area]]</f>
        <v>672.37183098591549</v>
      </c>
      <c r="I2327">
        <v>1775</v>
      </c>
      <c r="J2327">
        <v>1952</v>
      </c>
      <c r="K2327">
        <v>93</v>
      </c>
      <c r="L2327" t="s">
        <v>30</v>
      </c>
      <c r="M2327" t="s">
        <v>248</v>
      </c>
      <c r="N2327" s="2" t="s">
        <v>3035</v>
      </c>
      <c r="O2327" t="s">
        <v>3036</v>
      </c>
      <c r="P2327" t="s">
        <v>16</v>
      </c>
      <c r="Q2327">
        <v>672.37183098591549</v>
      </c>
      <c r="R2327">
        <f ca="1">YEAR(TODAY())-Table1[[#This Row],[Year Built]]</f>
        <v>74</v>
      </c>
      <c r="S2327" t="str">
        <f>IF(Table1[[#This Row],[Days on Market]] &lt; 30,"Fast",IF(Table1[[#This Row],[Days on Market]]&lt;= 90,"Average", "Slow"))</f>
        <v>Slow</v>
      </c>
      <c r="T2327" t="str">
        <f>IF(Table1[[#This Row],[Price2]]&lt;500000,"Affordable",IF(Table1[[#This Row],[Price2]]&lt;1000000,"Mid range","Luxury"))</f>
        <v>Luxury</v>
      </c>
    </row>
    <row r="2328" spans="1:20" x14ac:dyDescent="0.35">
      <c r="A2328" s="3">
        <v>1193769</v>
      </c>
      <c r="B2328" s="2" t="s">
        <v>34</v>
      </c>
      <c r="C2328">
        <v>31544</v>
      </c>
      <c r="D2328" s="2" t="s">
        <v>13</v>
      </c>
      <c r="E2328">
        <v>1</v>
      </c>
      <c r="F2328">
        <v>4</v>
      </c>
      <c r="G2328" s="4">
        <f>VALUE(SUBSTITUTE(SUBSTITUTE(Table1[[#This Row],[Price]],"$",""),",",""))</f>
        <v>1193769</v>
      </c>
      <c r="H2328" s="1">
        <f>Table1[[#This Row],[Price2]]/Table1[[#This Row],[Area]]</f>
        <v>665.05236768802229</v>
      </c>
      <c r="I2328">
        <v>1795</v>
      </c>
      <c r="J2328">
        <v>1984</v>
      </c>
      <c r="K2328">
        <v>40</v>
      </c>
      <c r="L2328" t="s">
        <v>40</v>
      </c>
      <c r="M2328" t="s">
        <v>897</v>
      </c>
      <c r="N2328" s="2" t="s">
        <v>3031</v>
      </c>
      <c r="O2328" t="s">
        <v>3032</v>
      </c>
      <c r="P2328" t="s">
        <v>26</v>
      </c>
      <c r="Q2328">
        <v>665.05236768802229</v>
      </c>
      <c r="R2328">
        <f ca="1">YEAR(TODAY())-Table1[[#This Row],[Year Built]]</f>
        <v>42</v>
      </c>
      <c r="S2328" t="str">
        <f>IF(Table1[[#This Row],[Days on Market]] &lt; 30,"Fast",IF(Table1[[#This Row],[Days on Market]]&lt;= 90,"Average", "Slow"))</f>
        <v>Average</v>
      </c>
      <c r="T2328" t="str">
        <f>IF(Table1[[#This Row],[Price2]]&lt;500000,"Affordable",IF(Table1[[#This Row],[Price2]]&lt;1000000,"Mid range","Luxury"))</f>
        <v>Luxury</v>
      </c>
    </row>
    <row r="2329" spans="1:20" x14ac:dyDescent="0.35">
      <c r="A2329" s="3">
        <v>1193957</v>
      </c>
      <c r="B2329" s="2" t="s">
        <v>22</v>
      </c>
      <c r="C2329">
        <v>72455</v>
      </c>
      <c r="D2329" s="2" t="s">
        <v>35</v>
      </c>
      <c r="E2329">
        <v>5</v>
      </c>
      <c r="F2329">
        <v>1</v>
      </c>
      <c r="G2329" s="4">
        <f>VALUE(SUBSTITUTE(SUBSTITUTE(Table1[[#This Row],[Price]],"$",""),",",""))</f>
        <v>1193957</v>
      </c>
      <c r="H2329" s="1">
        <f>Table1[[#This Row],[Price2]]/Table1[[#This Row],[Area]]</f>
        <v>717.09129129129133</v>
      </c>
      <c r="I2329">
        <v>1665</v>
      </c>
      <c r="J2329">
        <v>1983</v>
      </c>
      <c r="K2329">
        <v>41</v>
      </c>
      <c r="L2329" t="s">
        <v>40</v>
      </c>
      <c r="M2329" t="s">
        <v>2344</v>
      </c>
      <c r="N2329" s="2" t="s">
        <v>3033</v>
      </c>
      <c r="O2329" t="s">
        <v>3034</v>
      </c>
      <c r="P2329" t="s">
        <v>21</v>
      </c>
      <c r="Q2329">
        <v>717.09129129129133</v>
      </c>
      <c r="R2329">
        <f ca="1">YEAR(TODAY())-Table1[[#This Row],[Year Built]]</f>
        <v>43</v>
      </c>
      <c r="S2329" t="str">
        <f>IF(Table1[[#This Row],[Days on Market]] &lt; 30,"Fast",IF(Table1[[#This Row],[Days on Market]]&lt;= 90,"Average", "Slow"))</f>
        <v>Average</v>
      </c>
      <c r="T2329" t="str">
        <f>IF(Table1[[#This Row],[Price2]]&lt;500000,"Affordable",IF(Table1[[#This Row],[Price2]]&lt;1000000,"Mid range","Luxury"))</f>
        <v>Luxury</v>
      </c>
    </row>
    <row r="2330" spans="1:20" x14ac:dyDescent="0.35">
      <c r="A2330" s="3">
        <v>1194017</v>
      </c>
      <c r="B2330" s="2" t="s">
        <v>17</v>
      </c>
      <c r="C2330">
        <v>62786</v>
      </c>
      <c r="D2330" s="2" t="s">
        <v>29</v>
      </c>
      <c r="E2330">
        <v>2</v>
      </c>
      <c r="F2330">
        <v>2</v>
      </c>
      <c r="G2330" s="4">
        <f>VALUE(SUBSTITUTE(SUBSTITUTE(Table1[[#This Row],[Price]],"$",""),",",""))</f>
        <v>1194017</v>
      </c>
      <c r="H2330" s="1">
        <f>Table1[[#This Row],[Price2]]/Table1[[#This Row],[Area]]</f>
        <v>336.05882352941177</v>
      </c>
      <c r="I2330">
        <v>3553</v>
      </c>
      <c r="J2330">
        <v>1970</v>
      </c>
      <c r="K2330">
        <v>90</v>
      </c>
      <c r="L2330" t="s">
        <v>52</v>
      </c>
      <c r="M2330" t="s">
        <v>1708</v>
      </c>
      <c r="N2330" s="2" t="s">
        <v>3033</v>
      </c>
      <c r="O2330" t="s">
        <v>3034</v>
      </c>
      <c r="P2330" t="s">
        <v>21</v>
      </c>
      <c r="Q2330">
        <v>336.05882352941177</v>
      </c>
      <c r="R2330">
        <f ca="1">YEAR(TODAY())-Table1[[#This Row],[Year Built]]</f>
        <v>56</v>
      </c>
      <c r="S2330" t="str">
        <f>IF(Table1[[#This Row],[Days on Market]] &lt; 30,"Fast",IF(Table1[[#This Row],[Days on Market]]&lt;= 90,"Average", "Slow"))</f>
        <v>Average</v>
      </c>
      <c r="T2330" t="str">
        <f>IF(Table1[[#This Row],[Price2]]&lt;500000,"Affordable",IF(Table1[[#This Row],[Price2]]&lt;1000000,"Mid range","Luxury"))</f>
        <v>Luxury</v>
      </c>
    </row>
    <row r="2331" spans="1:20" x14ac:dyDescent="0.35">
      <c r="A2331" s="3">
        <v>1194026</v>
      </c>
      <c r="B2331" s="2" t="s">
        <v>27</v>
      </c>
      <c r="C2331">
        <v>55266</v>
      </c>
      <c r="D2331" s="2" t="s">
        <v>18</v>
      </c>
      <c r="E2331">
        <v>4</v>
      </c>
      <c r="F2331">
        <v>2</v>
      </c>
      <c r="G2331" s="4">
        <f>VALUE(SUBSTITUTE(SUBSTITUTE(Table1[[#This Row],[Price]],"$",""),",",""))</f>
        <v>1194026</v>
      </c>
      <c r="H2331" s="1">
        <f>Table1[[#This Row],[Price2]]/Table1[[#This Row],[Area]]</f>
        <v>350.46257704725565</v>
      </c>
      <c r="I2331">
        <v>3407</v>
      </c>
      <c r="J2331">
        <v>2009</v>
      </c>
      <c r="K2331">
        <v>96</v>
      </c>
      <c r="L2331" t="s">
        <v>19</v>
      </c>
      <c r="M2331" t="s">
        <v>136</v>
      </c>
      <c r="N2331" s="2" t="s">
        <v>3035</v>
      </c>
      <c r="O2331" t="s">
        <v>3036</v>
      </c>
      <c r="P2331" t="s">
        <v>16</v>
      </c>
      <c r="Q2331">
        <v>350.46257704725565</v>
      </c>
      <c r="R2331">
        <f ca="1">YEAR(TODAY())-Table1[[#This Row],[Year Built]]</f>
        <v>17</v>
      </c>
      <c r="S2331" t="str">
        <f>IF(Table1[[#This Row],[Days on Market]] &lt; 30,"Fast",IF(Table1[[#This Row],[Days on Market]]&lt;= 90,"Average", "Slow"))</f>
        <v>Slow</v>
      </c>
      <c r="T2331" t="str">
        <f>IF(Table1[[#This Row],[Price2]]&lt;500000,"Affordable",IF(Table1[[#This Row],[Price2]]&lt;1000000,"Mid range","Luxury"))</f>
        <v>Luxury</v>
      </c>
    </row>
    <row r="2332" spans="1:20" x14ac:dyDescent="0.35">
      <c r="A2332" s="3">
        <v>1194453</v>
      </c>
      <c r="B2332" s="2" t="s">
        <v>34</v>
      </c>
      <c r="C2332">
        <v>90716</v>
      </c>
      <c r="D2332" s="2" t="s">
        <v>35</v>
      </c>
      <c r="E2332">
        <v>2</v>
      </c>
      <c r="F2332">
        <v>1</v>
      </c>
      <c r="G2332" s="4">
        <f>VALUE(SUBSTITUTE(SUBSTITUTE(Table1[[#This Row],[Price]],"$",""),",",""))</f>
        <v>1194453</v>
      </c>
      <c r="H2332" s="1">
        <f>Table1[[#This Row],[Price2]]/Table1[[#This Row],[Area]]</f>
        <v>304.5520142784294</v>
      </c>
      <c r="I2332">
        <v>3922</v>
      </c>
      <c r="J2332">
        <v>2016</v>
      </c>
      <c r="K2332">
        <v>82</v>
      </c>
      <c r="L2332" t="s">
        <v>30</v>
      </c>
      <c r="M2332" t="s">
        <v>2754</v>
      </c>
      <c r="N2332" s="2" t="s">
        <v>3035</v>
      </c>
      <c r="O2332" t="s">
        <v>3036</v>
      </c>
      <c r="P2332" t="s">
        <v>21</v>
      </c>
      <c r="Q2332">
        <v>304.5520142784294</v>
      </c>
      <c r="R2332">
        <f ca="1">YEAR(TODAY())-Table1[[#This Row],[Year Built]]</f>
        <v>10</v>
      </c>
      <c r="S2332" t="str">
        <f>IF(Table1[[#This Row],[Days on Market]] &lt; 30,"Fast",IF(Table1[[#This Row],[Days on Market]]&lt;= 90,"Average", "Slow"))</f>
        <v>Average</v>
      </c>
      <c r="T2332" t="str">
        <f>IF(Table1[[#This Row],[Price2]]&lt;500000,"Affordable",IF(Table1[[#This Row],[Price2]]&lt;1000000,"Mid range","Luxury"))</f>
        <v>Luxury</v>
      </c>
    </row>
    <row r="2333" spans="1:20" x14ac:dyDescent="0.35">
      <c r="A2333" s="3">
        <v>1195037</v>
      </c>
      <c r="B2333" s="2" t="s">
        <v>17</v>
      </c>
      <c r="C2333">
        <v>73698</v>
      </c>
      <c r="D2333" s="2" t="s">
        <v>18</v>
      </c>
      <c r="E2333">
        <v>3</v>
      </c>
      <c r="F2333">
        <v>1</v>
      </c>
      <c r="G2333" s="4">
        <f>VALUE(SUBSTITUTE(SUBSTITUTE(Table1[[#This Row],[Price]],"$",""),",",""))</f>
        <v>1195037</v>
      </c>
      <c r="H2333" s="1">
        <f>Table1[[#This Row],[Price2]]/Table1[[#This Row],[Area]]</f>
        <v>298.83395848962243</v>
      </c>
      <c r="I2333">
        <v>3999</v>
      </c>
      <c r="J2333">
        <v>1991</v>
      </c>
      <c r="K2333">
        <v>81</v>
      </c>
      <c r="L2333" t="s">
        <v>14</v>
      </c>
      <c r="M2333" t="s">
        <v>1298</v>
      </c>
      <c r="N2333" s="2" t="s">
        <v>3031</v>
      </c>
      <c r="O2333" t="s">
        <v>3032</v>
      </c>
      <c r="P2333" t="s">
        <v>26</v>
      </c>
      <c r="Q2333">
        <v>298.83395848962243</v>
      </c>
      <c r="R2333">
        <f ca="1">YEAR(TODAY())-Table1[[#This Row],[Year Built]]</f>
        <v>35</v>
      </c>
      <c r="S2333" t="str">
        <f>IF(Table1[[#This Row],[Days on Market]] &lt; 30,"Fast",IF(Table1[[#This Row],[Days on Market]]&lt;= 90,"Average", "Slow"))</f>
        <v>Average</v>
      </c>
      <c r="T2333" t="str">
        <f>IF(Table1[[#This Row],[Price2]]&lt;500000,"Affordable",IF(Table1[[#This Row],[Price2]]&lt;1000000,"Mid range","Luxury"))</f>
        <v>Luxury</v>
      </c>
    </row>
    <row r="2334" spans="1:20" x14ac:dyDescent="0.35">
      <c r="A2334" s="3">
        <v>1195807</v>
      </c>
      <c r="B2334" s="2" t="s">
        <v>12</v>
      </c>
      <c r="C2334">
        <v>50834</v>
      </c>
      <c r="D2334" s="2" t="s">
        <v>18</v>
      </c>
      <c r="E2334">
        <v>2</v>
      </c>
      <c r="F2334">
        <v>2</v>
      </c>
      <c r="G2334" s="4">
        <f>VALUE(SUBSTITUTE(SUBSTITUTE(Table1[[#This Row],[Price]],"$",""),",",""))</f>
        <v>1195807</v>
      </c>
      <c r="H2334" s="1">
        <f>Table1[[#This Row],[Price2]]/Table1[[#This Row],[Area]]</f>
        <v>1191.0428286852589</v>
      </c>
      <c r="I2334">
        <v>1004</v>
      </c>
      <c r="J2334">
        <v>1979</v>
      </c>
      <c r="K2334">
        <v>5</v>
      </c>
      <c r="L2334" t="s">
        <v>40</v>
      </c>
      <c r="M2334" t="s">
        <v>1543</v>
      </c>
      <c r="N2334" s="2" t="s">
        <v>3035</v>
      </c>
      <c r="O2334" t="s">
        <v>3036</v>
      </c>
      <c r="P2334" t="s">
        <v>21</v>
      </c>
      <c r="Q2334">
        <v>1191.0428286852589</v>
      </c>
      <c r="R2334">
        <f ca="1">YEAR(TODAY())-Table1[[#This Row],[Year Built]]</f>
        <v>47</v>
      </c>
      <c r="S2334" t="str">
        <f>IF(Table1[[#This Row],[Days on Market]] &lt; 30,"Fast",IF(Table1[[#This Row],[Days on Market]]&lt;= 90,"Average", "Slow"))</f>
        <v>Fast</v>
      </c>
      <c r="T2334" t="str">
        <f>IF(Table1[[#This Row],[Price2]]&lt;500000,"Affordable",IF(Table1[[#This Row],[Price2]]&lt;1000000,"Mid range","Luxury"))</f>
        <v>Luxury</v>
      </c>
    </row>
    <row r="2335" spans="1:20" x14ac:dyDescent="0.35">
      <c r="A2335" s="3">
        <v>1195827</v>
      </c>
      <c r="B2335" s="2" t="s">
        <v>34</v>
      </c>
      <c r="C2335">
        <v>84862</v>
      </c>
      <c r="D2335" s="2" t="s">
        <v>35</v>
      </c>
      <c r="E2335">
        <v>2</v>
      </c>
      <c r="F2335">
        <v>3</v>
      </c>
      <c r="G2335" s="4">
        <f>VALUE(SUBSTITUTE(SUBSTITUTE(Table1[[#This Row],[Price]],"$",""),",",""))</f>
        <v>1195827</v>
      </c>
      <c r="H2335" s="1">
        <f>Table1[[#This Row],[Price2]]/Table1[[#This Row],[Area]]</f>
        <v>424.80532859680284</v>
      </c>
      <c r="I2335">
        <v>2815</v>
      </c>
      <c r="J2335">
        <v>2000</v>
      </c>
      <c r="K2335">
        <v>11</v>
      </c>
      <c r="L2335" t="s">
        <v>52</v>
      </c>
      <c r="M2335" t="s">
        <v>2283</v>
      </c>
      <c r="N2335" s="2" t="s">
        <v>3029</v>
      </c>
      <c r="O2335" t="s">
        <v>3030</v>
      </c>
      <c r="P2335" t="s">
        <v>21</v>
      </c>
      <c r="Q2335">
        <v>424.80532859680284</v>
      </c>
      <c r="R2335">
        <f ca="1">YEAR(TODAY())-Table1[[#This Row],[Year Built]]</f>
        <v>26</v>
      </c>
      <c r="S2335" t="str">
        <f>IF(Table1[[#This Row],[Days on Market]] &lt; 30,"Fast",IF(Table1[[#This Row],[Days on Market]]&lt;= 90,"Average", "Slow"))</f>
        <v>Fast</v>
      </c>
      <c r="T2335" t="str">
        <f>IF(Table1[[#This Row],[Price2]]&lt;500000,"Affordable",IF(Table1[[#This Row],[Price2]]&lt;1000000,"Mid range","Luxury"))</f>
        <v>Luxury</v>
      </c>
    </row>
    <row r="2336" spans="1:20" x14ac:dyDescent="0.35">
      <c r="A2336" s="3">
        <v>1196873</v>
      </c>
      <c r="B2336" s="2" t="s">
        <v>34</v>
      </c>
      <c r="C2336">
        <v>81044</v>
      </c>
      <c r="D2336" s="2" t="s">
        <v>29</v>
      </c>
      <c r="E2336">
        <v>6</v>
      </c>
      <c r="F2336">
        <v>1</v>
      </c>
      <c r="G2336" s="4">
        <f>VALUE(SUBSTITUTE(SUBSTITUTE(Table1[[#This Row],[Price]],"$",""),",",""))</f>
        <v>1196873</v>
      </c>
      <c r="H2336" s="1">
        <f>Table1[[#This Row],[Price2]]/Table1[[#This Row],[Area]]</f>
        <v>477.03188521323239</v>
      </c>
      <c r="I2336">
        <v>2509</v>
      </c>
      <c r="J2336">
        <v>1978</v>
      </c>
      <c r="K2336">
        <v>95</v>
      </c>
      <c r="L2336" t="s">
        <v>52</v>
      </c>
      <c r="M2336" t="s">
        <v>2744</v>
      </c>
      <c r="N2336" s="2" t="s">
        <v>3029</v>
      </c>
      <c r="O2336" t="s">
        <v>3030</v>
      </c>
      <c r="P2336" t="s">
        <v>26</v>
      </c>
      <c r="Q2336">
        <v>477.03188521323239</v>
      </c>
      <c r="R2336">
        <f ca="1">YEAR(TODAY())-Table1[[#This Row],[Year Built]]</f>
        <v>48</v>
      </c>
      <c r="S2336" t="str">
        <f>IF(Table1[[#This Row],[Days on Market]] &lt; 30,"Fast",IF(Table1[[#This Row],[Days on Market]]&lt;= 90,"Average", "Slow"))</f>
        <v>Slow</v>
      </c>
      <c r="T2336" t="str">
        <f>IF(Table1[[#This Row],[Price2]]&lt;500000,"Affordable",IF(Table1[[#This Row],[Price2]]&lt;1000000,"Mid range","Luxury"))</f>
        <v>Luxury</v>
      </c>
    </row>
    <row r="2337" spans="1:20" x14ac:dyDescent="0.35">
      <c r="A2337" s="3">
        <v>1197039</v>
      </c>
      <c r="B2337" s="2" t="s">
        <v>27</v>
      </c>
      <c r="C2337">
        <v>82851</v>
      </c>
      <c r="D2337" s="2" t="s">
        <v>23</v>
      </c>
      <c r="E2337">
        <v>6</v>
      </c>
      <c r="F2337">
        <v>2</v>
      </c>
      <c r="G2337" s="4">
        <f>VALUE(SUBSTITUTE(SUBSTITUTE(Table1[[#This Row],[Price]],"$",""),",",""))</f>
        <v>1197039</v>
      </c>
      <c r="H2337" s="1">
        <f>Table1[[#This Row],[Price2]]/Table1[[#This Row],[Area]]</f>
        <v>446.65634328358209</v>
      </c>
      <c r="I2337">
        <v>2680</v>
      </c>
      <c r="J2337">
        <v>1951</v>
      </c>
      <c r="K2337">
        <v>99</v>
      </c>
      <c r="L2337" t="s">
        <v>52</v>
      </c>
      <c r="M2337" t="s">
        <v>2573</v>
      </c>
      <c r="N2337" s="2" t="s">
        <v>3031</v>
      </c>
      <c r="O2337" t="s">
        <v>3032</v>
      </c>
      <c r="P2337" t="s">
        <v>26</v>
      </c>
      <c r="Q2337">
        <v>446.65634328358209</v>
      </c>
      <c r="R2337">
        <f ca="1">YEAR(TODAY())-Table1[[#This Row],[Year Built]]</f>
        <v>75</v>
      </c>
      <c r="S2337" t="str">
        <f>IF(Table1[[#This Row],[Days on Market]] &lt; 30,"Fast",IF(Table1[[#This Row],[Days on Market]]&lt;= 90,"Average", "Slow"))</f>
        <v>Slow</v>
      </c>
      <c r="T2337" t="str">
        <f>IF(Table1[[#This Row],[Price2]]&lt;500000,"Affordable",IF(Table1[[#This Row],[Price2]]&lt;1000000,"Mid range","Luxury"))</f>
        <v>Luxury</v>
      </c>
    </row>
    <row r="2338" spans="1:20" x14ac:dyDescent="0.35">
      <c r="A2338" s="3">
        <v>1197421</v>
      </c>
      <c r="B2338" s="2" t="s">
        <v>34</v>
      </c>
      <c r="C2338">
        <v>64532</v>
      </c>
      <c r="D2338" s="2" t="s">
        <v>23</v>
      </c>
      <c r="E2338">
        <v>2</v>
      </c>
      <c r="F2338">
        <v>4</v>
      </c>
      <c r="G2338" s="4">
        <f>VALUE(SUBSTITUTE(SUBSTITUTE(Table1[[#This Row],[Price]],"$",""),",",""))</f>
        <v>1197421</v>
      </c>
      <c r="H2338" s="1">
        <f>Table1[[#This Row],[Price2]]/Table1[[#This Row],[Area]]</f>
        <v>351.56224310041102</v>
      </c>
      <c r="I2338">
        <v>3406</v>
      </c>
      <c r="J2338">
        <v>1988</v>
      </c>
      <c r="K2338">
        <v>70</v>
      </c>
      <c r="L2338" t="s">
        <v>30</v>
      </c>
      <c r="M2338" t="s">
        <v>603</v>
      </c>
      <c r="N2338" s="2" t="s">
        <v>3029</v>
      </c>
      <c r="O2338" t="s">
        <v>3030</v>
      </c>
      <c r="P2338" t="s">
        <v>16</v>
      </c>
      <c r="Q2338">
        <v>351.56224310041102</v>
      </c>
      <c r="R2338">
        <f ca="1">YEAR(TODAY())-Table1[[#This Row],[Year Built]]</f>
        <v>38</v>
      </c>
      <c r="S2338" t="str">
        <f>IF(Table1[[#This Row],[Days on Market]] &lt; 30,"Fast",IF(Table1[[#This Row],[Days on Market]]&lt;= 90,"Average", "Slow"))</f>
        <v>Average</v>
      </c>
      <c r="T2338" t="str">
        <f>IF(Table1[[#This Row],[Price2]]&lt;500000,"Affordable",IF(Table1[[#This Row],[Price2]]&lt;1000000,"Mid range","Luxury"))</f>
        <v>Luxury</v>
      </c>
    </row>
    <row r="2339" spans="1:20" x14ac:dyDescent="0.35">
      <c r="A2339" s="3">
        <v>1197615</v>
      </c>
      <c r="B2339" s="2" t="s">
        <v>12</v>
      </c>
      <c r="C2339">
        <v>88281</v>
      </c>
      <c r="D2339" s="2" t="s">
        <v>29</v>
      </c>
      <c r="E2339">
        <v>1</v>
      </c>
      <c r="F2339">
        <v>3</v>
      </c>
      <c r="G2339" s="4">
        <f>VALUE(SUBSTITUTE(SUBSTITUTE(Table1[[#This Row],[Price]],"$",""),",",""))</f>
        <v>1197615</v>
      </c>
      <c r="H2339" s="1">
        <f>Table1[[#This Row],[Price2]]/Table1[[#This Row],[Area]]</f>
        <v>727.14936247723131</v>
      </c>
      <c r="I2339">
        <v>1647</v>
      </c>
      <c r="J2339">
        <v>1991</v>
      </c>
      <c r="K2339">
        <v>91</v>
      </c>
      <c r="L2339" t="s">
        <v>14</v>
      </c>
      <c r="M2339" t="s">
        <v>2872</v>
      </c>
      <c r="N2339" s="2" t="s">
        <v>3033</v>
      </c>
      <c r="O2339" t="s">
        <v>3034</v>
      </c>
      <c r="P2339" t="s">
        <v>21</v>
      </c>
      <c r="Q2339">
        <v>727.14936247723131</v>
      </c>
      <c r="R2339">
        <f ca="1">YEAR(TODAY())-Table1[[#This Row],[Year Built]]</f>
        <v>35</v>
      </c>
      <c r="S2339" t="str">
        <f>IF(Table1[[#This Row],[Days on Market]] &lt; 30,"Fast",IF(Table1[[#This Row],[Days on Market]]&lt;= 90,"Average", "Slow"))</f>
        <v>Slow</v>
      </c>
      <c r="T2339" t="str">
        <f>IF(Table1[[#This Row],[Price2]]&lt;500000,"Affordable",IF(Table1[[#This Row],[Price2]]&lt;1000000,"Mid range","Luxury"))</f>
        <v>Luxury</v>
      </c>
    </row>
    <row r="2340" spans="1:20" x14ac:dyDescent="0.35">
      <c r="A2340" s="3">
        <v>1197675</v>
      </c>
      <c r="B2340" s="2" t="s">
        <v>22</v>
      </c>
      <c r="C2340">
        <v>70379</v>
      </c>
      <c r="D2340" s="2" t="s">
        <v>13</v>
      </c>
      <c r="E2340">
        <v>4</v>
      </c>
      <c r="F2340">
        <v>1</v>
      </c>
      <c r="G2340" s="4">
        <f>VALUE(SUBSTITUTE(SUBSTITUTE(Table1[[#This Row],[Price]],"$",""),",",""))</f>
        <v>1197675</v>
      </c>
      <c r="H2340" s="1">
        <f>Table1[[#This Row],[Price2]]/Table1[[#This Row],[Area]]</f>
        <v>495.31637717121589</v>
      </c>
      <c r="I2340">
        <v>2418</v>
      </c>
      <c r="J2340">
        <v>1978</v>
      </c>
      <c r="K2340">
        <v>103</v>
      </c>
      <c r="L2340" t="s">
        <v>19</v>
      </c>
      <c r="M2340" t="s">
        <v>73</v>
      </c>
      <c r="N2340" s="2" t="s">
        <v>3035</v>
      </c>
      <c r="O2340" t="s">
        <v>3036</v>
      </c>
      <c r="P2340" t="s">
        <v>16</v>
      </c>
      <c r="Q2340">
        <v>495.31637717121589</v>
      </c>
      <c r="R2340">
        <f ca="1">YEAR(TODAY())-Table1[[#This Row],[Year Built]]</f>
        <v>48</v>
      </c>
      <c r="S2340" t="str">
        <f>IF(Table1[[#This Row],[Days on Market]] &lt; 30,"Fast",IF(Table1[[#This Row],[Days on Market]]&lt;= 90,"Average", "Slow"))</f>
        <v>Slow</v>
      </c>
      <c r="T2340" t="str">
        <f>IF(Table1[[#This Row],[Price2]]&lt;500000,"Affordable",IF(Table1[[#This Row],[Price2]]&lt;1000000,"Mid range","Luxury"))</f>
        <v>Luxury</v>
      </c>
    </row>
    <row r="2341" spans="1:20" x14ac:dyDescent="0.35">
      <c r="A2341" s="3">
        <v>1197720</v>
      </c>
      <c r="B2341" s="2" t="s">
        <v>17</v>
      </c>
      <c r="C2341">
        <v>51510</v>
      </c>
      <c r="D2341" s="2" t="s">
        <v>35</v>
      </c>
      <c r="E2341">
        <v>6</v>
      </c>
      <c r="F2341">
        <v>3</v>
      </c>
      <c r="G2341" s="4">
        <f>VALUE(SUBSTITUTE(SUBSTITUTE(Table1[[#This Row],[Price]],"$",""),",",""))</f>
        <v>1197720</v>
      </c>
      <c r="H2341" s="1">
        <f>Table1[[#This Row],[Price2]]/Table1[[#This Row],[Area]]</f>
        <v>930.62937062937067</v>
      </c>
      <c r="I2341">
        <v>1287</v>
      </c>
      <c r="J2341">
        <v>1990</v>
      </c>
      <c r="K2341">
        <v>109</v>
      </c>
      <c r="L2341" t="s">
        <v>30</v>
      </c>
      <c r="M2341" t="s">
        <v>1043</v>
      </c>
      <c r="N2341" s="2" t="s">
        <v>3031</v>
      </c>
      <c r="O2341" t="s">
        <v>3032</v>
      </c>
      <c r="P2341" t="s">
        <v>16</v>
      </c>
      <c r="Q2341">
        <v>930.62937062937067</v>
      </c>
      <c r="R2341">
        <f ca="1">YEAR(TODAY())-Table1[[#This Row],[Year Built]]</f>
        <v>36</v>
      </c>
      <c r="S2341" t="str">
        <f>IF(Table1[[#This Row],[Days on Market]] &lt; 30,"Fast",IF(Table1[[#This Row],[Days on Market]]&lt;= 90,"Average", "Slow"))</f>
        <v>Slow</v>
      </c>
      <c r="T2341" t="str">
        <f>IF(Table1[[#This Row],[Price2]]&lt;500000,"Affordable",IF(Table1[[#This Row],[Price2]]&lt;1000000,"Mid range","Luxury"))</f>
        <v>Luxury</v>
      </c>
    </row>
    <row r="2342" spans="1:20" x14ac:dyDescent="0.35">
      <c r="A2342" s="3">
        <v>1197928</v>
      </c>
      <c r="B2342" s="2" t="s">
        <v>27</v>
      </c>
      <c r="C2342">
        <v>99142</v>
      </c>
      <c r="D2342" s="2" t="s">
        <v>35</v>
      </c>
      <c r="E2342">
        <v>5</v>
      </c>
      <c r="F2342">
        <v>1</v>
      </c>
      <c r="G2342" s="4">
        <f>VALUE(SUBSTITUTE(SUBSTITUTE(Table1[[#This Row],[Price]],"$",""),",",""))</f>
        <v>1197928</v>
      </c>
      <c r="H2342" s="1">
        <f>Table1[[#This Row],[Price2]]/Table1[[#This Row],[Area]]</f>
        <v>440.90099374309898</v>
      </c>
      <c r="I2342">
        <v>2717</v>
      </c>
      <c r="J2342">
        <v>1985</v>
      </c>
      <c r="K2342">
        <v>96</v>
      </c>
      <c r="L2342" t="s">
        <v>30</v>
      </c>
      <c r="M2342" t="s">
        <v>2559</v>
      </c>
      <c r="N2342" s="2" t="s">
        <v>3033</v>
      </c>
      <c r="O2342" t="s">
        <v>3034</v>
      </c>
      <c r="P2342" t="s">
        <v>21</v>
      </c>
      <c r="Q2342">
        <v>440.90099374309898</v>
      </c>
      <c r="R2342">
        <f ca="1">YEAR(TODAY())-Table1[[#This Row],[Year Built]]</f>
        <v>41</v>
      </c>
      <c r="S2342" t="str">
        <f>IF(Table1[[#This Row],[Days on Market]] &lt; 30,"Fast",IF(Table1[[#This Row],[Days on Market]]&lt;= 90,"Average", "Slow"))</f>
        <v>Slow</v>
      </c>
      <c r="T2342" t="str">
        <f>IF(Table1[[#This Row],[Price2]]&lt;500000,"Affordable",IF(Table1[[#This Row],[Price2]]&lt;1000000,"Mid range","Luxury"))</f>
        <v>Luxury</v>
      </c>
    </row>
    <row r="2343" spans="1:20" x14ac:dyDescent="0.35">
      <c r="A2343" s="3">
        <v>1198238</v>
      </c>
      <c r="B2343" s="2" t="s">
        <v>22</v>
      </c>
      <c r="C2343">
        <v>67646</v>
      </c>
      <c r="D2343" s="2" t="s">
        <v>13</v>
      </c>
      <c r="E2343">
        <v>2</v>
      </c>
      <c r="F2343">
        <v>2</v>
      </c>
      <c r="G2343" s="4">
        <f>VALUE(SUBSTITUTE(SUBSTITUTE(Table1[[#This Row],[Price]],"$",""),",",""))</f>
        <v>1198238</v>
      </c>
      <c r="H2343" s="1">
        <f>Table1[[#This Row],[Price2]]/Table1[[#This Row],[Area]]</f>
        <v>337.15194147439507</v>
      </c>
      <c r="I2343">
        <v>3554</v>
      </c>
      <c r="J2343">
        <v>1971</v>
      </c>
      <c r="K2343">
        <v>28</v>
      </c>
      <c r="L2343" t="s">
        <v>30</v>
      </c>
      <c r="M2343" t="s">
        <v>1938</v>
      </c>
      <c r="N2343" s="2" t="s">
        <v>3031</v>
      </c>
      <c r="O2343" t="s">
        <v>3032</v>
      </c>
      <c r="P2343" t="s">
        <v>21</v>
      </c>
      <c r="Q2343">
        <v>337.15194147439507</v>
      </c>
      <c r="R2343">
        <f ca="1">YEAR(TODAY())-Table1[[#This Row],[Year Built]]</f>
        <v>55</v>
      </c>
      <c r="S2343" t="str">
        <f>IF(Table1[[#This Row],[Days on Market]] &lt; 30,"Fast",IF(Table1[[#This Row],[Days on Market]]&lt;= 90,"Average", "Slow"))</f>
        <v>Fast</v>
      </c>
      <c r="T2343" t="str">
        <f>IF(Table1[[#This Row],[Price2]]&lt;500000,"Affordable",IF(Table1[[#This Row],[Price2]]&lt;1000000,"Mid range","Luxury"))</f>
        <v>Luxury</v>
      </c>
    </row>
    <row r="2344" spans="1:20" x14ac:dyDescent="0.35">
      <c r="A2344" s="3">
        <v>1199146</v>
      </c>
      <c r="B2344" s="2" t="s">
        <v>22</v>
      </c>
      <c r="C2344">
        <v>44938</v>
      </c>
      <c r="D2344" s="2" t="s">
        <v>23</v>
      </c>
      <c r="E2344">
        <v>4</v>
      </c>
      <c r="F2344">
        <v>2</v>
      </c>
      <c r="G2344" s="4">
        <f>VALUE(SUBSTITUTE(SUBSTITUTE(Table1[[#This Row],[Price]],"$",""),",",""))</f>
        <v>1199146</v>
      </c>
      <c r="H2344" s="1">
        <f>Table1[[#This Row],[Price2]]/Table1[[#This Row],[Area]]</f>
        <v>1455.2742718446602</v>
      </c>
      <c r="I2344">
        <v>824</v>
      </c>
      <c r="J2344">
        <v>1981</v>
      </c>
      <c r="K2344">
        <v>105</v>
      </c>
      <c r="L2344" t="s">
        <v>52</v>
      </c>
      <c r="M2344" t="s">
        <v>2658</v>
      </c>
      <c r="N2344" s="2" t="s">
        <v>3033</v>
      </c>
      <c r="O2344" t="s">
        <v>3034</v>
      </c>
      <c r="P2344" t="s">
        <v>21</v>
      </c>
      <c r="Q2344">
        <v>1455.2742718446602</v>
      </c>
      <c r="R2344">
        <f ca="1">YEAR(TODAY())-Table1[[#This Row],[Year Built]]</f>
        <v>45</v>
      </c>
      <c r="S2344" t="str">
        <f>IF(Table1[[#This Row],[Days on Market]] &lt; 30,"Fast",IF(Table1[[#This Row],[Days on Market]]&lt;= 90,"Average", "Slow"))</f>
        <v>Slow</v>
      </c>
      <c r="T2344" t="str">
        <f>IF(Table1[[#This Row],[Price2]]&lt;500000,"Affordable",IF(Table1[[#This Row],[Price2]]&lt;1000000,"Mid range","Luxury"))</f>
        <v>Luxury</v>
      </c>
    </row>
    <row r="2345" spans="1:20" x14ac:dyDescent="0.35">
      <c r="A2345" s="3">
        <v>1200171</v>
      </c>
      <c r="B2345" s="2" t="s">
        <v>17</v>
      </c>
      <c r="C2345">
        <v>40800</v>
      </c>
      <c r="D2345" s="2" t="s">
        <v>18</v>
      </c>
      <c r="E2345">
        <v>4</v>
      </c>
      <c r="F2345">
        <v>1</v>
      </c>
      <c r="G2345" s="4">
        <f>VALUE(SUBSTITUTE(SUBSTITUTE(Table1[[#This Row],[Price]],"$",""),",",""))</f>
        <v>1200171</v>
      </c>
      <c r="H2345" s="1">
        <f>Table1[[#This Row],[Price2]]/Table1[[#This Row],[Area]]</f>
        <v>443.68613678373384</v>
      </c>
      <c r="I2345">
        <v>2705</v>
      </c>
      <c r="J2345">
        <v>1958</v>
      </c>
      <c r="K2345">
        <v>8</v>
      </c>
      <c r="L2345" t="s">
        <v>19</v>
      </c>
      <c r="M2345" t="s">
        <v>2915</v>
      </c>
      <c r="N2345" s="2" t="s">
        <v>3029</v>
      </c>
      <c r="O2345" t="s">
        <v>3030</v>
      </c>
      <c r="P2345" t="s">
        <v>26</v>
      </c>
      <c r="Q2345">
        <v>443.68613678373384</v>
      </c>
      <c r="R2345">
        <f ca="1">YEAR(TODAY())-Table1[[#This Row],[Year Built]]</f>
        <v>68</v>
      </c>
      <c r="S2345" t="str">
        <f>IF(Table1[[#This Row],[Days on Market]] &lt; 30,"Fast",IF(Table1[[#This Row],[Days on Market]]&lt;= 90,"Average", "Slow"))</f>
        <v>Fast</v>
      </c>
      <c r="T2345" t="str">
        <f>IF(Table1[[#This Row],[Price2]]&lt;500000,"Affordable",IF(Table1[[#This Row],[Price2]]&lt;1000000,"Mid range","Luxury"))</f>
        <v>Luxury</v>
      </c>
    </row>
    <row r="2346" spans="1:20" x14ac:dyDescent="0.35">
      <c r="A2346" s="3">
        <v>1200264</v>
      </c>
      <c r="B2346" s="2" t="s">
        <v>34</v>
      </c>
      <c r="C2346">
        <v>39601</v>
      </c>
      <c r="D2346" s="2" t="s">
        <v>13</v>
      </c>
      <c r="E2346">
        <v>6</v>
      </c>
      <c r="F2346">
        <v>3</v>
      </c>
      <c r="G2346" s="4">
        <f>VALUE(SUBSTITUTE(SUBSTITUTE(Table1[[#This Row],[Price]],"$",""),",",""))</f>
        <v>1200264</v>
      </c>
      <c r="H2346" s="1">
        <f>Table1[[#This Row],[Price2]]/Table1[[#This Row],[Area]]</f>
        <v>480.10559999999998</v>
      </c>
      <c r="I2346">
        <v>2500</v>
      </c>
      <c r="J2346">
        <v>2021</v>
      </c>
      <c r="K2346">
        <v>90</v>
      </c>
      <c r="L2346" t="s">
        <v>30</v>
      </c>
      <c r="M2346" t="s">
        <v>976</v>
      </c>
      <c r="N2346" s="2" t="s">
        <v>3031</v>
      </c>
      <c r="O2346" t="s">
        <v>3032</v>
      </c>
      <c r="P2346" t="s">
        <v>26</v>
      </c>
      <c r="Q2346">
        <v>480.10559999999998</v>
      </c>
      <c r="R2346">
        <f ca="1">YEAR(TODAY())-Table1[[#This Row],[Year Built]]</f>
        <v>5</v>
      </c>
      <c r="S2346" t="str">
        <f>IF(Table1[[#This Row],[Days on Market]] &lt; 30,"Fast",IF(Table1[[#This Row],[Days on Market]]&lt;= 90,"Average", "Slow"))</f>
        <v>Average</v>
      </c>
      <c r="T2346" t="str">
        <f>IF(Table1[[#This Row],[Price2]]&lt;500000,"Affordable",IF(Table1[[#This Row],[Price2]]&lt;1000000,"Mid range","Luxury"))</f>
        <v>Luxury</v>
      </c>
    </row>
    <row r="2347" spans="1:20" x14ac:dyDescent="0.35">
      <c r="A2347" s="3">
        <v>1200545</v>
      </c>
      <c r="B2347" s="2" t="s">
        <v>12</v>
      </c>
      <c r="C2347">
        <v>99323</v>
      </c>
      <c r="D2347" s="2" t="s">
        <v>13</v>
      </c>
      <c r="E2347">
        <v>6</v>
      </c>
      <c r="F2347">
        <v>2</v>
      </c>
      <c r="G2347" s="4">
        <f>VALUE(SUBSTITUTE(SUBSTITUTE(Table1[[#This Row],[Price]],"$",""),",",""))</f>
        <v>1200545</v>
      </c>
      <c r="H2347" s="1">
        <f>Table1[[#This Row],[Price2]]/Table1[[#This Row],[Area]]</f>
        <v>1971.3382594417078</v>
      </c>
      <c r="I2347">
        <v>609</v>
      </c>
      <c r="J2347">
        <v>1976</v>
      </c>
      <c r="K2347">
        <v>107</v>
      </c>
      <c r="L2347" t="s">
        <v>52</v>
      </c>
      <c r="M2347" t="s">
        <v>449</v>
      </c>
      <c r="N2347" s="2" t="s">
        <v>3033</v>
      </c>
      <c r="O2347" t="s">
        <v>3034</v>
      </c>
      <c r="P2347" t="s">
        <v>16</v>
      </c>
      <c r="Q2347">
        <v>1971.3382594417078</v>
      </c>
      <c r="R2347">
        <f ca="1">YEAR(TODAY())-Table1[[#This Row],[Year Built]]</f>
        <v>50</v>
      </c>
      <c r="S2347" t="str">
        <f>IF(Table1[[#This Row],[Days on Market]] &lt; 30,"Fast",IF(Table1[[#This Row],[Days on Market]]&lt;= 90,"Average", "Slow"))</f>
        <v>Slow</v>
      </c>
      <c r="T2347" t="str">
        <f>IF(Table1[[#This Row],[Price2]]&lt;500000,"Affordable",IF(Table1[[#This Row],[Price2]]&lt;1000000,"Mid range","Luxury"))</f>
        <v>Luxury</v>
      </c>
    </row>
    <row r="2348" spans="1:20" x14ac:dyDescent="0.35">
      <c r="A2348" s="3">
        <v>1200867</v>
      </c>
      <c r="B2348" s="2" t="s">
        <v>34</v>
      </c>
      <c r="C2348">
        <v>44997</v>
      </c>
      <c r="D2348" s="2" t="s">
        <v>23</v>
      </c>
      <c r="E2348">
        <v>4</v>
      </c>
      <c r="F2348">
        <v>3</v>
      </c>
      <c r="G2348" s="4">
        <f>VALUE(SUBSTITUTE(SUBSTITUTE(Table1[[#This Row],[Price]],"$",""),",",""))</f>
        <v>1200867</v>
      </c>
      <c r="H2348" s="1">
        <f>Table1[[#This Row],[Price2]]/Table1[[#This Row],[Area]]</f>
        <v>598.63758723828516</v>
      </c>
      <c r="I2348">
        <v>2006</v>
      </c>
      <c r="J2348">
        <v>1985</v>
      </c>
      <c r="K2348">
        <v>31</v>
      </c>
      <c r="L2348" t="s">
        <v>14</v>
      </c>
      <c r="M2348" t="s">
        <v>1374</v>
      </c>
      <c r="N2348" s="2" t="s">
        <v>3031</v>
      </c>
      <c r="O2348" t="s">
        <v>3032</v>
      </c>
      <c r="P2348" t="s">
        <v>26</v>
      </c>
      <c r="Q2348">
        <v>598.63758723828516</v>
      </c>
      <c r="R2348">
        <f ca="1">YEAR(TODAY())-Table1[[#This Row],[Year Built]]</f>
        <v>41</v>
      </c>
      <c r="S2348" t="str">
        <f>IF(Table1[[#This Row],[Days on Market]] &lt; 30,"Fast",IF(Table1[[#This Row],[Days on Market]]&lt;= 90,"Average", "Slow"))</f>
        <v>Average</v>
      </c>
      <c r="T2348" t="str">
        <f>IF(Table1[[#This Row],[Price2]]&lt;500000,"Affordable",IF(Table1[[#This Row],[Price2]]&lt;1000000,"Mid range","Luxury"))</f>
        <v>Luxury</v>
      </c>
    </row>
    <row r="2349" spans="1:20" x14ac:dyDescent="0.35">
      <c r="A2349" s="3">
        <v>1201650</v>
      </c>
      <c r="B2349" s="2" t="s">
        <v>27</v>
      </c>
      <c r="C2349">
        <v>30850</v>
      </c>
      <c r="D2349" s="2" t="s">
        <v>35</v>
      </c>
      <c r="E2349">
        <v>6</v>
      </c>
      <c r="F2349">
        <v>4</v>
      </c>
      <c r="G2349" s="4">
        <f>VALUE(SUBSTITUTE(SUBSTITUTE(Table1[[#This Row],[Price]],"$",""),",",""))</f>
        <v>1201650</v>
      </c>
      <c r="H2349" s="1">
        <f>Table1[[#This Row],[Price2]]/Table1[[#This Row],[Area]]</f>
        <v>819.67939972714873</v>
      </c>
      <c r="I2349">
        <v>1466</v>
      </c>
      <c r="J2349">
        <v>1989</v>
      </c>
      <c r="K2349">
        <v>61</v>
      </c>
      <c r="L2349" t="s">
        <v>14</v>
      </c>
      <c r="M2349" t="s">
        <v>2365</v>
      </c>
      <c r="N2349" s="2" t="s">
        <v>3027</v>
      </c>
      <c r="O2349" t="s">
        <v>3028</v>
      </c>
      <c r="P2349" t="s">
        <v>26</v>
      </c>
      <c r="Q2349">
        <v>819.67939972714873</v>
      </c>
      <c r="R2349">
        <f ca="1">YEAR(TODAY())-Table1[[#This Row],[Year Built]]</f>
        <v>37</v>
      </c>
      <c r="S2349" t="str">
        <f>IF(Table1[[#This Row],[Days on Market]] &lt; 30,"Fast",IF(Table1[[#This Row],[Days on Market]]&lt;= 90,"Average", "Slow"))</f>
        <v>Average</v>
      </c>
      <c r="T2349" t="str">
        <f>IF(Table1[[#This Row],[Price2]]&lt;500000,"Affordable",IF(Table1[[#This Row],[Price2]]&lt;1000000,"Mid range","Luxury"))</f>
        <v>Luxury</v>
      </c>
    </row>
    <row r="2350" spans="1:20" x14ac:dyDescent="0.35">
      <c r="A2350" s="3">
        <v>1202180</v>
      </c>
      <c r="B2350" s="2" t="s">
        <v>17</v>
      </c>
      <c r="C2350">
        <v>86255</v>
      </c>
      <c r="D2350" s="2" t="s">
        <v>29</v>
      </c>
      <c r="E2350">
        <v>3</v>
      </c>
      <c r="F2350">
        <v>2</v>
      </c>
      <c r="G2350" s="4">
        <f>VALUE(SUBSTITUTE(SUBSTITUTE(Table1[[#This Row],[Price]],"$",""),",",""))</f>
        <v>1202180</v>
      </c>
      <c r="H2350" s="1">
        <f>Table1[[#This Row],[Price2]]/Table1[[#This Row],[Area]]</f>
        <v>748.55541718555412</v>
      </c>
      <c r="I2350">
        <v>1606</v>
      </c>
      <c r="J2350">
        <v>1970</v>
      </c>
      <c r="K2350">
        <v>38</v>
      </c>
      <c r="L2350" t="s">
        <v>52</v>
      </c>
      <c r="M2350" t="s">
        <v>2358</v>
      </c>
      <c r="N2350" s="2" t="s">
        <v>3029</v>
      </c>
      <c r="O2350" t="s">
        <v>3030</v>
      </c>
      <c r="P2350" t="s">
        <v>16</v>
      </c>
      <c r="Q2350">
        <v>748.55541718555412</v>
      </c>
      <c r="R2350">
        <f ca="1">YEAR(TODAY())-Table1[[#This Row],[Year Built]]</f>
        <v>56</v>
      </c>
      <c r="S2350" t="str">
        <f>IF(Table1[[#This Row],[Days on Market]] &lt; 30,"Fast",IF(Table1[[#This Row],[Days on Market]]&lt;= 90,"Average", "Slow"))</f>
        <v>Average</v>
      </c>
      <c r="T2350" t="str">
        <f>IF(Table1[[#This Row],[Price2]]&lt;500000,"Affordable",IF(Table1[[#This Row],[Price2]]&lt;1000000,"Mid range","Luxury"))</f>
        <v>Luxury</v>
      </c>
    </row>
    <row r="2351" spans="1:20" x14ac:dyDescent="0.35">
      <c r="A2351" s="3">
        <v>1202188</v>
      </c>
      <c r="B2351" s="2" t="s">
        <v>12</v>
      </c>
      <c r="C2351">
        <v>14862</v>
      </c>
      <c r="D2351" s="2" t="s">
        <v>13</v>
      </c>
      <c r="E2351">
        <v>1</v>
      </c>
      <c r="F2351">
        <v>1</v>
      </c>
      <c r="G2351" s="4">
        <f>VALUE(SUBSTITUTE(SUBSTITUTE(Table1[[#This Row],[Price]],"$",""),",",""))</f>
        <v>1202188</v>
      </c>
      <c r="H2351" s="1">
        <f>Table1[[#This Row],[Price2]]/Table1[[#This Row],[Area]]</f>
        <v>1245.7906735751296</v>
      </c>
      <c r="I2351">
        <v>965</v>
      </c>
      <c r="J2351">
        <v>2019</v>
      </c>
      <c r="K2351">
        <v>107</v>
      </c>
      <c r="L2351" t="s">
        <v>52</v>
      </c>
      <c r="M2351" t="s">
        <v>2050</v>
      </c>
      <c r="N2351" s="2" t="s">
        <v>3033</v>
      </c>
      <c r="O2351" t="s">
        <v>3034</v>
      </c>
      <c r="P2351" t="s">
        <v>26</v>
      </c>
      <c r="Q2351">
        <v>1245.7906735751296</v>
      </c>
      <c r="R2351">
        <f ca="1">YEAR(TODAY())-Table1[[#This Row],[Year Built]]</f>
        <v>7</v>
      </c>
      <c r="S2351" t="str">
        <f>IF(Table1[[#This Row],[Days on Market]] &lt; 30,"Fast",IF(Table1[[#This Row],[Days on Market]]&lt;= 90,"Average", "Slow"))</f>
        <v>Slow</v>
      </c>
      <c r="T2351" t="str">
        <f>IF(Table1[[#This Row],[Price2]]&lt;500000,"Affordable",IF(Table1[[#This Row],[Price2]]&lt;1000000,"Mid range","Luxury"))</f>
        <v>Luxury</v>
      </c>
    </row>
    <row r="2352" spans="1:20" x14ac:dyDescent="0.35">
      <c r="A2352" s="3">
        <v>1202747</v>
      </c>
      <c r="B2352" s="2" t="s">
        <v>12</v>
      </c>
      <c r="C2352">
        <v>87696</v>
      </c>
      <c r="D2352" s="2" t="s">
        <v>29</v>
      </c>
      <c r="E2352">
        <v>2</v>
      </c>
      <c r="F2352">
        <v>3</v>
      </c>
      <c r="G2352" s="4">
        <f>VALUE(SUBSTITUTE(SUBSTITUTE(Table1[[#This Row],[Price]],"$",""),",",""))</f>
        <v>1202747</v>
      </c>
      <c r="H2352" s="1">
        <f>Table1[[#This Row],[Price2]]/Table1[[#This Row],[Area]]</f>
        <v>1421.6867612293145</v>
      </c>
      <c r="I2352">
        <v>846</v>
      </c>
      <c r="J2352">
        <v>1957</v>
      </c>
      <c r="K2352">
        <v>38</v>
      </c>
      <c r="L2352" t="s">
        <v>52</v>
      </c>
      <c r="M2352" t="s">
        <v>1114</v>
      </c>
      <c r="N2352" s="2" t="s">
        <v>3033</v>
      </c>
      <c r="O2352" t="s">
        <v>3034</v>
      </c>
      <c r="P2352" t="s">
        <v>26</v>
      </c>
      <c r="Q2352">
        <v>1421.6867612293145</v>
      </c>
      <c r="R2352">
        <f ca="1">YEAR(TODAY())-Table1[[#This Row],[Year Built]]</f>
        <v>69</v>
      </c>
      <c r="S2352" t="str">
        <f>IF(Table1[[#This Row],[Days on Market]] &lt; 30,"Fast",IF(Table1[[#This Row],[Days on Market]]&lt;= 90,"Average", "Slow"))</f>
        <v>Average</v>
      </c>
      <c r="T2352" t="str">
        <f>IF(Table1[[#This Row],[Price2]]&lt;500000,"Affordable",IF(Table1[[#This Row],[Price2]]&lt;1000000,"Mid range","Luxury"))</f>
        <v>Luxury</v>
      </c>
    </row>
    <row r="2353" spans="1:20" x14ac:dyDescent="0.35">
      <c r="A2353" s="3">
        <v>1203382</v>
      </c>
      <c r="B2353" s="2" t="s">
        <v>22</v>
      </c>
      <c r="C2353">
        <v>88829</v>
      </c>
      <c r="D2353" s="2" t="s">
        <v>13</v>
      </c>
      <c r="E2353">
        <v>2</v>
      </c>
      <c r="F2353">
        <v>3</v>
      </c>
      <c r="G2353" s="4">
        <f>VALUE(SUBSTITUTE(SUBSTITUTE(Table1[[#This Row],[Price]],"$",""),",",""))</f>
        <v>1203382</v>
      </c>
      <c r="H2353" s="1">
        <f>Table1[[#This Row],[Price2]]/Table1[[#This Row],[Area]]</f>
        <v>1027.6532877882153</v>
      </c>
      <c r="I2353">
        <v>1171</v>
      </c>
      <c r="J2353">
        <v>2010</v>
      </c>
      <c r="K2353">
        <v>53</v>
      </c>
      <c r="L2353" t="s">
        <v>40</v>
      </c>
      <c r="M2353" t="s">
        <v>1193</v>
      </c>
      <c r="N2353" s="2" t="s">
        <v>3031</v>
      </c>
      <c r="O2353" t="s">
        <v>3032</v>
      </c>
      <c r="P2353" t="s">
        <v>16</v>
      </c>
      <c r="Q2353">
        <v>1027.6532877882153</v>
      </c>
      <c r="R2353">
        <f ca="1">YEAR(TODAY())-Table1[[#This Row],[Year Built]]</f>
        <v>16</v>
      </c>
      <c r="S2353" t="str">
        <f>IF(Table1[[#This Row],[Days on Market]] &lt; 30,"Fast",IF(Table1[[#This Row],[Days on Market]]&lt;= 90,"Average", "Slow"))</f>
        <v>Average</v>
      </c>
      <c r="T2353" t="str">
        <f>IF(Table1[[#This Row],[Price2]]&lt;500000,"Affordable",IF(Table1[[#This Row],[Price2]]&lt;1000000,"Mid range","Luxury"))</f>
        <v>Luxury</v>
      </c>
    </row>
    <row r="2354" spans="1:20" x14ac:dyDescent="0.35">
      <c r="A2354" s="3">
        <v>1203446</v>
      </c>
      <c r="B2354" s="2" t="s">
        <v>22</v>
      </c>
      <c r="C2354">
        <v>98024</v>
      </c>
      <c r="D2354" s="2" t="s">
        <v>35</v>
      </c>
      <c r="E2354">
        <v>4</v>
      </c>
      <c r="F2354">
        <v>1</v>
      </c>
      <c r="G2354" s="4">
        <f>VALUE(SUBSTITUTE(SUBSTITUTE(Table1[[#This Row],[Price]],"$",""),",",""))</f>
        <v>1203446</v>
      </c>
      <c r="H2354" s="1">
        <f>Table1[[#This Row],[Price2]]/Table1[[#This Row],[Area]]</f>
        <v>806.05894172806427</v>
      </c>
      <c r="I2354">
        <v>1493</v>
      </c>
      <c r="J2354">
        <v>2015</v>
      </c>
      <c r="K2354">
        <v>91</v>
      </c>
      <c r="L2354" t="s">
        <v>52</v>
      </c>
      <c r="M2354" t="s">
        <v>707</v>
      </c>
      <c r="N2354" s="2" t="s">
        <v>3029</v>
      </c>
      <c r="O2354" t="s">
        <v>3030</v>
      </c>
      <c r="P2354" t="s">
        <v>21</v>
      </c>
      <c r="Q2354">
        <v>806.05894172806427</v>
      </c>
      <c r="R2354">
        <f ca="1">YEAR(TODAY())-Table1[[#This Row],[Year Built]]</f>
        <v>11</v>
      </c>
      <c r="S2354" t="str">
        <f>IF(Table1[[#This Row],[Days on Market]] &lt; 30,"Fast",IF(Table1[[#This Row],[Days on Market]]&lt;= 90,"Average", "Slow"))</f>
        <v>Slow</v>
      </c>
      <c r="T2354" t="str">
        <f>IF(Table1[[#This Row],[Price2]]&lt;500000,"Affordable",IF(Table1[[#This Row],[Price2]]&lt;1000000,"Mid range","Luxury"))</f>
        <v>Luxury</v>
      </c>
    </row>
    <row r="2355" spans="1:20" x14ac:dyDescent="0.35">
      <c r="A2355" s="3">
        <v>1203558</v>
      </c>
      <c r="B2355" s="2" t="s">
        <v>34</v>
      </c>
      <c r="C2355">
        <v>49017</v>
      </c>
      <c r="D2355" s="2" t="s">
        <v>13</v>
      </c>
      <c r="E2355">
        <v>5</v>
      </c>
      <c r="F2355">
        <v>1</v>
      </c>
      <c r="G2355" s="4">
        <f>VALUE(SUBSTITUTE(SUBSTITUTE(Table1[[#This Row],[Price]],"$",""),",",""))</f>
        <v>1203558</v>
      </c>
      <c r="H2355" s="1">
        <f>Table1[[#This Row],[Price2]]/Table1[[#This Row],[Area]]</f>
        <v>744.31539888682744</v>
      </c>
      <c r="I2355">
        <v>1617</v>
      </c>
      <c r="J2355">
        <v>2007</v>
      </c>
      <c r="K2355">
        <v>70</v>
      </c>
      <c r="L2355" t="s">
        <v>19</v>
      </c>
      <c r="M2355" t="s">
        <v>1659</v>
      </c>
      <c r="N2355" s="2" t="s">
        <v>3035</v>
      </c>
      <c r="O2355" t="s">
        <v>3036</v>
      </c>
      <c r="P2355" t="s">
        <v>26</v>
      </c>
      <c r="Q2355">
        <v>744.31539888682744</v>
      </c>
      <c r="R2355">
        <f ca="1">YEAR(TODAY())-Table1[[#This Row],[Year Built]]</f>
        <v>19</v>
      </c>
      <c r="S2355" t="str">
        <f>IF(Table1[[#This Row],[Days on Market]] &lt; 30,"Fast",IF(Table1[[#This Row],[Days on Market]]&lt;= 90,"Average", "Slow"))</f>
        <v>Average</v>
      </c>
      <c r="T2355" t="str">
        <f>IF(Table1[[#This Row],[Price2]]&lt;500000,"Affordable",IF(Table1[[#This Row],[Price2]]&lt;1000000,"Mid range","Luxury"))</f>
        <v>Luxury</v>
      </c>
    </row>
    <row r="2356" spans="1:20" x14ac:dyDescent="0.35">
      <c r="A2356" s="3">
        <v>1204990</v>
      </c>
      <c r="B2356" s="2" t="s">
        <v>34</v>
      </c>
      <c r="C2356">
        <v>10943</v>
      </c>
      <c r="D2356" s="2" t="s">
        <v>13</v>
      </c>
      <c r="E2356">
        <v>3</v>
      </c>
      <c r="F2356">
        <v>1</v>
      </c>
      <c r="G2356" s="4">
        <f>VALUE(SUBSTITUTE(SUBSTITUTE(Table1[[#This Row],[Price]],"$",""),",",""))</f>
        <v>1204990</v>
      </c>
      <c r="H2356" s="1">
        <f>Table1[[#This Row],[Price2]]/Table1[[#This Row],[Area]]</f>
        <v>432.67145421903052</v>
      </c>
      <c r="I2356">
        <v>2785</v>
      </c>
      <c r="J2356">
        <v>2009</v>
      </c>
      <c r="K2356">
        <v>47</v>
      </c>
      <c r="L2356" t="s">
        <v>19</v>
      </c>
      <c r="M2356" t="s">
        <v>179</v>
      </c>
      <c r="N2356" s="2" t="s">
        <v>3035</v>
      </c>
      <c r="O2356" t="s">
        <v>3036</v>
      </c>
      <c r="P2356" t="s">
        <v>21</v>
      </c>
      <c r="Q2356">
        <v>432.67145421903052</v>
      </c>
      <c r="R2356">
        <f ca="1">YEAR(TODAY())-Table1[[#This Row],[Year Built]]</f>
        <v>17</v>
      </c>
      <c r="S2356" t="str">
        <f>IF(Table1[[#This Row],[Days on Market]] &lt; 30,"Fast",IF(Table1[[#This Row],[Days on Market]]&lt;= 90,"Average", "Slow"))</f>
        <v>Average</v>
      </c>
      <c r="T2356" t="str">
        <f>IF(Table1[[#This Row],[Price2]]&lt;500000,"Affordable",IF(Table1[[#This Row],[Price2]]&lt;1000000,"Mid range","Luxury"))</f>
        <v>Luxury</v>
      </c>
    </row>
    <row r="2357" spans="1:20" x14ac:dyDescent="0.35">
      <c r="A2357" s="3">
        <v>1205338</v>
      </c>
      <c r="B2357" s="2" t="s">
        <v>22</v>
      </c>
      <c r="C2357">
        <v>90006</v>
      </c>
      <c r="D2357" s="2" t="s">
        <v>35</v>
      </c>
      <c r="E2357">
        <v>6</v>
      </c>
      <c r="F2357">
        <v>4</v>
      </c>
      <c r="G2357" s="4">
        <f>VALUE(SUBSTITUTE(SUBSTITUTE(Table1[[#This Row],[Price]],"$",""),",",""))</f>
        <v>1205338</v>
      </c>
      <c r="H2357" s="1">
        <f>Table1[[#This Row],[Price2]]/Table1[[#This Row],[Area]]</f>
        <v>320.31304809992025</v>
      </c>
      <c r="I2357">
        <v>3763</v>
      </c>
      <c r="J2357">
        <v>1990</v>
      </c>
      <c r="K2357">
        <v>68</v>
      </c>
      <c r="L2357" t="s">
        <v>14</v>
      </c>
      <c r="M2357" t="s">
        <v>209</v>
      </c>
      <c r="N2357" s="2" t="s">
        <v>3031</v>
      </c>
      <c r="O2357" t="s">
        <v>3032</v>
      </c>
      <c r="P2357" t="s">
        <v>16</v>
      </c>
      <c r="Q2357">
        <v>320.31304809992025</v>
      </c>
      <c r="R2357">
        <f ca="1">YEAR(TODAY())-Table1[[#This Row],[Year Built]]</f>
        <v>36</v>
      </c>
      <c r="S2357" t="str">
        <f>IF(Table1[[#This Row],[Days on Market]] &lt; 30,"Fast",IF(Table1[[#This Row],[Days on Market]]&lt;= 90,"Average", "Slow"))</f>
        <v>Average</v>
      </c>
      <c r="T2357" t="str">
        <f>IF(Table1[[#This Row],[Price2]]&lt;500000,"Affordable",IF(Table1[[#This Row],[Price2]]&lt;1000000,"Mid range","Luxury"))</f>
        <v>Luxury</v>
      </c>
    </row>
    <row r="2358" spans="1:20" x14ac:dyDescent="0.35">
      <c r="A2358" s="3">
        <v>1206928</v>
      </c>
      <c r="B2358" s="2" t="s">
        <v>22</v>
      </c>
      <c r="C2358">
        <v>45005</v>
      </c>
      <c r="D2358" s="2" t="s">
        <v>23</v>
      </c>
      <c r="E2358">
        <v>4</v>
      </c>
      <c r="F2358">
        <v>1</v>
      </c>
      <c r="G2358" s="4">
        <f>VALUE(SUBSTITUTE(SUBSTITUTE(Table1[[#This Row],[Price]],"$",""),",",""))</f>
        <v>1206928</v>
      </c>
      <c r="H2358" s="1">
        <f>Table1[[#This Row],[Price2]]/Table1[[#This Row],[Area]]</f>
        <v>633.22560335781736</v>
      </c>
      <c r="I2358">
        <v>1906</v>
      </c>
      <c r="J2358">
        <v>1995</v>
      </c>
      <c r="K2358">
        <v>96</v>
      </c>
      <c r="L2358" t="s">
        <v>14</v>
      </c>
      <c r="M2358" t="s">
        <v>751</v>
      </c>
      <c r="N2358" s="2" t="s">
        <v>3031</v>
      </c>
      <c r="O2358" t="s">
        <v>3032</v>
      </c>
      <c r="P2358" t="s">
        <v>21</v>
      </c>
      <c r="Q2358">
        <v>633.22560335781736</v>
      </c>
      <c r="R2358">
        <f ca="1">YEAR(TODAY())-Table1[[#This Row],[Year Built]]</f>
        <v>31</v>
      </c>
      <c r="S2358" t="str">
        <f>IF(Table1[[#This Row],[Days on Market]] &lt; 30,"Fast",IF(Table1[[#This Row],[Days on Market]]&lt;= 90,"Average", "Slow"))</f>
        <v>Slow</v>
      </c>
      <c r="T2358" t="str">
        <f>IF(Table1[[#This Row],[Price2]]&lt;500000,"Affordable",IF(Table1[[#This Row],[Price2]]&lt;1000000,"Mid range","Luxury"))</f>
        <v>Luxury</v>
      </c>
    </row>
    <row r="2359" spans="1:20" x14ac:dyDescent="0.35">
      <c r="A2359" s="3">
        <v>1206970</v>
      </c>
      <c r="B2359" s="2" t="s">
        <v>22</v>
      </c>
      <c r="C2359">
        <v>76728</v>
      </c>
      <c r="D2359" s="2" t="s">
        <v>18</v>
      </c>
      <c r="E2359">
        <v>4</v>
      </c>
      <c r="F2359">
        <v>2</v>
      </c>
      <c r="G2359" s="4">
        <f>VALUE(SUBSTITUTE(SUBSTITUTE(Table1[[#This Row],[Price]],"$",""),",",""))</f>
        <v>1206970</v>
      </c>
      <c r="H2359" s="1">
        <f>Table1[[#This Row],[Price2]]/Table1[[#This Row],[Area]]</f>
        <v>363.32630945213725</v>
      </c>
      <c r="I2359">
        <v>3322</v>
      </c>
      <c r="J2359">
        <v>2011</v>
      </c>
      <c r="K2359">
        <v>26</v>
      </c>
      <c r="L2359" t="s">
        <v>30</v>
      </c>
      <c r="M2359" t="s">
        <v>456</v>
      </c>
      <c r="N2359" s="2" t="s">
        <v>3033</v>
      </c>
      <c r="O2359" t="s">
        <v>3034</v>
      </c>
      <c r="P2359" t="s">
        <v>16</v>
      </c>
      <c r="Q2359">
        <v>363.32630945213725</v>
      </c>
      <c r="R2359">
        <f ca="1">YEAR(TODAY())-Table1[[#This Row],[Year Built]]</f>
        <v>15</v>
      </c>
      <c r="S2359" t="str">
        <f>IF(Table1[[#This Row],[Days on Market]] &lt; 30,"Fast",IF(Table1[[#This Row],[Days on Market]]&lt;= 90,"Average", "Slow"))</f>
        <v>Fast</v>
      </c>
      <c r="T2359" t="str">
        <f>IF(Table1[[#This Row],[Price2]]&lt;500000,"Affordable",IF(Table1[[#This Row],[Price2]]&lt;1000000,"Mid range","Luxury"))</f>
        <v>Luxury</v>
      </c>
    </row>
    <row r="2360" spans="1:20" x14ac:dyDescent="0.35">
      <c r="A2360" s="3">
        <v>1207235</v>
      </c>
      <c r="B2360" s="2" t="s">
        <v>17</v>
      </c>
      <c r="C2360">
        <v>82632</v>
      </c>
      <c r="D2360" s="2" t="s">
        <v>18</v>
      </c>
      <c r="E2360">
        <v>4</v>
      </c>
      <c r="F2360">
        <v>2</v>
      </c>
      <c r="G2360" s="4">
        <f>VALUE(SUBSTITUTE(SUBSTITUTE(Table1[[#This Row],[Price]],"$",""),",",""))</f>
        <v>1207235</v>
      </c>
      <c r="H2360" s="1">
        <f>Table1[[#This Row],[Price2]]/Table1[[#This Row],[Area]]</f>
        <v>691.8252148997135</v>
      </c>
      <c r="I2360">
        <v>1745</v>
      </c>
      <c r="J2360">
        <v>1958</v>
      </c>
      <c r="K2360">
        <v>9</v>
      </c>
      <c r="L2360" t="s">
        <v>14</v>
      </c>
      <c r="M2360" t="s">
        <v>1684</v>
      </c>
      <c r="N2360" s="2" t="s">
        <v>3031</v>
      </c>
      <c r="O2360" t="s">
        <v>3032</v>
      </c>
      <c r="P2360" t="s">
        <v>26</v>
      </c>
      <c r="Q2360">
        <v>691.8252148997135</v>
      </c>
      <c r="R2360">
        <f ca="1">YEAR(TODAY())-Table1[[#This Row],[Year Built]]</f>
        <v>68</v>
      </c>
      <c r="S2360" t="str">
        <f>IF(Table1[[#This Row],[Days on Market]] &lt; 30,"Fast",IF(Table1[[#This Row],[Days on Market]]&lt;= 90,"Average", "Slow"))</f>
        <v>Fast</v>
      </c>
      <c r="T2360" t="str">
        <f>IF(Table1[[#This Row],[Price2]]&lt;500000,"Affordable",IF(Table1[[#This Row],[Price2]]&lt;1000000,"Mid range","Luxury"))</f>
        <v>Luxury</v>
      </c>
    </row>
    <row r="2361" spans="1:20" x14ac:dyDescent="0.35">
      <c r="A2361" s="3">
        <v>1207523</v>
      </c>
      <c r="B2361" s="2" t="s">
        <v>17</v>
      </c>
      <c r="C2361">
        <v>50553</v>
      </c>
      <c r="D2361" s="2" t="s">
        <v>29</v>
      </c>
      <c r="E2361">
        <v>1</v>
      </c>
      <c r="F2361">
        <v>4</v>
      </c>
      <c r="G2361" s="4">
        <f>VALUE(SUBSTITUTE(SUBSTITUTE(Table1[[#This Row],[Price]],"$",""),",",""))</f>
        <v>1207523</v>
      </c>
      <c r="H2361" s="1">
        <f>Table1[[#This Row],[Price2]]/Table1[[#This Row],[Area]]</f>
        <v>421.76842472930491</v>
      </c>
      <c r="I2361">
        <v>2863</v>
      </c>
      <c r="J2361">
        <v>1958</v>
      </c>
      <c r="K2361">
        <v>15</v>
      </c>
      <c r="L2361" t="s">
        <v>30</v>
      </c>
      <c r="M2361" t="s">
        <v>2346</v>
      </c>
      <c r="N2361" s="2" t="s">
        <v>3029</v>
      </c>
      <c r="O2361" t="s">
        <v>3030</v>
      </c>
      <c r="P2361" t="s">
        <v>26</v>
      </c>
      <c r="Q2361">
        <v>421.76842472930491</v>
      </c>
      <c r="R2361">
        <f ca="1">YEAR(TODAY())-Table1[[#This Row],[Year Built]]</f>
        <v>68</v>
      </c>
      <c r="S2361" t="str">
        <f>IF(Table1[[#This Row],[Days on Market]] &lt; 30,"Fast",IF(Table1[[#This Row],[Days on Market]]&lt;= 90,"Average", "Slow"))</f>
        <v>Fast</v>
      </c>
      <c r="T2361" t="str">
        <f>IF(Table1[[#This Row],[Price2]]&lt;500000,"Affordable",IF(Table1[[#This Row],[Price2]]&lt;1000000,"Mid range","Luxury"))</f>
        <v>Luxury</v>
      </c>
    </row>
    <row r="2362" spans="1:20" x14ac:dyDescent="0.35">
      <c r="A2362" s="3">
        <v>1207592</v>
      </c>
      <c r="B2362" s="2" t="s">
        <v>34</v>
      </c>
      <c r="C2362">
        <v>12658</v>
      </c>
      <c r="D2362" s="2" t="s">
        <v>13</v>
      </c>
      <c r="E2362">
        <v>1</v>
      </c>
      <c r="F2362">
        <v>2</v>
      </c>
      <c r="G2362" s="4">
        <f>VALUE(SUBSTITUTE(SUBSTITUTE(Table1[[#This Row],[Price]],"$",""),",",""))</f>
        <v>1207592</v>
      </c>
      <c r="H2362" s="1">
        <f>Table1[[#This Row],[Price2]]/Table1[[#This Row],[Area]]</f>
        <v>1120.2152133580705</v>
      </c>
      <c r="I2362">
        <v>1078</v>
      </c>
      <c r="J2362">
        <v>2021</v>
      </c>
      <c r="K2362">
        <v>82</v>
      </c>
      <c r="L2362" t="s">
        <v>52</v>
      </c>
      <c r="M2362" t="s">
        <v>1988</v>
      </c>
      <c r="N2362" s="2" t="s">
        <v>3029</v>
      </c>
      <c r="O2362" t="s">
        <v>3030</v>
      </c>
      <c r="P2362" t="s">
        <v>26</v>
      </c>
      <c r="Q2362">
        <v>1120.2152133580705</v>
      </c>
      <c r="R2362">
        <f ca="1">YEAR(TODAY())-Table1[[#This Row],[Year Built]]</f>
        <v>5</v>
      </c>
      <c r="S2362" t="str">
        <f>IF(Table1[[#This Row],[Days on Market]] &lt; 30,"Fast",IF(Table1[[#This Row],[Days on Market]]&lt;= 90,"Average", "Slow"))</f>
        <v>Average</v>
      </c>
      <c r="T2362" t="str">
        <f>IF(Table1[[#This Row],[Price2]]&lt;500000,"Affordable",IF(Table1[[#This Row],[Price2]]&lt;1000000,"Mid range","Luxury"))</f>
        <v>Luxury</v>
      </c>
    </row>
    <row r="2363" spans="1:20" x14ac:dyDescent="0.35">
      <c r="A2363" s="3">
        <v>1208371</v>
      </c>
      <c r="B2363" s="2" t="s">
        <v>17</v>
      </c>
      <c r="C2363">
        <v>60086</v>
      </c>
      <c r="D2363" s="2" t="s">
        <v>18</v>
      </c>
      <c r="E2363">
        <v>3</v>
      </c>
      <c r="F2363">
        <v>1</v>
      </c>
      <c r="G2363" s="4">
        <f>VALUE(SUBSTITUTE(SUBSTITUTE(Table1[[#This Row],[Price]],"$",""),",",""))</f>
        <v>1208371</v>
      </c>
      <c r="H2363" s="1">
        <f>Table1[[#This Row],[Price2]]/Table1[[#This Row],[Area]]</f>
        <v>1380.9954285714286</v>
      </c>
      <c r="I2363">
        <v>875</v>
      </c>
      <c r="J2363">
        <v>1996</v>
      </c>
      <c r="K2363">
        <v>46</v>
      </c>
      <c r="L2363" t="s">
        <v>14</v>
      </c>
      <c r="M2363" t="s">
        <v>1216</v>
      </c>
      <c r="N2363" s="2" t="s">
        <v>3033</v>
      </c>
      <c r="O2363" t="s">
        <v>3034</v>
      </c>
      <c r="P2363" t="s">
        <v>26</v>
      </c>
      <c r="Q2363">
        <v>1380.9954285714286</v>
      </c>
      <c r="R2363">
        <f ca="1">YEAR(TODAY())-Table1[[#This Row],[Year Built]]</f>
        <v>30</v>
      </c>
      <c r="S2363" t="str">
        <f>IF(Table1[[#This Row],[Days on Market]] &lt; 30,"Fast",IF(Table1[[#This Row],[Days on Market]]&lt;= 90,"Average", "Slow"))</f>
        <v>Average</v>
      </c>
      <c r="T2363" t="str">
        <f>IF(Table1[[#This Row],[Price2]]&lt;500000,"Affordable",IF(Table1[[#This Row],[Price2]]&lt;1000000,"Mid range","Luxury"))</f>
        <v>Luxury</v>
      </c>
    </row>
    <row r="2364" spans="1:20" x14ac:dyDescent="0.35">
      <c r="A2364" s="3">
        <v>1208739</v>
      </c>
      <c r="B2364" s="2" t="s">
        <v>22</v>
      </c>
      <c r="C2364">
        <v>33180</v>
      </c>
      <c r="D2364" s="2" t="s">
        <v>13</v>
      </c>
      <c r="E2364">
        <v>4</v>
      </c>
      <c r="F2364">
        <v>4</v>
      </c>
      <c r="G2364" s="4">
        <f>VALUE(SUBSTITUTE(SUBSTITUTE(Table1[[#This Row],[Price]],"$",""),",",""))</f>
        <v>1208739</v>
      </c>
      <c r="H2364" s="1">
        <f>Table1[[#This Row],[Price2]]/Table1[[#This Row],[Area]]</f>
        <v>606.4922227797291</v>
      </c>
      <c r="I2364">
        <v>1993</v>
      </c>
      <c r="J2364">
        <v>2007</v>
      </c>
      <c r="K2364">
        <v>105</v>
      </c>
      <c r="L2364" t="s">
        <v>19</v>
      </c>
      <c r="M2364" t="s">
        <v>2520</v>
      </c>
      <c r="N2364" s="2" t="s">
        <v>3033</v>
      </c>
      <c r="O2364" t="s">
        <v>3034</v>
      </c>
      <c r="P2364" t="s">
        <v>26</v>
      </c>
      <c r="Q2364">
        <v>606.4922227797291</v>
      </c>
      <c r="R2364">
        <f ca="1">YEAR(TODAY())-Table1[[#This Row],[Year Built]]</f>
        <v>19</v>
      </c>
      <c r="S2364" t="str">
        <f>IF(Table1[[#This Row],[Days on Market]] &lt; 30,"Fast",IF(Table1[[#This Row],[Days on Market]]&lt;= 90,"Average", "Slow"))</f>
        <v>Slow</v>
      </c>
      <c r="T2364" t="str">
        <f>IF(Table1[[#This Row],[Price2]]&lt;500000,"Affordable",IF(Table1[[#This Row],[Price2]]&lt;1000000,"Mid range","Luxury"))</f>
        <v>Luxury</v>
      </c>
    </row>
    <row r="2365" spans="1:20" x14ac:dyDescent="0.35">
      <c r="A2365" s="3">
        <v>1208849</v>
      </c>
      <c r="B2365" s="2" t="s">
        <v>17</v>
      </c>
      <c r="C2365">
        <v>64153</v>
      </c>
      <c r="D2365" s="2" t="s">
        <v>35</v>
      </c>
      <c r="E2365">
        <v>6</v>
      </c>
      <c r="F2365">
        <v>3</v>
      </c>
      <c r="G2365" s="4">
        <f>VALUE(SUBSTITUTE(SUBSTITUTE(Table1[[#This Row],[Price]],"$",""),",",""))</f>
        <v>1208849</v>
      </c>
      <c r="H2365" s="1">
        <f>Table1[[#This Row],[Price2]]/Table1[[#This Row],[Area]]</f>
        <v>369.67859327217127</v>
      </c>
      <c r="I2365">
        <v>3270</v>
      </c>
      <c r="J2365">
        <v>1953</v>
      </c>
      <c r="K2365">
        <v>52</v>
      </c>
      <c r="L2365" t="s">
        <v>30</v>
      </c>
      <c r="M2365" t="s">
        <v>909</v>
      </c>
      <c r="N2365" s="2" t="s">
        <v>3031</v>
      </c>
      <c r="O2365" t="s">
        <v>3032</v>
      </c>
      <c r="P2365" t="s">
        <v>16</v>
      </c>
      <c r="Q2365">
        <v>369.67859327217127</v>
      </c>
      <c r="R2365">
        <f ca="1">YEAR(TODAY())-Table1[[#This Row],[Year Built]]</f>
        <v>73</v>
      </c>
      <c r="S2365" t="str">
        <f>IF(Table1[[#This Row],[Days on Market]] &lt; 30,"Fast",IF(Table1[[#This Row],[Days on Market]]&lt;= 90,"Average", "Slow"))</f>
        <v>Average</v>
      </c>
      <c r="T2365" t="str">
        <f>IF(Table1[[#This Row],[Price2]]&lt;500000,"Affordable",IF(Table1[[#This Row],[Price2]]&lt;1000000,"Mid range","Luxury"))</f>
        <v>Luxury</v>
      </c>
    </row>
    <row r="2366" spans="1:20" x14ac:dyDescent="0.35">
      <c r="A2366" s="3">
        <v>1209445</v>
      </c>
      <c r="B2366" s="2" t="s">
        <v>22</v>
      </c>
      <c r="C2366">
        <v>16246</v>
      </c>
      <c r="D2366" s="2" t="s">
        <v>29</v>
      </c>
      <c r="E2366">
        <v>1</v>
      </c>
      <c r="F2366">
        <v>1</v>
      </c>
      <c r="G2366" s="4">
        <f>VALUE(SUBSTITUTE(SUBSTITUTE(Table1[[#This Row],[Price]],"$",""),",",""))</f>
        <v>1209445</v>
      </c>
      <c r="H2366" s="1">
        <f>Table1[[#This Row],[Price2]]/Table1[[#This Row],[Area]]</f>
        <v>418.78289473684208</v>
      </c>
      <c r="I2366">
        <v>2888</v>
      </c>
      <c r="J2366">
        <v>1950</v>
      </c>
      <c r="K2366">
        <v>79</v>
      </c>
      <c r="L2366" t="s">
        <v>14</v>
      </c>
      <c r="M2366" t="s">
        <v>1997</v>
      </c>
      <c r="N2366" s="2" t="s">
        <v>3035</v>
      </c>
      <c r="O2366" t="s">
        <v>3036</v>
      </c>
      <c r="P2366" t="s">
        <v>21</v>
      </c>
      <c r="Q2366">
        <v>418.78289473684208</v>
      </c>
      <c r="R2366">
        <f ca="1">YEAR(TODAY())-Table1[[#This Row],[Year Built]]</f>
        <v>76</v>
      </c>
      <c r="S2366" t="str">
        <f>IF(Table1[[#This Row],[Days on Market]] &lt; 30,"Fast",IF(Table1[[#This Row],[Days on Market]]&lt;= 90,"Average", "Slow"))</f>
        <v>Average</v>
      </c>
      <c r="T2366" t="str">
        <f>IF(Table1[[#This Row],[Price2]]&lt;500000,"Affordable",IF(Table1[[#This Row],[Price2]]&lt;1000000,"Mid range","Luxury"))</f>
        <v>Luxury</v>
      </c>
    </row>
    <row r="2367" spans="1:20" x14ac:dyDescent="0.35">
      <c r="A2367" s="3">
        <v>1209671</v>
      </c>
      <c r="B2367" s="2" t="s">
        <v>22</v>
      </c>
      <c r="C2367">
        <v>85240</v>
      </c>
      <c r="D2367" s="2" t="s">
        <v>35</v>
      </c>
      <c r="E2367">
        <v>4</v>
      </c>
      <c r="F2367">
        <v>3</v>
      </c>
      <c r="G2367" s="4">
        <f>VALUE(SUBSTITUTE(SUBSTITUTE(Table1[[#This Row],[Price]],"$",""),",",""))</f>
        <v>1209671</v>
      </c>
      <c r="H2367" s="1">
        <f>Table1[[#This Row],[Price2]]/Table1[[#This Row],[Area]]</f>
        <v>393.51691607026675</v>
      </c>
      <c r="I2367">
        <v>3074</v>
      </c>
      <c r="J2367">
        <v>2015</v>
      </c>
      <c r="K2367">
        <v>84</v>
      </c>
      <c r="L2367" t="s">
        <v>30</v>
      </c>
      <c r="M2367" t="s">
        <v>2381</v>
      </c>
      <c r="N2367" s="2" t="s">
        <v>3033</v>
      </c>
      <c r="O2367" t="s">
        <v>3034</v>
      </c>
      <c r="P2367" t="s">
        <v>26</v>
      </c>
      <c r="Q2367">
        <v>393.51691607026675</v>
      </c>
      <c r="R2367">
        <f ca="1">YEAR(TODAY())-Table1[[#This Row],[Year Built]]</f>
        <v>11</v>
      </c>
      <c r="S2367" t="str">
        <f>IF(Table1[[#This Row],[Days on Market]] &lt; 30,"Fast",IF(Table1[[#This Row],[Days on Market]]&lt;= 90,"Average", "Slow"))</f>
        <v>Average</v>
      </c>
      <c r="T2367" t="str">
        <f>IF(Table1[[#This Row],[Price2]]&lt;500000,"Affordable",IF(Table1[[#This Row],[Price2]]&lt;1000000,"Mid range","Luxury"))</f>
        <v>Luxury</v>
      </c>
    </row>
    <row r="2368" spans="1:20" x14ac:dyDescent="0.35">
      <c r="A2368" s="3">
        <v>1209761</v>
      </c>
      <c r="B2368" s="2" t="s">
        <v>27</v>
      </c>
      <c r="C2368">
        <v>11524</v>
      </c>
      <c r="D2368" s="2" t="s">
        <v>18</v>
      </c>
      <c r="E2368">
        <v>3</v>
      </c>
      <c r="F2368">
        <v>2</v>
      </c>
      <c r="G2368" s="4">
        <f>VALUE(SUBSTITUTE(SUBSTITUTE(Table1[[#This Row],[Price]],"$",""),",",""))</f>
        <v>1209761</v>
      </c>
      <c r="H2368" s="1">
        <f>Table1[[#This Row],[Price2]]/Table1[[#This Row],[Area]]</f>
        <v>313.65335753176043</v>
      </c>
      <c r="I2368">
        <v>3857</v>
      </c>
      <c r="J2368">
        <v>1981</v>
      </c>
      <c r="K2368">
        <v>71</v>
      </c>
      <c r="L2368" t="s">
        <v>19</v>
      </c>
      <c r="M2368" t="s">
        <v>1325</v>
      </c>
      <c r="N2368" s="2" t="s">
        <v>3031</v>
      </c>
      <c r="O2368" t="s">
        <v>3032</v>
      </c>
      <c r="P2368" t="s">
        <v>16</v>
      </c>
      <c r="Q2368">
        <v>313.65335753176043</v>
      </c>
      <c r="R2368">
        <f ca="1">YEAR(TODAY())-Table1[[#This Row],[Year Built]]</f>
        <v>45</v>
      </c>
      <c r="S2368" t="str">
        <f>IF(Table1[[#This Row],[Days on Market]] &lt; 30,"Fast",IF(Table1[[#This Row],[Days on Market]]&lt;= 90,"Average", "Slow"))</f>
        <v>Average</v>
      </c>
      <c r="T2368" t="str">
        <f>IF(Table1[[#This Row],[Price2]]&lt;500000,"Affordable",IF(Table1[[#This Row],[Price2]]&lt;1000000,"Mid range","Luxury"))</f>
        <v>Luxury</v>
      </c>
    </row>
    <row r="2369" spans="1:20" x14ac:dyDescent="0.35">
      <c r="A2369" s="3">
        <v>1210031</v>
      </c>
      <c r="B2369" s="2" t="s">
        <v>17</v>
      </c>
      <c r="C2369">
        <v>58935</v>
      </c>
      <c r="D2369" s="2" t="s">
        <v>29</v>
      </c>
      <c r="E2369">
        <v>2</v>
      </c>
      <c r="F2369">
        <v>4</v>
      </c>
      <c r="G2369" s="4">
        <f>VALUE(SUBSTITUTE(SUBSTITUTE(Table1[[#This Row],[Price]],"$",""),",",""))</f>
        <v>1210031</v>
      </c>
      <c r="H2369" s="1">
        <f>Table1[[#This Row],[Price2]]/Table1[[#This Row],[Area]]</f>
        <v>1316.6822633297063</v>
      </c>
      <c r="I2369">
        <v>919</v>
      </c>
      <c r="J2369">
        <v>1994</v>
      </c>
      <c r="K2369">
        <v>54</v>
      </c>
      <c r="L2369" t="s">
        <v>14</v>
      </c>
      <c r="M2369" t="s">
        <v>1774</v>
      </c>
      <c r="N2369" s="2" t="s">
        <v>3029</v>
      </c>
      <c r="O2369" t="s">
        <v>3030</v>
      </c>
      <c r="P2369" t="s">
        <v>16</v>
      </c>
      <c r="Q2369">
        <v>1316.6822633297063</v>
      </c>
      <c r="R2369">
        <f ca="1">YEAR(TODAY())-Table1[[#This Row],[Year Built]]</f>
        <v>32</v>
      </c>
      <c r="S2369" t="str">
        <f>IF(Table1[[#This Row],[Days on Market]] &lt; 30,"Fast",IF(Table1[[#This Row],[Days on Market]]&lt;= 90,"Average", "Slow"))</f>
        <v>Average</v>
      </c>
      <c r="T2369" t="str">
        <f>IF(Table1[[#This Row],[Price2]]&lt;500000,"Affordable",IF(Table1[[#This Row],[Price2]]&lt;1000000,"Mid range","Luxury"))</f>
        <v>Luxury</v>
      </c>
    </row>
    <row r="2370" spans="1:20" x14ac:dyDescent="0.35">
      <c r="A2370" s="3">
        <v>1211963</v>
      </c>
      <c r="B2370" s="2" t="s">
        <v>34</v>
      </c>
      <c r="C2370">
        <v>97647</v>
      </c>
      <c r="D2370" s="2" t="s">
        <v>35</v>
      </c>
      <c r="E2370">
        <v>4</v>
      </c>
      <c r="F2370">
        <v>3</v>
      </c>
      <c r="G2370" s="4">
        <f>VALUE(SUBSTITUTE(SUBSTITUTE(Table1[[#This Row],[Price]],"$",""),",",""))</f>
        <v>1211963</v>
      </c>
      <c r="H2370" s="1">
        <f>Table1[[#This Row],[Price2]]/Table1[[#This Row],[Area]]</f>
        <v>493.47027687296418</v>
      </c>
      <c r="I2370">
        <v>2456</v>
      </c>
      <c r="J2370">
        <v>1997</v>
      </c>
      <c r="K2370">
        <v>69</v>
      </c>
      <c r="L2370" t="s">
        <v>30</v>
      </c>
      <c r="M2370" t="s">
        <v>474</v>
      </c>
      <c r="N2370" s="2" t="s">
        <v>3029</v>
      </c>
      <c r="O2370" t="s">
        <v>3030</v>
      </c>
      <c r="P2370" t="s">
        <v>21</v>
      </c>
      <c r="Q2370">
        <v>493.47027687296418</v>
      </c>
      <c r="R2370">
        <f ca="1">YEAR(TODAY())-Table1[[#This Row],[Year Built]]</f>
        <v>29</v>
      </c>
      <c r="S2370" t="str">
        <f>IF(Table1[[#This Row],[Days on Market]] &lt; 30,"Fast",IF(Table1[[#This Row],[Days on Market]]&lt;= 90,"Average", "Slow"))</f>
        <v>Average</v>
      </c>
      <c r="T2370" t="str">
        <f>IF(Table1[[#This Row],[Price2]]&lt;500000,"Affordable",IF(Table1[[#This Row],[Price2]]&lt;1000000,"Mid range","Luxury"))</f>
        <v>Luxury</v>
      </c>
    </row>
    <row r="2371" spans="1:20" x14ac:dyDescent="0.35">
      <c r="A2371" s="3">
        <v>1212223</v>
      </c>
      <c r="B2371" s="2" t="s">
        <v>22</v>
      </c>
      <c r="C2371">
        <v>44730</v>
      </c>
      <c r="D2371" s="2" t="s">
        <v>35</v>
      </c>
      <c r="E2371">
        <v>5</v>
      </c>
      <c r="F2371">
        <v>4</v>
      </c>
      <c r="G2371" s="4">
        <f>VALUE(SUBSTITUTE(SUBSTITUTE(Table1[[#This Row],[Price]],"$",""),",",""))</f>
        <v>1212223</v>
      </c>
      <c r="H2371" s="1">
        <f>Table1[[#This Row],[Price2]]/Table1[[#This Row],[Area]]</f>
        <v>1372.8459796149491</v>
      </c>
      <c r="I2371">
        <v>883</v>
      </c>
      <c r="J2371">
        <v>1971</v>
      </c>
      <c r="K2371">
        <v>82</v>
      </c>
      <c r="L2371" t="s">
        <v>14</v>
      </c>
      <c r="M2371" t="s">
        <v>1241</v>
      </c>
      <c r="N2371" s="2" t="s">
        <v>3033</v>
      </c>
      <c r="O2371" t="s">
        <v>3034</v>
      </c>
      <c r="P2371" t="s">
        <v>21</v>
      </c>
      <c r="Q2371">
        <v>1372.8459796149491</v>
      </c>
      <c r="R2371">
        <f ca="1">YEAR(TODAY())-Table1[[#This Row],[Year Built]]</f>
        <v>55</v>
      </c>
      <c r="S2371" t="str">
        <f>IF(Table1[[#This Row],[Days on Market]] &lt; 30,"Fast",IF(Table1[[#This Row],[Days on Market]]&lt;= 90,"Average", "Slow"))</f>
        <v>Average</v>
      </c>
      <c r="T2371" t="str">
        <f>IF(Table1[[#This Row],[Price2]]&lt;500000,"Affordable",IF(Table1[[#This Row],[Price2]]&lt;1000000,"Mid range","Luxury"))</f>
        <v>Luxury</v>
      </c>
    </row>
    <row r="2372" spans="1:20" x14ac:dyDescent="0.35">
      <c r="A2372" s="3">
        <v>1212405</v>
      </c>
      <c r="B2372" s="2" t="s">
        <v>22</v>
      </c>
      <c r="C2372">
        <v>85944</v>
      </c>
      <c r="D2372" s="2" t="s">
        <v>13</v>
      </c>
      <c r="E2372">
        <v>3</v>
      </c>
      <c r="F2372">
        <v>2</v>
      </c>
      <c r="G2372" s="4">
        <f>VALUE(SUBSTITUTE(SUBSTITUTE(Table1[[#This Row],[Price]],"$",""),",",""))</f>
        <v>1212405</v>
      </c>
      <c r="H2372" s="1">
        <f>Table1[[#This Row],[Price2]]/Table1[[#This Row],[Area]]</f>
        <v>607.11316975463194</v>
      </c>
      <c r="I2372">
        <v>1997</v>
      </c>
      <c r="J2372">
        <v>1977</v>
      </c>
      <c r="K2372">
        <v>30</v>
      </c>
      <c r="L2372" t="s">
        <v>40</v>
      </c>
      <c r="M2372" t="s">
        <v>2810</v>
      </c>
      <c r="N2372" s="2" t="s">
        <v>3027</v>
      </c>
      <c r="O2372" t="s">
        <v>3028</v>
      </c>
      <c r="P2372" t="s">
        <v>21</v>
      </c>
      <c r="Q2372">
        <v>607.11316975463194</v>
      </c>
      <c r="R2372">
        <f ca="1">YEAR(TODAY())-Table1[[#This Row],[Year Built]]</f>
        <v>49</v>
      </c>
      <c r="S2372" t="str">
        <f>IF(Table1[[#This Row],[Days on Market]] &lt; 30,"Fast",IF(Table1[[#This Row],[Days on Market]]&lt;= 90,"Average", "Slow"))</f>
        <v>Average</v>
      </c>
      <c r="T2372" t="str">
        <f>IF(Table1[[#This Row],[Price2]]&lt;500000,"Affordable",IF(Table1[[#This Row],[Price2]]&lt;1000000,"Mid range","Luxury"))</f>
        <v>Luxury</v>
      </c>
    </row>
    <row r="2373" spans="1:20" x14ac:dyDescent="0.35">
      <c r="A2373" s="3">
        <v>1212791</v>
      </c>
      <c r="B2373" s="2" t="s">
        <v>12</v>
      </c>
      <c r="C2373">
        <v>60459</v>
      </c>
      <c r="D2373" s="2" t="s">
        <v>23</v>
      </c>
      <c r="E2373">
        <v>1</v>
      </c>
      <c r="F2373">
        <v>3</v>
      </c>
      <c r="G2373" s="4">
        <f>VALUE(SUBSTITUTE(SUBSTITUTE(Table1[[#This Row],[Price]],"$",""),",",""))</f>
        <v>1212791</v>
      </c>
      <c r="H2373" s="1">
        <f>Table1[[#This Row],[Price2]]/Table1[[#This Row],[Area]]</f>
        <v>403.32258064516128</v>
      </c>
      <c r="I2373">
        <v>3007</v>
      </c>
      <c r="J2373">
        <v>1982</v>
      </c>
      <c r="K2373">
        <v>103</v>
      </c>
      <c r="L2373" t="s">
        <v>14</v>
      </c>
      <c r="M2373" t="s">
        <v>1599</v>
      </c>
      <c r="N2373" s="2" t="s">
        <v>3033</v>
      </c>
      <c r="O2373" t="s">
        <v>3034</v>
      </c>
      <c r="P2373" t="s">
        <v>21</v>
      </c>
      <c r="Q2373">
        <v>403.32258064516128</v>
      </c>
      <c r="R2373">
        <f ca="1">YEAR(TODAY())-Table1[[#This Row],[Year Built]]</f>
        <v>44</v>
      </c>
      <c r="S2373" t="str">
        <f>IF(Table1[[#This Row],[Days on Market]] &lt; 30,"Fast",IF(Table1[[#This Row],[Days on Market]]&lt;= 90,"Average", "Slow"))</f>
        <v>Slow</v>
      </c>
      <c r="T2373" t="str">
        <f>IF(Table1[[#This Row],[Price2]]&lt;500000,"Affordable",IF(Table1[[#This Row],[Price2]]&lt;1000000,"Mid range","Luxury"))</f>
        <v>Luxury</v>
      </c>
    </row>
    <row r="2374" spans="1:20" x14ac:dyDescent="0.35">
      <c r="A2374" s="3">
        <v>1213198</v>
      </c>
      <c r="B2374" s="2" t="s">
        <v>12</v>
      </c>
      <c r="C2374">
        <v>35007</v>
      </c>
      <c r="D2374" s="2" t="s">
        <v>23</v>
      </c>
      <c r="E2374">
        <v>3</v>
      </c>
      <c r="F2374">
        <v>1</v>
      </c>
      <c r="G2374" s="4">
        <f>VALUE(SUBSTITUTE(SUBSTITUTE(Table1[[#This Row],[Price]],"$",""),",",""))</f>
        <v>1213198</v>
      </c>
      <c r="H2374" s="1">
        <f>Table1[[#This Row],[Price2]]/Table1[[#This Row],[Area]]</f>
        <v>1187.0821917808219</v>
      </c>
      <c r="I2374">
        <v>1022</v>
      </c>
      <c r="J2374">
        <v>1989</v>
      </c>
      <c r="K2374">
        <v>52</v>
      </c>
      <c r="L2374" t="s">
        <v>52</v>
      </c>
      <c r="M2374" t="s">
        <v>1889</v>
      </c>
      <c r="N2374" s="2" t="s">
        <v>3033</v>
      </c>
      <c r="O2374" t="s">
        <v>3034</v>
      </c>
      <c r="P2374" t="s">
        <v>16</v>
      </c>
      <c r="Q2374">
        <v>1187.0821917808219</v>
      </c>
      <c r="R2374">
        <f ca="1">YEAR(TODAY())-Table1[[#This Row],[Year Built]]</f>
        <v>37</v>
      </c>
      <c r="S2374" t="str">
        <f>IF(Table1[[#This Row],[Days on Market]] &lt; 30,"Fast",IF(Table1[[#This Row],[Days on Market]]&lt;= 90,"Average", "Slow"))</f>
        <v>Average</v>
      </c>
      <c r="T2374" t="str">
        <f>IF(Table1[[#This Row],[Price2]]&lt;500000,"Affordable",IF(Table1[[#This Row],[Price2]]&lt;1000000,"Mid range","Luxury"))</f>
        <v>Luxury</v>
      </c>
    </row>
    <row r="2375" spans="1:20" x14ac:dyDescent="0.35">
      <c r="A2375" s="3">
        <v>1213359</v>
      </c>
      <c r="B2375" s="2" t="s">
        <v>17</v>
      </c>
      <c r="C2375">
        <v>73207</v>
      </c>
      <c r="D2375" s="2" t="s">
        <v>18</v>
      </c>
      <c r="E2375">
        <v>2</v>
      </c>
      <c r="F2375">
        <v>4</v>
      </c>
      <c r="G2375" s="4">
        <f>VALUE(SUBSTITUTE(SUBSTITUTE(Table1[[#This Row],[Price]],"$",""),",",""))</f>
        <v>1213359</v>
      </c>
      <c r="H2375" s="1">
        <f>Table1[[#This Row],[Price2]]/Table1[[#This Row],[Area]]</f>
        <v>413.26941416893732</v>
      </c>
      <c r="I2375">
        <v>2936</v>
      </c>
      <c r="J2375">
        <v>1987</v>
      </c>
      <c r="K2375">
        <v>47</v>
      </c>
      <c r="L2375" t="s">
        <v>19</v>
      </c>
      <c r="M2375" t="s">
        <v>761</v>
      </c>
      <c r="N2375" s="2" t="s">
        <v>3035</v>
      </c>
      <c r="O2375" t="s">
        <v>3036</v>
      </c>
      <c r="P2375" t="s">
        <v>26</v>
      </c>
      <c r="Q2375">
        <v>413.26941416893732</v>
      </c>
      <c r="R2375">
        <f ca="1">YEAR(TODAY())-Table1[[#This Row],[Year Built]]</f>
        <v>39</v>
      </c>
      <c r="S2375" t="str">
        <f>IF(Table1[[#This Row],[Days on Market]] &lt; 30,"Fast",IF(Table1[[#This Row],[Days on Market]]&lt;= 90,"Average", "Slow"))</f>
        <v>Average</v>
      </c>
      <c r="T2375" t="str">
        <f>IF(Table1[[#This Row],[Price2]]&lt;500000,"Affordable",IF(Table1[[#This Row],[Price2]]&lt;1000000,"Mid range","Luxury"))</f>
        <v>Luxury</v>
      </c>
    </row>
    <row r="2376" spans="1:20" x14ac:dyDescent="0.35">
      <c r="A2376" s="3">
        <v>1214336</v>
      </c>
      <c r="B2376" s="2" t="s">
        <v>12</v>
      </c>
      <c r="C2376">
        <v>49598</v>
      </c>
      <c r="D2376" s="2" t="s">
        <v>23</v>
      </c>
      <c r="E2376">
        <v>2</v>
      </c>
      <c r="F2376">
        <v>1</v>
      </c>
      <c r="G2376" s="4">
        <f>VALUE(SUBSTITUTE(SUBSTITUTE(Table1[[#This Row],[Price]],"$",""),",",""))</f>
        <v>1214336</v>
      </c>
      <c r="H2376" s="1">
        <f>Table1[[#This Row],[Price2]]/Table1[[#This Row],[Area]]</f>
        <v>643.86850477200426</v>
      </c>
      <c r="I2376">
        <v>1886</v>
      </c>
      <c r="J2376">
        <v>1972</v>
      </c>
      <c r="K2376">
        <v>61</v>
      </c>
      <c r="L2376" t="s">
        <v>14</v>
      </c>
      <c r="M2376" t="s">
        <v>1089</v>
      </c>
      <c r="N2376" s="2" t="s">
        <v>3031</v>
      </c>
      <c r="O2376" t="s">
        <v>3032</v>
      </c>
      <c r="P2376" t="s">
        <v>26</v>
      </c>
      <c r="Q2376">
        <v>643.86850477200426</v>
      </c>
      <c r="R2376">
        <f ca="1">YEAR(TODAY())-Table1[[#This Row],[Year Built]]</f>
        <v>54</v>
      </c>
      <c r="S2376" t="str">
        <f>IF(Table1[[#This Row],[Days on Market]] &lt; 30,"Fast",IF(Table1[[#This Row],[Days on Market]]&lt;= 90,"Average", "Slow"))</f>
        <v>Average</v>
      </c>
      <c r="T2376" t="str">
        <f>IF(Table1[[#This Row],[Price2]]&lt;500000,"Affordable",IF(Table1[[#This Row],[Price2]]&lt;1000000,"Mid range","Luxury"))</f>
        <v>Luxury</v>
      </c>
    </row>
    <row r="2377" spans="1:20" x14ac:dyDescent="0.35">
      <c r="A2377" s="3">
        <v>1214653</v>
      </c>
      <c r="B2377" s="2" t="s">
        <v>27</v>
      </c>
      <c r="C2377">
        <v>73115</v>
      </c>
      <c r="D2377" s="2" t="s">
        <v>18</v>
      </c>
      <c r="E2377">
        <v>2</v>
      </c>
      <c r="F2377">
        <v>2</v>
      </c>
      <c r="G2377" s="4">
        <f>VALUE(SUBSTITUTE(SUBSTITUTE(Table1[[#This Row],[Price]],"$",""),",",""))</f>
        <v>1214653</v>
      </c>
      <c r="H2377" s="1">
        <f>Table1[[#This Row],[Price2]]/Table1[[#This Row],[Area]]</f>
        <v>1994.5041050903119</v>
      </c>
      <c r="I2377">
        <v>609</v>
      </c>
      <c r="J2377">
        <v>1973</v>
      </c>
      <c r="K2377">
        <v>25</v>
      </c>
      <c r="L2377" t="s">
        <v>30</v>
      </c>
      <c r="M2377" t="s">
        <v>1077</v>
      </c>
      <c r="N2377" s="2" t="s">
        <v>3027</v>
      </c>
      <c r="O2377" t="s">
        <v>3028</v>
      </c>
      <c r="P2377" t="s">
        <v>26</v>
      </c>
      <c r="Q2377">
        <v>1994.5041050903119</v>
      </c>
      <c r="R2377">
        <f ca="1">YEAR(TODAY())-Table1[[#This Row],[Year Built]]</f>
        <v>53</v>
      </c>
      <c r="S2377" t="str">
        <f>IF(Table1[[#This Row],[Days on Market]] &lt; 30,"Fast",IF(Table1[[#This Row],[Days on Market]]&lt;= 90,"Average", "Slow"))</f>
        <v>Fast</v>
      </c>
      <c r="T2377" t="str">
        <f>IF(Table1[[#This Row],[Price2]]&lt;500000,"Affordable",IF(Table1[[#This Row],[Price2]]&lt;1000000,"Mid range","Luxury"))</f>
        <v>Luxury</v>
      </c>
    </row>
    <row r="2378" spans="1:20" x14ac:dyDescent="0.35">
      <c r="A2378" s="3">
        <v>1215321</v>
      </c>
      <c r="B2378" s="2" t="s">
        <v>34</v>
      </c>
      <c r="C2378">
        <v>44651</v>
      </c>
      <c r="D2378" s="2" t="s">
        <v>13</v>
      </c>
      <c r="E2378">
        <v>1</v>
      </c>
      <c r="F2378">
        <v>4</v>
      </c>
      <c r="G2378" s="4">
        <f>VALUE(SUBSTITUTE(SUBSTITUTE(Table1[[#This Row],[Price]],"$",""),",",""))</f>
        <v>1215321</v>
      </c>
      <c r="H2378" s="1">
        <f>Table1[[#This Row],[Price2]]/Table1[[#This Row],[Area]]</f>
        <v>903.58438661710034</v>
      </c>
      <c r="I2378">
        <v>1345</v>
      </c>
      <c r="J2378">
        <v>1962</v>
      </c>
      <c r="K2378">
        <v>63</v>
      </c>
      <c r="L2378" t="s">
        <v>30</v>
      </c>
      <c r="M2378" t="s">
        <v>1643</v>
      </c>
      <c r="N2378" s="2" t="s">
        <v>3027</v>
      </c>
      <c r="O2378" t="s">
        <v>3028</v>
      </c>
      <c r="P2378" t="s">
        <v>21</v>
      </c>
      <c r="Q2378">
        <v>903.58438661710034</v>
      </c>
      <c r="R2378">
        <f ca="1">YEAR(TODAY())-Table1[[#This Row],[Year Built]]</f>
        <v>64</v>
      </c>
      <c r="S2378" t="str">
        <f>IF(Table1[[#This Row],[Days on Market]] &lt; 30,"Fast",IF(Table1[[#This Row],[Days on Market]]&lt;= 90,"Average", "Slow"))</f>
        <v>Average</v>
      </c>
      <c r="T2378" t="str">
        <f>IF(Table1[[#This Row],[Price2]]&lt;500000,"Affordable",IF(Table1[[#This Row],[Price2]]&lt;1000000,"Mid range","Luxury"))</f>
        <v>Luxury</v>
      </c>
    </row>
    <row r="2379" spans="1:20" x14ac:dyDescent="0.35">
      <c r="A2379" s="3">
        <v>1215590</v>
      </c>
      <c r="B2379" s="2" t="s">
        <v>22</v>
      </c>
      <c r="C2379">
        <v>79161</v>
      </c>
      <c r="D2379" s="2" t="s">
        <v>18</v>
      </c>
      <c r="E2379">
        <v>1</v>
      </c>
      <c r="F2379">
        <v>3</v>
      </c>
      <c r="G2379" s="4">
        <f>VALUE(SUBSTITUTE(SUBSTITUTE(Table1[[#This Row],[Price]],"$",""),",",""))</f>
        <v>1215590</v>
      </c>
      <c r="H2379" s="1">
        <f>Table1[[#This Row],[Price2]]/Table1[[#This Row],[Area]]</f>
        <v>1534.8358585858587</v>
      </c>
      <c r="I2379">
        <v>792</v>
      </c>
      <c r="J2379">
        <v>1964</v>
      </c>
      <c r="K2379">
        <v>49</v>
      </c>
      <c r="L2379" t="s">
        <v>30</v>
      </c>
      <c r="M2379" t="s">
        <v>2540</v>
      </c>
      <c r="N2379" s="2" t="s">
        <v>3035</v>
      </c>
      <c r="O2379" t="s">
        <v>3036</v>
      </c>
      <c r="P2379" t="s">
        <v>26</v>
      </c>
      <c r="Q2379">
        <v>1534.8358585858587</v>
      </c>
      <c r="R2379">
        <f ca="1">YEAR(TODAY())-Table1[[#This Row],[Year Built]]</f>
        <v>62</v>
      </c>
      <c r="S2379" t="str">
        <f>IF(Table1[[#This Row],[Days on Market]] &lt; 30,"Fast",IF(Table1[[#This Row],[Days on Market]]&lt;= 90,"Average", "Slow"))</f>
        <v>Average</v>
      </c>
      <c r="T2379" t="str">
        <f>IF(Table1[[#This Row],[Price2]]&lt;500000,"Affordable",IF(Table1[[#This Row],[Price2]]&lt;1000000,"Mid range","Luxury"))</f>
        <v>Luxury</v>
      </c>
    </row>
    <row r="2380" spans="1:20" x14ac:dyDescent="0.35">
      <c r="A2380" s="3">
        <v>1216422</v>
      </c>
      <c r="B2380" s="2" t="s">
        <v>22</v>
      </c>
      <c r="C2380">
        <v>21289</v>
      </c>
      <c r="D2380" s="2" t="s">
        <v>13</v>
      </c>
      <c r="E2380">
        <v>5</v>
      </c>
      <c r="F2380">
        <v>2</v>
      </c>
      <c r="G2380" s="4">
        <f>VALUE(SUBSTITUTE(SUBSTITUTE(Table1[[#This Row],[Price]],"$",""),",",""))</f>
        <v>1216422</v>
      </c>
      <c r="H2380" s="1">
        <f>Table1[[#This Row],[Price2]]/Table1[[#This Row],[Area]]</f>
        <v>861.48866855524079</v>
      </c>
      <c r="I2380">
        <v>1412</v>
      </c>
      <c r="J2380">
        <v>1983</v>
      </c>
      <c r="K2380">
        <v>73</v>
      </c>
      <c r="L2380" t="s">
        <v>14</v>
      </c>
      <c r="M2380" t="s">
        <v>2335</v>
      </c>
      <c r="N2380" s="2" t="s">
        <v>3035</v>
      </c>
      <c r="O2380" t="s">
        <v>3036</v>
      </c>
      <c r="P2380" t="s">
        <v>21</v>
      </c>
      <c r="Q2380">
        <v>861.48866855524079</v>
      </c>
      <c r="R2380">
        <f ca="1">YEAR(TODAY())-Table1[[#This Row],[Year Built]]</f>
        <v>43</v>
      </c>
      <c r="S2380" t="str">
        <f>IF(Table1[[#This Row],[Days on Market]] &lt; 30,"Fast",IF(Table1[[#This Row],[Days on Market]]&lt;= 90,"Average", "Slow"))</f>
        <v>Average</v>
      </c>
      <c r="T2380" t="str">
        <f>IF(Table1[[#This Row],[Price2]]&lt;500000,"Affordable",IF(Table1[[#This Row],[Price2]]&lt;1000000,"Mid range","Luxury"))</f>
        <v>Luxury</v>
      </c>
    </row>
    <row r="2381" spans="1:20" x14ac:dyDescent="0.35">
      <c r="A2381" s="3">
        <v>1216553</v>
      </c>
      <c r="B2381" s="2" t="s">
        <v>12</v>
      </c>
      <c r="C2381">
        <v>38507</v>
      </c>
      <c r="D2381" s="2" t="s">
        <v>35</v>
      </c>
      <c r="E2381">
        <v>3</v>
      </c>
      <c r="F2381">
        <v>3</v>
      </c>
      <c r="G2381" s="4">
        <f>VALUE(SUBSTITUTE(SUBSTITUTE(Table1[[#This Row],[Price]],"$",""),",",""))</f>
        <v>1216553</v>
      </c>
      <c r="H2381" s="1">
        <f>Table1[[#This Row],[Price2]]/Table1[[#This Row],[Area]]</f>
        <v>882.83962264150944</v>
      </c>
      <c r="I2381">
        <v>1378</v>
      </c>
      <c r="J2381">
        <v>1956</v>
      </c>
      <c r="K2381">
        <v>9</v>
      </c>
      <c r="L2381" t="s">
        <v>40</v>
      </c>
      <c r="M2381" t="s">
        <v>2858</v>
      </c>
      <c r="N2381" s="2" t="s">
        <v>3029</v>
      </c>
      <c r="O2381" t="s">
        <v>3030</v>
      </c>
      <c r="P2381" t="s">
        <v>26</v>
      </c>
      <c r="Q2381">
        <v>882.83962264150944</v>
      </c>
      <c r="R2381">
        <f ca="1">YEAR(TODAY())-Table1[[#This Row],[Year Built]]</f>
        <v>70</v>
      </c>
      <c r="S2381" t="str">
        <f>IF(Table1[[#This Row],[Days on Market]] &lt; 30,"Fast",IF(Table1[[#This Row],[Days on Market]]&lt;= 90,"Average", "Slow"))</f>
        <v>Fast</v>
      </c>
      <c r="T2381" t="str">
        <f>IF(Table1[[#This Row],[Price2]]&lt;500000,"Affordable",IF(Table1[[#This Row],[Price2]]&lt;1000000,"Mid range","Luxury"))</f>
        <v>Luxury</v>
      </c>
    </row>
    <row r="2382" spans="1:20" x14ac:dyDescent="0.35">
      <c r="A2382" s="3">
        <v>1216751</v>
      </c>
      <c r="B2382" s="2" t="s">
        <v>17</v>
      </c>
      <c r="C2382">
        <v>67919</v>
      </c>
      <c r="D2382" s="2" t="s">
        <v>35</v>
      </c>
      <c r="E2382">
        <v>6</v>
      </c>
      <c r="F2382">
        <v>1</v>
      </c>
      <c r="G2382" s="4">
        <f>VALUE(SUBSTITUTE(SUBSTITUTE(Table1[[#This Row],[Price]],"$",""),",",""))</f>
        <v>1216751</v>
      </c>
      <c r="H2382" s="1">
        <f>Table1[[#This Row],[Price2]]/Table1[[#This Row],[Area]]</f>
        <v>531.7967657342657</v>
      </c>
      <c r="I2382">
        <v>2288</v>
      </c>
      <c r="J2382">
        <v>1974</v>
      </c>
      <c r="K2382">
        <v>110</v>
      </c>
      <c r="L2382" t="s">
        <v>30</v>
      </c>
      <c r="M2382" t="s">
        <v>1180</v>
      </c>
      <c r="N2382" s="2" t="s">
        <v>3029</v>
      </c>
      <c r="O2382" t="s">
        <v>3030</v>
      </c>
      <c r="P2382" t="s">
        <v>26</v>
      </c>
      <c r="Q2382">
        <v>531.7967657342657</v>
      </c>
      <c r="R2382">
        <f ca="1">YEAR(TODAY())-Table1[[#This Row],[Year Built]]</f>
        <v>52</v>
      </c>
      <c r="S2382" t="str">
        <f>IF(Table1[[#This Row],[Days on Market]] &lt; 30,"Fast",IF(Table1[[#This Row],[Days on Market]]&lt;= 90,"Average", "Slow"))</f>
        <v>Slow</v>
      </c>
      <c r="T2382" t="str">
        <f>IF(Table1[[#This Row],[Price2]]&lt;500000,"Affordable",IF(Table1[[#This Row],[Price2]]&lt;1000000,"Mid range","Luxury"))</f>
        <v>Luxury</v>
      </c>
    </row>
    <row r="2383" spans="1:20" x14ac:dyDescent="0.35">
      <c r="A2383" s="3">
        <v>1216780</v>
      </c>
      <c r="B2383" s="2" t="s">
        <v>34</v>
      </c>
      <c r="C2383">
        <v>80773</v>
      </c>
      <c r="D2383" s="2" t="s">
        <v>13</v>
      </c>
      <c r="E2383">
        <v>6</v>
      </c>
      <c r="F2383">
        <v>4</v>
      </c>
      <c r="G2383" s="4">
        <f>VALUE(SUBSTITUTE(SUBSTITUTE(Table1[[#This Row],[Price]],"$",""),",",""))</f>
        <v>1216780</v>
      </c>
      <c r="H2383" s="1">
        <f>Table1[[#This Row],[Price2]]/Table1[[#This Row],[Area]]</f>
        <v>918.32452830188674</v>
      </c>
      <c r="I2383">
        <v>1325</v>
      </c>
      <c r="J2383">
        <v>1978</v>
      </c>
      <c r="K2383">
        <v>9</v>
      </c>
      <c r="L2383" t="s">
        <v>14</v>
      </c>
      <c r="M2383" t="s">
        <v>2644</v>
      </c>
      <c r="N2383" s="2" t="s">
        <v>3029</v>
      </c>
      <c r="O2383" t="s">
        <v>3030</v>
      </c>
      <c r="P2383" t="s">
        <v>16</v>
      </c>
      <c r="Q2383">
        <v>918.32452830188674</v>
      </c>
      <c r="R2383">
        <f ca="1">YEAR(TODAY())-Table1[[#This Row],[Year Built]]</f>
        <v>48</v>
      </c>
      <c r="S2383" t="str">
        <f>IF(Table1[[#This Row],[Days on Market]] &lt; 30,"Fast",IF(Table1[[#This Row],[Days on Market]]&lt;= 90,"Average", "Slow"))</f>
        <v>Fast</v>
      </c>
      <c r="T2383" t="str">
        <f>IF(Table1[[#This Row],[Price2]]&lt;500000,"Affordable",IF(Table1[[#This Row],[Price2]]&lt;1000000,"Mid range","Luxury"))</f>
        <v>Luxury</v>
      </c>
    </row>
    <row r="2384" spans="1:20" x14ac:dyDescent="0.35">
      <c r="A2384" s="3">
        <v>1217073</v>
      </c>
      <c r="B2384" s="2" t="s">
        <v>17</v>
      </c>
      <c r="C2384">
        <v>33023</v>
      </c>
      <c r="D2384" s="2" t="s">
        <v>18</v>
      </c>
      <c r="E2384">
        <v>4</v>
      </c>
      <c r="F2384">
        <v>3</v>
      </c>
      <c r="G2384" s="4">
        <f>VALUE(SUBSTITUTE(SUBSTITUTE(Table1[[#This Row],[Price]],"$",""),",",""))</f>
        <v>1217073</v>
      </c>
      <c r="H2384" s="1">
        <f>Table1[[#This Row],[Price2]]/Table1[[#This Row],[Area]]</f>
        <v>378.32545850170965</v>
      </c>
      <c r="I2384">
        <v>3217</v>
      </c>
      <c r="J2384">
        <v>1976</v>
      </c>
      <c r="K2384">
        <v>49</v>
      </c>
      <c r="L2384" t="s">
        <v>30</v>
      </c>
      <c r="M2384" t="s">
        <v>485</v>
      </c>
      <c r="N2384" s="2" t="s">
        <v>3029</v>
      </c>
      <c r="O2384" t="s">
        <v>3030</v>
      </c>
      <c r="P2384" t="s">
        <v>21</v>
      </c>
      <c r="Q2384">
        <v>378.32545850170965</v>
      </c>
      <c r="R2384">
        <f ca="1">YEAR(TODAY())-Table1[[#This Row],[Year Built]]</f>
        <v>50</v>
      </c>
      <c r="S2384" t="str">
        <f>IF(Table1[[#This Row],[Days on Market]] &lt; 30,"Fast",IF(Table1[[#This Row],[Days on Market]]&lt;= 90,"Average", "Slow"))</f>
        <v>Average</v>
      </c>
      <c r="T2384" t="str">
        <f>IF(Table1[[#This Row],[Price2]]&lt;500000,"Affordable",IF(Table1[[#This Row],[Price2]]&lt;1000000,"Mid range","Luxury"))</f>
        <v>Luxury</v>
      </c>
    </row>
    <row r="2385" spans="1:20" x14ac:dyDescent="0.35">
      <c r="A2385" s="3">
        <v>1217332</v>
      </c>
      <c r="B2385" s="2" t="s">
        <v>22</v>
      </c>
      <c r="C2385">
        <v>92176</v>
      </c>
      <c r="D2385" s="2" t="s">
        <v>35</v>
      </c>
      <c r="E2385">
        <v>6</v>
      </c>
      <c r="F2385">
        <v>4</v>
      </c>
      <c r="G2385" s="4">
        <f>VALUE(SUBSTITUTE(SUBSTITUTE(Table1[[#This Row],[Price]],"$",""),",",""))</f>
        <v>1217332</v>
      </c>
      <c r="H2385" s="1">
        <f>Table1[[#This Row],[Price2]]/Table1[[#This Row],[Area]]</f>
        <v>812.63818424566091</v>
      </c>
      <c r="I2385">
        <v>1498</v>
      </c>
      <c r="J2385">
        <v>1973</v>
      </c>
      <c r="K2385">
        <v>71</v>
      </c>
      <c r="L2385" t="s">
        <v>30</v>
      </c>
      <c r="M2385" t="s">
        <v>2771</v>
      </c>
      <c r="N2385" s="2" t="s">
        <v>3027</v>
      </c>
      <c r="O2385" t="s">
        <v>3028</v>
      </c>
      <c r="P2385" t="s">
        <v>21</v>
      </c>
      <c r="Q2385">
        <v>812.63818424566091</v>
      </c>
      <c r="R2385">
        <f ca="1">YEAR(TODAY())-Table1[[#This Row],[Year Built]]</f>
        <v>53</v>
      </c>
      <c r="S2385" t="str">
        <f>IF(Table1[[#This Row],[Days on Market]] &lt; 30,"Fast",IF(Table1[[#This Row],[Days on Market]]&lt;= 90,"Average", "Slow"))</f>
        <v>Average</v>
      </c>
      <c r="T2385" t="str">
        <f>IF(Table1[[#This Row],[Price2]]&lt;500000,"Affordable",IF(Table1[[#This Row],[Price2]]&lt;1000000,"Mid range","Luxury"))</f>
        <v>Luxury</v>
      </c>
    </row>
    <row r="2386" spans="1:20" x14ac:dyDescent="0.35">
      <c r="A2386" s="3">
        <v>1217532</v>
      </c>
      <c r="B2386" s="2" t="s">
        <v>27</v>
      </c>
      <c r="C2386">
        <v>40283</v>
      </c>
      <c r="D2386" s="2" t="s">
        <v>29</v>
      </c>
      <c r="E2386">
        <v>3</v>
      </c>
      <c r="F2386">
        <v>3</v>
      </c>
      <c r="G2386" s="4">
        <f>VALUE(SUBSTITUTE(SUBSTITUTE(Table1[[#This Row],[Price]],"$",""),",",""))</f>
        <v>1217532</v>
      </c>
      <c r="H2386" s="1">
        <f>Table1[[#This Row],[Price2]]/Table1[[#This Row],[Area]]</f>
        <v>1233.5683890577507</v>
      </c>
      <c r="I2386">
        <v>987</v>
      </c>
      <c r="J2386">
        <v>2019</v>
      </c>
      <c r="K2386">
        <v>25</v>
      </c>
      <c r="L2386" t="s">
        <v>52</v>
      </c>
      <c r="M2386" t="s">
        <v>1299</v>
      </c>
      <c r="N2386" s="2" t="s">
        <v>3035</v>
      </c>
      <c r="O2386" t="s">
        <v>3036</v>
      </c>
      <c r="P2386" t="s">
        <v>16</v>
      </c>
      <c r="Q2386">
        <v>1233.5683890577507</v>
      </c>
      <c r="R2386">
        <f ca="1">YEAR(TODAY())-Table1[[#This Row],[Year Built]]</f>
        <v>7</v>
      </c>
      <c r="S2386" t="str">
        <f>IF(Table1[[#This Row],[Days on Market]] &lt; 30,"Fast",IF(Table1[[#This Row],[Days on Market]]&lt;= 90,"Average", "Slow"))</f>
        <v>Fast</v>
      </c>
      <c r="T2386" t="str">
        <f>IF(Table1[[#This Row],[Price2]]&lt;500000,"Affordable",IF(Table1[[#This Row],[Price2]]&lt;1000000,"Mid range","Luxury"))</f>
        <v>Luxury</v>
      </c>
    </row>
    <row r="2387" spans="1:20" x14ac:dyDescent="0.35">
      <c r="A2387" s="3">
        <v>1217931</v>
      </c>
      <c r="B2387" s="2" t="s">
        <v>12</v>
      </c>
      <c r="C2387">
        <v>55101</v>
      </c>
      <c r="D2387" s="2" t="s">
        <v>18</v>
      </c>
      <c r="E2387">
        <v>1</v>
      </c>
      <c r="F2387">
        <v>3</v>
      </c>
      <c r="G2387" s="4">
        <f>VALUE(SUBSTITUTE(SUBSTITUTE(Table1[[#This Row],[Price]],"$",""),",",""))</f>
        <v>1217931</v>
      </c>
      <c r="H2387" s="1">
        <f>Table1[[#This Row],[Price2]]/Table1[[#This Row],[Area]]</f>
        <v>409.11353711790395</v>
      </c>
      <c r="I2387">
        <v>2977</v>
      </c>
      <c r="J2387">
        <v>2004</v>
      </c>
      <c r="K2387">
        <v>62</v>
      </c>
      <c r="L2387" t="s">
        <v>30</v>
      </c>
      <c r="M2387" t="s">
        <v>109</v>
      </c>
      <c r="N2387" s="2" t="s">
        <v>3027</v>
      </c>
      <c r="O2387" t="s">
        <v>3028</v>
      </c>
      <c r="P2387" t="s">
        <v>16</v>
      </c>
      <c r="Q2387">
        <v>409.11353711790395</v>
      </c>
      <c r="R2387">
        <f ca="1">YEAR(TODAY())-Table1[[#This Row],[Year Built]]</f>
        <v>22</v>
      </c>
      <c r="S2387" t="str">
        <f>IF(Table1[[#This Row],[Days on Market]] &lt; 30,"Fast",IF(Table1[[#This Row],[Days on Market]]&lt;= 90,"Average", "Slow"))</f>
        <v>Average</v>
      </c>
      <c r="T2387" t="str">
        <f>IF(Table1[[#This Row],[Price2]]&lt;500000,"Affordable",IF(Table1[[#This Row],[Price2]]&lt;1000000,"Mid range","Luxury"))</f>
        <v>Luxury</v>
      </c>
    </row>
    <row r="2388" spans="1:20" x14ac:dyDescent="0.35">
      <c r="A2388" s="3">
        <v>1218168</v>
      </c>
      <c r="B2388" s="2" t="s">
        <v>34</v>
      </c>
      <c r="C2388">
        <v>13587</v>
      </c>
      <c r="D2388" s="2" t="s">
        <v>18</v>
      </c>
      <c r="E2388">
        <v>3</v>
      </c>
      <c r="F2388">
        <v>2</v>
      </c>
      <c r="G2388" s="4">
        <f>VALUE(SUBSTITUTE(SUBSTITUTE(Table1[[#This Row],[Price]],"$",""),",",""))</f>
        <v>1218168</v>
      </c>
      <c r="H2388" s="1">
        <f>Table1[[#This Row],[Price2]]/Table1[[#This Row],[Area]]</f>
        <v>440.72648335745299</v>
      </c>
      <c r="I2388">
        <v>2764</v>
      </c>
      <c r="J2388">
        <v>2013</v>
      </c>
      <c r="K2388">
        <v>20</v>
      </c>
      <c r="L2388" t="s">
        <v>14</v>
      </c>
      <c r="M2388" t="s">
        <v>1344</v>
      </c>
      <c r="N2388" s="2" t="s">
        <v>3027</v>
      </c>
      <c r="O2388" t="s">
        <v>3028</v>
      </c>
      <c r="P2388" t="s">
        <v>21</v>
      </c>
      <c r="Q2388">
        <v>440.72648335745299</v>
      </c>
      <c r="R2388">
        <f ca="1">YEAR(TODAY())-Table1[[#This Row],[Year Built]]</f>
        <v>13</v>
      </c>
      <c r="S2388" t="str">
        <f>IF(Table1[[#This Row],[Days on Market]] &lt; 30,"Fast",IF(Table1[[#This Row],[Days on Market]]&lt;= 90,"Average", "Slow"))</f>
        <v>Fast</v>
      </c>
      <c r="T2388" t="str">
        <f>IF(Table1[[#This Row],[Price2]]&lt;500000,"Affordable",IF(Table1[[#This Row],[Price2]]&lt;1000000,"Mid range","Luxury"))</f>
        <v>Luxury</v>
      </c>
    </row>
    <row r="2389" spans="1:20" x14ac:dyDescent="0.35">
      <c r="A2389" s="3">
        <v>1218958</v>
      </c>
      <c r="B2389" s="2" t="s">
        <v>22</v>
      </c>
      <c r="C2389">
        <v>44426</v>
      </c>
      <c r="D2389" s="2" t="s">
        <v>13</v>
      </c>
      <c r="E2389">
        <v>4</v>
      </c>
      <c r="F2389">
        <v>1</v>
      </c>
      <c r="G2389" s="4">
        <f>VALUE(SUBSTITUTE(SUBSTITUTE(Table1[[#This Row],[Price]],"$",""),",",""))</f>
        <v>1218958</v>
      </c>
      <c r="H2389" s="1">
        <f>Table1[[#This Row],[Price2]]/Table1[[#This Row],[Area]]</f>
        <v>329.53717220870504</v>
      </c>
      <c r="I2389">
        <v>3699</v>
      </c>
      <c r="J2389">
        <v>2020</v>
      </c>
      <c r="K2389">
        <v>119</v>
      </c>
      <c r="L2389" t="s">
        <v>14</v>
      </c>
      <c r="M2389" t="s">
        <v>2014</v>
      </c>
      <c r="N2389" s="2" t="s">
        <v>3031</v>
      </c>
      <c r="O2389" t="s">
        <v>3032</v>
      </c>
      <c r="P2389" t="s">
        <v>26</v>
      </c>
      <c r="Q2389">
        <v>329.53717220870504</v>
      </c>
      <c r="R2389">
        <f ca="1">YEAR(TODAY())-Table1[[#This Row],[Year Built]]</f>
        <v>6</v>
      </c>
      <c r="S2389" t="str">
        <f>IF(Table1[[#This Row],[Days on Market]] &lt; 30,"Fast",IF(Table1[[#This Row],[Days on Market]]&lt;= 90,"Average", "Slow"))</f>
        <v>Slow</v>
      </c>
      <c r="T2389" t="str">
        <f>IF(Table1[[#This Row],[Price2]]&lt;500000,"Affordable",IF(Table1[[#This Row],[Price2]]&lt;1000000,"Mid range","Luxury"))</f>
        <v>Luxury</v>
      </c>
    </row>
    <row r="2390" spans="1:20" x14ac:dyDescent="0.35">
      <c r="A2390" s="3">
        <v>1219024</v>
      </c>
      <c r="B2390" s="2" t="s">
        <v>17</v>
      </c>
      <c r="C2390">
        <v>11818</v>
      </c>
      <c r="D2390" s="2" t="s">
        <v>18</v>
      </c>
      <c r="E2390">
        <v>1</v>
      </c>
      <c r="F2390">
        <v>4</v>
      </c>
      <c r="G2390" s="4">
        <f>VALUE(SUBSTITUTE(SUBSTITUTE(Table1[[#This Row],[Price]],"$",""),",",""))</f>
        <v>1219024</v>
      </c>
      <c r="H2390" s="1">
        <f>Table1[[#This Row],[Price2]]/Table1[[#This Row],[Area]]</f>
        <v>771.53417721518986</v>
      </c>
      <c r="I2390">
        <v>1580</v>
      </c>
      <c r="J2390">
        <v>1998</v>
      </c>
      <c r="K2390">
        <v>69</v>
      </c>
      <c r="L2390" t="s">
        <v>52</v>
      </c>
      <c r="M2390" t="s">
        <v>872</v>
      </c>
      <c r="N2390" s="2" t="s">
        <v>3031</v>
      </c>
      <c r="O2390" t="s">
        <v>3032</v>
      </c>
      <c r="P2390" t="s">
        <v>16</v>
      </c>
      <c r="Q2390">
        <v>771.53417721518986</v>
      </c>
      <c r="R2390">
        <f ca="1">YEAR(TODAY())-Table1[[#This Row],[Year Built]]</f>
        <v>28</v>
      </c>
      <c r="S2390" t="str">
        <f>IF(Table1[[#This Row],[Days on Market]] &lt; 30,"Fast",IF(Table1[[#This Row],[Days on Market]]&lt;= 90,"Average", "Slow"))</f>
        <v>Average</v>
      </c>
      <c r="T2390" t="str">
        <f>IF(Table1[[#This Row],[Price2]]&lt;500000,"Affordable",IF(Table1[[#This Row],[Price2]]&lt;1000000,"Mid range","Luxury"))</f>
        <v>Luxury</v>
      </c>
    </row>
    <row r="2391" spans="1:20" x14ac:dyDescent="0.35">
      <c r="A2391" s="3">
        <v>1219513</v>
      </c>
      <c r="B2391" s="2" t="s">
        <v>12</v>
      </c>
      <c r="C2391">
        <v>93955</v>
      </c>
      <c r="D2391" s="2" t="s">
        <v>35</v>
      </c>
      <c r="E2391">
        <v>5</v>
      </c>
      <c r="F2391">
        <v>4</v>
      </c>
      <c r="G2391" s="4">
        <f>VALUE(SUBSTITUTE(SUBSTITUTE(Table1[[#This Row],[Price]],"$",""),",",""))</f>
        <v>1219513</v>
      </c>
      <c r="H2391" s="1">
        <f>Table1[[#This Row],[Price2]]/Table1[[#This Row],[Area]]</f>
        <v>1092.7535842293908</v>
      </c>
      <c r="I2391">
        <v>1116</v>
      </c>
      <c r="J2391">
        <v>1956</v>
      </c>
      <c r="K2391">
        <v>91</v>
      </c>
      <c r="L2391" t="s">
        <v>52</v>
      </c>
      <c r="M2391" t="s">
        <v>525</v>
      </c>
      <c r="N2391" s="2" t="s">
        <v>3035</v>
      </c>
      <c r="O2391" t="s">
        <v>3036</v>
      </c>
      <c r="P2391" t="s">
        <v>26</v>
      </c>
      <c r="Q2391">
        <v>1092.7535842293908</v>
      </c>
      <c r="R2391">
        <f ca="1">YEAR(TODAY())-Table1[[#This Row],[Year Built]]</f>
        <v>70</v>
      </c>
      <c r="S2391" t="str">
        <f>IF(Table1[[#This Row],[Days on Market]] &lt; 30,"Fast",IF(Table1[[#This Row],[Days on Market]]&lt;= 90,"Average", "Slow"))</f>
        <v>Slow</v>
      </c>
      <c r="T2391" t="str">
        <f>IF(Table1[[#This Row],[Price2]]&lt;500000,"Affordable",IF(Table1[[#This Row],[Price2]]&lt;1000000,"Mid range","Luxury"))</f>
        <v>Luxury</v>
      </c>
    </row>
    <row r="2392" spans="1:20" x14ac:dyDescent="0.35">
      <c r="A2392" s="3">
        <v>1219561</v>
      </c>
      <c r="B2392" s="2" t="s">
        <v>17</v>
      </c>
      <c r="C2392">
        <v>20224</v>
      </c>
      <c r="D2392" s="2" t="s">
        <v>13</v>
      </c>
      <c r="E2392">
        <v>4</v>
      </c>
      <c r="F2392">
        <v>4</v>
      </c>
      <c r="G2392" s="4">
        <f>VALUE(SUBSTITUTE(SUBSTITUTE(Table1[[#This Row],[Price]],"$",""),",",""))</f>
        <v>1219561</v>
      </c>
      <c r="H2392" s="1">
        <f>Table1[[#This Row],[Price2]]/Table1[[#This Row],[Area]]</f>
        <v>516.54426090639561</v>
      </c>
      <c r="I2392">
        <v>2361</v>
      </c>
      <c r="J2392">
        <v>1999</v>
      </c>
      <c r="K2392">
        <v>49</v>
      </c>
      <c r="L2392" t="s">
        <v>14</v>
      </c>
      <c r="M2392" t="s">
        <v>2712</v>
      </c>
      <c r="N2392" s="2" t="s">
        <v>3033</v>
      </c>
      <c r="O2392" t="s">
        <v>3034</v>
      </c>
      <c r="P2392" t="s">
        <v>21</v>
      </c>
      <c r="Q2392">
        <v>516.54426090639561</v>
      </c>
      <c r="R2392">
        <f ca="1">YEAR(TODAY())-Table1[[#This Row],[Year Built]]</f>
        <v>27</v>
      </c>
      <c r="S2392" t="str">
        <f>IF(Table1[[#This Row],[Days on Market]] &lt; 30,"Fast",IF(Table1[[#This Row],[Days on Market]]&lt;= 90,"Average", "Slow"))</f>
        <v>Average</v>
      </c>
      <c r="T2392" t="str">
        <f>IF(Table1[[#This Row],[Price2]]&lt;500000,"Affordable",IF(Table1[[#This Row],[Price2]]&lt;1000000,"Mid range","Luxury"))</f>
        <v>Luxury</v>
      </c>
    </row>
    <row r="2393" spans="1:20" x14ac:dyDescent="0.35">
      <c r="A2393" s="3">
        <v>1219813</v>
      </c>
      <c r="B2393" s="2" t="s">
        <v>22</v>
      </c>
      <c r="C2393">
        <v>95536</v>
      </c>
      <c r="D2393" s="2" t="s">
        <v>23</v>
      </c>
      <c r="E2393">
        <v>4</v>
      </c>
      <c r="F2393">
        <v>3</v>
      </c>
      <c r="G2393" s="4">
        <f>VALUE(SUBSTITUTE(SUBSTITUTE(Table1[[#This Row],[Price]],"$",""),",",""))</f>
        <v>1219813</v>
      </c>
      <c r="H2393" s="1">
        <f>Table1[[#This Row],[Price2]]/Table1[[#This Row],[Area]]</f>
        <v>467.00344563552835</v>
      </c>
      <c r="I2393">
        <v>2612</v>
      </c>
      <c r="J2393">
        <v>1978</v>
      </c>
      <c r="K2393">
        <v>88</v>
      </c>
      <c r="L2393" t="s">
        <v>40</v>
      </c>
      <c r="M2393" t="s">
        <v>1409</v>
      </c>
      <c r="N2393" s="2" t="s">
        <v>3033</v>
      </c>
      <c r="O2393" t="s">
        <v>3034</v>
      </c>
      <c r="P2393" t="s">
        <v>26</v>
      </c>
      <c r="Q2393">
        <v>467.00344563552835</v>
      </c>
      <c r="R2393">
        <f ca="1">YEAR(TODAY())-Table1[[#This Row],[Year Built]]</f>
        <v>48</v>
      </c>
      <c r="S2393" t="str">
        <f>IF(Table1[[#This Row],[Days on Market]] &lt; 30,"Fast",IF(Table1[[#This Row],[Days on Market]]&lt;= 90,"Average", "Slow"))</f>
        <v>Average</v>
      </c>
      <c r="T2393" t="str">
        <f>IF(Table1[[#This Row],[Price2]]&lt;500000,"Affordable",IF(Table1[[#This Row],[Price2]]&lt;1000000,"Mid range","Luxury"))</f>
        <v>Luxury</v>
      </c>
    </row>
    <row r="2394" spans="1:20" x14ac:dyDescent="0.35">
      <c r="A2394" s="3">
        <v>1220906</v>
      </c>
      <c r="B2394" s="2" t="s">
        <v>27</v>
      </c>
      <c r="C2394">
        <v>79319</v>
      </c>
      <c r="D2394" s="2" t="s">
        <v>35</v>
      </c>
      <c r="E2394">
        <v>6</v>
      </c>
      <c r="F2394">
        <v>2</v>
      </c>
      <c r="G2394" s="4">
        <f>VALUE(SUBSTITUTE(SUBSTITUTE(Table1[[#This Row],[Price]],"$",""),",",""))</f>
        <v>1220906</v>
      </c>
      <c r="H2394" s="1">
        <f>Table1[[#This Row],[Price2]]/Table1[[#This Row],[Area]]</f>
        <v>334.67817982456143</v>
      </c>
      <c r="I2394">
        <v>3648</v>
      </c>
      <c r="J2394">
        <v>2011</v>
      </c>
      <c r="K2394">
        <v>20</v>
      </c>
      <c r="L2394" t="s">
        <v>14</v>
      </c>
      <c r="M2394" t="s">
        <v>777</v>
      </c>
      <c r="N2394" s="2" t="s">
        <v>3033</v>
      </c>
      <c r="O2394" t="s">
        <v>3034</v>
      </c>
      <c r="P2394" t="s">
        <v>21</v>
      </c>
      <c r="Q2394">
        <v>334.67817982456143</v>
      </c>
      <c r="R2394">
        <f ca="1">YEAR(TODAY())-Table1[[#This Row],[Year Built]]</f>
        <v>15</v>
      </c>
      <c r="S2394" t="str">
        <f>IF(Table1[[#This Row],[Days on Market]] &lt; 30,"Fast",IF(Table1[[#This Row],[Days on Market]]&lt;= 90,"Average", "Slow"))</f>
        <v>Fast</v>
      </c>
      <c r="T2394" t="str">
        <f>IF(Table1[[#This Row],[Price2]]&lt;500000,"Affordable",IF(Table1[[#This Row],[Price2]]&lt;1000000,"Mid range","Luxury"))</f>
        <v>Luxury</v>
      </c>
    </row>
    <row r="2395" spans="1:20" x14ac:dyDescent="0.35">
      <c r="A2395" s="3">
        <v>1221223</v>
      </c>
      <c r="B2395" s="2" t="s">
        <v>27</v>
      </c>
      <c r="C2395">
        <v>10006</v>
      </c>
      <c r="D2395" s="2" t="s">
        <v>35</v>
      </c>
      <c r="E2395">
        <v>6</v>
      </c>
      <c r="F2395">
        <v>1</v>
      </c>
      <c r="G2395" s="4">
        <f>VALUE(SUBSTITUTE(SUBSTITUTE(Table1[[#This Row],[Price]],"$",""),",",""))</f>
        <v>1221223</v>
      </c>
      <c r="H2395" s="1">
        <f>Table1[[#This Row],[Price2]]/Table1[[#This Row],[Area]]</f>
        <v>531.42863359442993</v>
      </c>
      <c r="I2395">
        <v>2298</v>
      </c>
      <c r="J2395">
        <v>1989</v>
      </c>
      <c r="K2395">
        <v>41</v>
      </c>
      <c r="L2395" t="s">
        <v>40</v>
      </c>
      <c r="M2395" t="s">
        <v>1294</v>
      </c>
      <c r="N2395" s="2" t="s">
        <v>3033</v>
      </c>
      <c r="O2395" t="s">
        <v>3034</v>
      </c>
      <c r="P2395" t="s">
        <v>21</v>
      </c>
      <c r="Q2395">
        <v>531.42863359442993</v>
      </c>
      <c r="R2395">
        <f ca="1">YEAR(TODAY())-Table1[[#This Row],[Year Built]]</f>
        <v>37</v>
      </c>
      <c r="S2395" t="str">
        <f>IF(Table1[[#This Row],[Days on Market]] &lt; 30,"Fast",IF(Table1[[#This Row],[Days on Market]]&lt;= 90,"Average", "Slow"))</f>
        <v>Average</v>
      </c>
      <c r="T2395" t="str">
        <f>IF(Table1[[#This Row],[Price2]]&lt;500000,"Affordable",IF(Table1[[#This Row],[Price2]]&lt;1000000,"Mid range","Luxury"))</f>
        <v>Luxury</v>
      </c>
    </row>
    <row r="2396" spans="1:20" x14ac:dyDescent="0.35">
      <c r="A2396" s="3">
        <v>1222243</v>
      </c>
      <c r="B2396" s="2" t="s">
        <v>22</v>
      </c>
      <c r="C2396">
        <v>96179</v>
      </c>
      <c r="D2396" s="2" t="s">
        <v>23</v>
      </c>
      <c r="E2396">
        <v>5</v>
      </c>
      <c r="F2396">
        <v>2</v>
      </c>
      <c r="G2396" s="4">
        <f>VALUE(SUBSTITUTE(SUBSTITUTE(Table1[[#This Row],[Price]],"$",""),",",""))</f>
        <v>1222243</v>
      </c>
      <c r="H2396" s="1">
        <f>Table1[[#This Row],[Price2]]/Table1[[#This Row],[Area]]</f>
        <v>849.36970118137594</v>
      </c>
      <c r="I2396">
        <v>1439</v>
      </c>
      <c r="J2396">
        <v>2010</v>
      </c>
      <c r="K2396">
        <v>69</v>
      </c>
      <c r="L2396" t="s">
        <v>40</v>
      </c>
      <c r="M2396" t="s">
        <v>2941</v>
      </c>
      <c r="N2396" s="2" t="s">
        <v>3031</v>
      </c>
      <c r="O2396" t="s">
        <v>3032</v>
      </c>
      <c r="P2396" t="s">
        <v>16</v>
      </c>
      <c r="Q2396">
        <v>849.36970118137594</v>
      </c>
      <c r="R2396">
        <f ca="1">YEAR(TODAY())-Table1[[#This Row],[Year Built]]</f>
        <v>16</v>
      </c>
      <c r="S2396" t="str">
        <f>IF(Table1[[#This Row],[Days on Market]] &lt; 30,"Fast",IF(Table1[[#This Row],[Days on Market]]&lt;= 90,"Average", "Slow"))</f>
        <v>Average</v>
      </c>
      <c r="T2396" t="str">
        <f>IF(Table1[[#This Row],[Price2]]&lt;500000,"Affordable",IF(Table1[[#This Row],[Price2]]&lt;1000000,"Mid range","Luxury"))</f>
        <v>Luxury</v>
      </c>
    </row>
    <row r="2397" spans="1:20" x14ac:dyDescent="0.35">
      <c r="A2397" s="3">
        <v>1222304</v>
      </c>
      <c r="B2397" s="2" t="s">
        <v>34</v>
      </c>
      <c r="C2397">
        <v>89641</v>
      </c>
      <c r="D2397" s="2" t="s">
        <v>18</v>
      </c>
      <c r="E2397">
        <v>3</v>
      </c>
      <c r="F2397">
        <v>3</v>
      </c>
      <c r="G2397" s="4">
        <f>VALUE(SUBSTITUTE(SUBSTITUTE(Table1[[#This Row],[Price]],"$",""),",",""))</f>
        <v>1222304</v>
      </c>
      <c r="H2397" s="1">
        <f>Table1[[#This Row],[Price2]]/Table1[[#This Row],[Area]]</f>
        <v>335.79780219780218</v>
      </c>
      <c r="I2397">
        <v>3640</v>
      </c>
      <c r="J2397">
        <v>2009</v>
      </c>
      <c r="K2397">
        <v>99</v>
      </c>
      <c r="L2397" t="s">
        <v>40</v>
      </c>
      <c r="M2397" t="s">
        <v>712</v>
      </c>
      <c r="N2397" s="2" t="s">
        <v>3029</v>
      </c>
      <c r="O2397" t="s">
        <v>3030</v>
      </c>
      <c r="P2397" t="s">
        <v>21</v>
      </c>
      <c r="Q2397">
        <v>335.79780219780218</v>
      </c>
      <c r="R2397">
        <f ca="1">YEAR(TODAY())-Table1[[#This Row],[Year Built]]</f>
        <v>17</v>
      </c>
      <c r="S2397" t="str">
        <f>IF(Table1[[#This Row],[Days on Market]] &lt; 30,"Fast",IF(Table1[[#This Row],[Days on Market]]&lt;= 90,"Average", "Slow"))</f>
        <v>Slow</v>
      </c>
      <c r="T2397" t="str">
        <f>IF(Table1[[#This Row],[Price2]]&lt;500000,"Affordable",IF(Table1[[#This Row],[Price2]]&lt;1000000,"Mid range","Luxury"))</f>
        <v>Luxury</v>
      </c>
    </row>
    <row r="2398" spans="1:20" x14ac:dyDescent="0.35">
      <c r="A2398" s="3">
        <v>1223253</v>
      </c>
      <c r="B2398" s="2" t="s">
        <v>34</v>
      </c>
      <c r="C2398">
        <v>76098</v>
      </c>
      <c r="D2398" s="2" t="s">
        <v>23</v>
      </c>
      <c r="E2398">
        <v>1</v>
      </c>
      <c r="F2398">
        <v>1</v>
      </c>
      <c r="G2398" s="4">
        <f>VALUE(SUBSTITUTE(SUBSTITUTE(Table1[[#This Row],[Price]],"$",""),",",""))</f>
        <v>1223253</v>
      </c>
      <c r="H2398" s="1">
        <f>Table1[[#This Row],[Price2]]/Table1[[#This Row],[Area]]</f>
        <v>1512.0556242274413</v>
      </c>
      <c r="I2398">
        <v>809</v>
      </c>
      <c r="J2398">
        <v>1997</v>
      </c>
      <c r="K2398">
        <v>99</v>
      </c>
      <c r="L2398" t="s">
        <v>19</v>
      </c>
      <c r="M2398" t="s">
        <v>2055</v>
      </c>
      <c r="N2398" s="2" t="s">
        <v>3031</v>
      </c>
      <c r="O2398" t="s">
        <v>3032</v>
      </c>
      <c r="P2398" t="s">
        <v>26</v>
      </c>
      <c r="Q2398">
        <v>1512.0556242274413</v>
      </c>
      <c r="R2398">
        <f ca="1">YEAR(TODAY())-Table1[[#This Row],[Year Built]]</f>
        <v>29</v>
      </c>
      <c r="S2398" t="str">
        <f>IF(Table1[[#This Row],[Days on Market]] &lt; 30,"Fast",IF(Table1[[#This Row],[Days on Market]]&lt;= 90,"Average", "Slow"))</f>
        <v>Slow</v>
      </c>
      <c r="T2398" t="str">
        <f>IF(Table1[[#This Row],[Price2]]&lt;500000,"Affordable",IF(Table1[[#This Row],[Price2]]&lt;1000000,"Mid range","Luxury"))</f>
        <v>Luxury</v>
      </c>
    </row>
    <row r="2399" spans="1:20" x14ac:dyDescent="0.35">
      <c r="A2399" s="3">
        <v>1223865</v>
      </c>
      <c r="B2399" s="2" t="s">
        <v>34</v>
      </c>
      <c r="C2399">
        <v>62250</v>
      </c>
      <c r="D2399" s="2" t="s">
        <v>18</v>
      </c>
      <c r="E2399">
        <v>6</v>
      </c>
      <c r="F2399">
        <v>1</v>
      </c>
      <c r="G2399" s="4">
        <f>VALUE(SUBSTITUTE(SUBSTITUTE(Table1[[#This Row],[Price]],"$",""),",",""))</f>
        <v>1223865</v>
      </c>
      <c r="H2399" s="1">
        <f>Table1[[#This Row],[Price2]]/Table1[[#This Row],[Area]]</f>
        <v>458.72001499250376</v>
      </c>
      <c r="I2399">
        <v>2668</v>
      </c>
      <c r="J2399">
        <v>1975</v>
      </c>
      <c r="K2399">
        <v>16</v>
      </c>
      <c r="L2399" t="s">
        <v>14</v>
      </c>
      <c r="M2399" t="s">
        <v>1368</v>
      </c>
      <c r="N2399" s="2" t="s">
        <v>3027</v>
      </c>
      <c r="O2399" t="s">
        <v>3028</v>
      </c>
      <c r="P2399" t="s">
        <v>26</v>
      </c>
      <c r="Q2399">
        <v>458.72001499250376</v>
      </c>
      <c r="R2399">
        <f ca="1">YEAR(TODAY())-Table1[[#This Row],[Year Built]]</f>
        <v>51</v>
      </c>
      <c r="S2399" t="str">
        <f>IF(Table1[[#This Row],[Days on Market]] &lt; 30,"Fast",IF(Table1[[#This Row],[Days on Market]]&lt;= 90,"Average", "Slow"))</f>
        <v>Fast</v>
      </c>
      <c r="T2399" t="str">
        <f>IF(Table1[[#This Row],[Price2]]&lt;500000,"Affordable",IF(Table1[[#This Row],[Price2]]&lt;1000000,"Mid range","Luxury"))</f>
        <v>Luxury</v>
      </c>
    </row>
    <row r="2400" spans="1:20" x14ac:dyDescent="0.35">
      <c r="A2400" s="3">
        <v>1224116</v>
      </c>
      <c r="B2400" s="2" t="s">
        <v>34</v>
      </c>
      <c r="C2400">
        <v>94071</v>
      </c>
      <c r="D2400" s="2" t="s">
        <v>23</v>
      </c>
      <c r="E2400">
        <v>2</v>
      </c>
      <c r="F2400">
        <v>2</v>
      </c>
      <c r="G2400" s="4">
        <f>VALUE(SUBSTITUTE(SUBSTITUTE(Table1[[#This Row],[Price]],"$",""),",",""))</f>
        <v>1224116</v>
      </c>
      <c r="H2400" s="1">
        <f>Table1[[#This Row],[Price2]]/Table1[[#This Row],[Area]]</f>
        <v>1480.1886336154776</v>
      </c>
      <c r="I2400">
        <v>827</v>
      </c>
      <c r="J2400">
        <v>2003</v>
      </c>
      <c r="K2400">
        <v>108</v>
      </c>
      <c r="L2400" t="s">
        <v>19</v>
      </c>
      <c r="M2400" t="s">
        <v>1235</v>
      </c>
      <c r="N2400" s="2" t="s">
        <v>3027</v>
      </c>
      <c r="O2400" t="s">
        <v>3028</v>
      </c>
      <c r="P2400" t="s">
        <v>16</v>
      </c>
      <c r="Q2400">
        <v>1480.1886336154776</v>
      </c>
      <c r="R2400">
        <f ca="1">YEAR(TODAY())-Table1[[#This Row],[Year Built]]</f>
        <v>23</v>
      </c>
      <c r="S2400" t="str">
        <f>IF(Table1[[#This Row],[Days on Market]] &lt; 30,"Fast",IF(Table1[[#This Row],[Days on Market]]&lt;= 90,"Average", "Slow"))</f>
        <v>Slow</v>
      </c>
      <c r="T2400" t="str">
        <f>IF(Table1[[#This Row],[Price2]]&lt;500000,"Affordable",IF(Table1[[#This Row],[Price2]]&lt;1000000,"Mid range","Luxury"))</f>
        <v>Luxury</v>
      </c>
    </row>
    <row r="2401" spans="1:20" x14ac:dyDescent="0.35">
      <c r="A2401" s="3">
        <v>1224280</v>
      </c>
      <c r="B2401" s="2" t="s">
        <v>12</v>
      </c>
      <c r="C2401">
        <v>87797</v>
      </c>
      <c r="D2401" s="2" t="s">
        <v>13</v>
      </c>
      <c r="E2401">
        <v>3</v>
      </c>
      <c r="F2401">
        <v>3</v>
      </c>
      <c r="G2401" s="4">
        <f>VALUE(SUBSTITUTE(SUBSTITUTE(Table1[[#This Row],[Price]],"$",""),",",""))</f>
        <v>1224280</v>
      </c>
      <c r="H2401" s="1">
        <f>Table1[[#This Row],[Price2]]/Table1[[#This Row],[Area]]</f>
        <v>1143.1185807656395</v>
      </c>
      <c r="I2401">
        <v>1071</v>
      </c>
      <c r="J2401">
        <v>1965</v>
      </c>
      <c r="K2401">
        <v>95</v>
      </c>
      <c r="L2401" t="s">
        <v>40</v>
      </c>
      <c r="M2401" t="s">
        <v>93</v>
      </c>
      <c r="N2401" s="2" t="s">
        <v>3033</v>
      </c>
      <c r="O2401" t="s">
        <v>3034</v>
      </c>
      <c r="P2401" t="s">
        <v>16</v>
      </c>
      <c r="Q2401">
        <v>1143.1185807656395</v>
      </c>
      <c r="R2401">
        <f ca="1">YEAR(TODAY())-Table1[[#This Row],[Year Built]]</f>
        <v>61</v>
      </c>
      <c r="S2401" t="str">
        <f>IF(Table1[[#This Row],[Days on Market]] &lt; 30,"Fast",IF(Table1[[#This Row],[Days on Market]]&lt;= 90,"Average", "Slow"))</f>
        <v>Slow</v>
      </c>
      <c r="T2401" t="str">
        <f>IF(Table1[[#This Row],[Price2]]&lt;500000,"Affordable",IF(Table1[[#This Row],[Price2]]&lt;1000000,"Mid range","Luxury"))</f>
        <v>Luxury</v>
      </c>
    </row>
    <row r="2402" spans="1:20" x14ac:dyDescent="0.35">
      <c r="A2402" s="3">
        <v>1224375</v>
      </c>
      <c r="B2402" s="2" t="s">
        <v>22</v>
      </c>
      <c r="C2402">
        <v>24576</v>
      </c>
      <c r="D2402" s="2" t="s">
        <v>35</v>
      </c>
      <c r="E2402">
        <v>4</v>
      </c>
      <c r="F2402">
        <v>1</v>
      </c>
      <c r="G2402" s="4">
        <f>VALUE(SUBSTITUTE(SUBSTITUTE(Table1[[#This Row],[Price]],"$",""),",",""))</f>
        <v>1224375</v>
      </c>
      <c r="H2402" s="1">
        <f>Table1[[#This Row],[Price2]]/Table1[[#This Row],[Area]]</f>
        <v>476.04004665629861</v>
      </c>
      <c r="I2402">
        <v>2572</v>
      </c>
      <c r="J2402">
        <v>2002</v>
      </c>
      <c r="K2402">
        <v>68</v>
      </c>
      <c r="L2402" t="s">
        <v>52</v>
      </c>
      <c r="M2402" t="s">
        <v>2319</v>
      </c>
      <c r="N2402" s="2" t="s">
        <v>3035</v>
      </c>
      <c r="O2402" t="s">
        <v>3036</v>
      </c>
      <c r="P2402" t="s">
        <v>16</v>
      </c>
      <c r="Q2402">
        <v>476.04004665629861</v>
      </c>
      <c r="R2402">
        <f ca="1">YEAR(TODAY())-Table1[[#This Row],[Year Built]]</f>
        <v>24</v>
      </c>
      <c r="S2402" t="str">
        <f>IF(Table1[[#This Row],[Days on Market]] &lt; 30,"Fast",IF(Table1[[#This Row],[Days on Market]]&lt;= 90,"Average", "Slow"))</f>
        <v>Average</v>
      </c>
      <c r="T2402" t="str">
        <f>IF(Table1[[#This Row],[Price2]]&lt;500000,"Affordable",IF(Table1[[#This Row],[Price2]]&lt;1000000,"Mid range","Luxury"))</f>
        <v>Luxury</v>
      </c>
    </row>
    <row r="2403" spans="1:20" x14ac:dyDescent="0.35">
      <c r="A2403" s="3">
        <v>1225062</v>
      </c>
      <c r="B2403" s="2" t="s">
        <v>27</v>
      </c>
      <c r="C2403">
        <v>39917</v>
      </c>
      <c r="D2403" s="2" t="s">
        <v>13</v>
      </c>
      <c r="E2403">
        <v>6</v>
      </c>
      <c r="F2403">
        <v>2</v>
      </c>
      <c r="G2403" s="4">
        <f>VALUE(SUBSTITUTE(SUBSTITUTE(Table1[[#This Row],[Price]],"$",""),",",""))</f>
        <v>1225062</v>
      </c>
      <c r="H2403" s="1">
        <f>Table1[[#This Row],[Price2]]/Table1[[#This Row],[Area]]</f>
        <v>876.2961373390558</v>
      </c>
      <c r="I2403">
        <v>1398</v>
      </c>
      <c r="J2403">
        <v>2019</v>
      </c>
      <c r="K2403">
        <v>112</v>
      </c>
      <c r="L2403" t="s">
        <v>52</v>
      </c>
      <c r="M2403" t="s">
        <v>1453</v>
      </c>
      <c r="N2403" s="2" t="s">
        <v>3027</v>
      </c>
      <c r="O2403" t="s">
        <v>3028</v>
      </c>
      <c r="P2403" t="s">
        <v>21</v>
      </c>
      <c r="Q2403">
        <v>876.2961373390558</v>
      </c>
      <c r="R2403">
        <f ca="1">YEAR(TODAY())-Table1[[#This Row],[Year Built]]</f>
        <v>7</v>
      </c>
      <c r="S2403" t="str">
        <f>IF(Table1[[#This Row],[Days on Market]] &lt; 30,"Fast",IF(Table1[[#This Row],[Days on Market]]&lt;= 90,"Average", "Slow"))</f>
        <v>Slow</v>
      </c>
      <c r="T2403" t="str">
        <f>IF(Table1[[#This Row],[Price2]]&lt;500000,"Affordable",IF(Table1[[#This Row],[Price2]]&lt;1000000,"Mid range","Luxury"))</f>
        <v>Luxury</v>
      </c>
    </row>
    <row r="2404" spans="1:20" x14ac:dyDescent="0.35">
      <c r="A2404" s="3">
        <v>1225749</v>
      </c>
      <c r="B2404" s="2" t="s">
        <v>22</v>
      </c>
      <c r="C2404">
        <v>73257</v>
      </c>
      <c r="D2404" s="2" t="s">
        <v>13</v>
      </c>
      <c r="E2404">
        <v>3</v>
      </c>
      <c r="F2404">
        <v>3</v>
      </c>
      <c r="G2404" s="4">
        <f>VALUE(SUBSTITUTE(SUBSTITUTE(Table1[[#This Row],[Price]],"$",""),",",""))</f>
        <v>1225749</v>
      </c>
      <c r="H2404" s="1">
        <f>Table1[[#This Row],[Price2]]/Table1[[#This Row],[Area]]</f>
        <v>430.08736842105264</v>
      </c>
      <c r="I2404">
        <v>2850</v>
      </c>
      <c r="J2404">
        <v>2018</v>
      </c>
      <c r="K2404">
        <v>87</v>
      </c>
      <c r="L2404" t="s">
        <v>30</v>
      </c>
      <c r="M2404" t="s">
        <v>1439</v>
      </c>
      <c r="N2404" s="2" t="s">
        <v>3031</v>
      </c>
      <c r="O2404" t="s">
        <v>3032</v>
      </c>
      <c r="P2404" t="s">
        <v>26</v>
      </c>
      <c r="Q2404">
        <v>430.08736842105264</v>
      </c>
      <c r="R2404">
        <f ca="1">YEAR(TODAY())-Table1[[#This Row],[Year Built]]</f>
        <v>8</v>
      </c>
      <c r="S2404" t="str">
        <f>IF(Table1[[#This Row],[Days on Market]] &lt; 30,"Fast",IF(Table1[[#This Row],[Days on Market]]&lt;= 90,"Average", "Slow"))</f>
        <v>Average</v>
      </c>
      <c r="T2404" t="str">
        <f>IF(Table1[[#This Row],[Price2]]&lt;500000,"Affordable",IF(Table1[[#This Row],[Price2]]&lt;1000000,"Mid range","Luxury"))</f>
        <v>Luxury</v>
      </c>
    </row>
    <row r="2405" spans="1:20" x14ac:dyDescent="0.35">
      <c r="A2405" s="3">
        <v>1225786</v>
      </c>
      <c r="B2405" s="2" t="s">
        <v>17</v>
      </c>
      <c r="C2405">
        <v>71486</v>
      </c>
      <c r="D2405" s="2" t="s">
        <v>35</v>
      </c>
      <c r="E2405">
        <v>1</v>
      </c>
      <c r="F2405">
        <v>4</v>
      </c>
      <c r="G2405" s="4">
        <f>VALUE(SUBSTITUTE(SUBSTITUTE(Table1[[#This Row],[Price]],"$",""),",",""))</f>
        <v>1225786</v>
      </c>
      <c r="H2405" s="1">
        <f>Table1[[#This Row],[Price2]]/Table1[[#This Row],[Area]]</f>
        <v>1632.2050599201066</v>
      </c>
      <c r="I2405">
        <v>751</v>
      </c>
      <c r="J2405">
        <v>2021</v>
      </c>
      <c r="K2405">
        <v>1</v>
      </c>
      <c r="L2405" t="s">
        <v>19</v>
      </c>
      <c r="M2405" t="s">
        <v>1778</v>
      </c>
      <c r="N2405" s="2" t="s">
        <v>3035</v>
      </c>
      <c r="O2405" t="s">
        <v>3036</v>
      </c>
      <c r="P2405" t="s">
        <v>21</v>
      </c>
      <c r="Q2405">
        <v>1632.2050599201066</v>
      </c>
      <c r="R2405">
        <f ca="1">YEAR(TODAY())-Table1[[#This Row],[Year Built]]</f>
        <v>5</v>
      </c>
      <c r="S2405" t="str">
        <f>IF(Table1[[#This Row],[Days on Market]] &lt; 30,"Fast",IF(Table1[[#This Row],[Days on Market]]&lt;= 90,"Average", "Slow"))</f>
        <v>Fast</v>
      </c>
      <c r="T2405" t="str">
        <f>IF(Table1[[#This Row],[Price2]]&lt;500000,"Affordable",IF(Table1[[#This Row],[Price2]]&lt;1000000,"Mid range","Luxury"))</f>
        <v>Luxury</v>
      </c>
    </row>
    <row r="2406" spans="1:20" x14ac:dyDescent="0.35">
      <c r="A2406" s="3">
        <v>1226168</v>
      </c>
      <c r="B2406" s="2" t="s">
        <v>22</v>
      </c>
      <c r="C2406">
        <v>39459</v>
      </c>
      <c r="D2406" s="2" t="s">
        <v>29</v>
      </c>
      <c r="E2406">
        <v>6</v>
      </c>
      <c r="F2406">
        <v>3</v>
      </c>
      <c r="G2406" s="4">
        <f>VALUE(SUBSTITUTE(SUBSTITUTE(Table1[[#This Row],[Price]],"$",""),",",""))</f>
        <v>1226168</v>
      </c>
      <c r="H2406" s="1">
        <f>Table1[[#This Row],[Price2]]/Table1[[#This Row],[Area]]</f>
        <v>418.05932492328674</v>
      </c>
      <c r="I2406">
        <v>2933</v>
      </c>
      <c r="J2406">
        <v>1967</v>
      </c>
      <c r="K2406">
        <v>84</v>
      </c>
      <c r="L2406" t="s">
        <v>14</v>
      </c>
      <c r="M2406" t="s">
        <v>1354</v>
      </c>
      <c r="N2406" s="2" t="s">
        <v>3033</v>
      </c>
      <c r="O2406" t="s">
        <v>3034</v>
      </c>
      <c r="P2406" t="s">
        <v>21</v>
      </c>
      <c r="Q2406">
        <v>418.05932492328674</v>
      </c>
      <c r="R2406">
        <f ca="1">YEAR(TODAY())-Table1[[#This Row],[Year Built]]</f>
        <v>59</v>
      </c>
      <c r="S2406" t="str">
        <f>IF(Table1[[#This Row],[Days on Market]] &lt; 30,"Fast",IF(Table1[[#This Row],[Days on Market]]&lt;= 90,"Average", "Slow"))</f>
        <v>Average</v>
      </c>
      <c r="T2406" t="str">
        <f>IF(Table1[[#This Row],[Price2]]&lt;500000,"Affordable",IF(Table1[[#This Row],[Price2]]&lt;1000000,"Mid range","Luxury"))</f>
        <v>Luxury</v>
      </c>
    </row>
    <row r="2407" spans="1:20" x14ac:dyDescent="0.35">
      <c r="A2407" s="3">
        <v>1226639</v>
      </c>
      <c r="B2407" s="2" t="s">
        <v>27</v>
      </c>
      <c r="C2407">
        <v>75773</v>
      </c>
      <c r="D2407" s="2" t="s">
        <v>35</v>
      </c>
      <c r="E2407">
        <v>6</v>
      </c>
      <c r="F2407">
        <v>2</v>
      </c>
      <c r="G2407" s="4">
        <f>VALUE(SUBSTITUTE(SUBSTITUTE(Table1[[#This Row],[Price]],"$",""),",",""))</f>
        <v>1226639</v>
      </c>
      <c r="H2407" s="1">
        <f>Table1[[#This Row],[Price2]]/Table1[[#This Row],[Area]]</f>
        <v>492.82402571313781</v>
      </c>
      <c r="I2407">
        <v>2489</v>
      </c>
      <c r="J2407">
        <v>1967</v>
      </c>
      <c r="K2407">
        <v>7</v>
      </c>
      <c r="L2407" t="s">
        <v>19</v>
      </c>
      <c r="M2407" t="s">
        <v>1365</v>
      </c>
      <c r="N2407" s="2" t="s">
        <v>3029</v>
      </c>
      <c r="O2407" t="s">
        <v>3030</v>
      </c>
      <c r="P2407" t="s">
        <v>26</v>
      </c>
      <c r="Q2407">
        <v>492.82402571313781</v>
      </c>
      <c r="R2407">
        <f ca="1">YEAR(TODAY())-Table1[[#This Row],[Year Built]]</f>
        <v>59</v>
      </c>
      <c r="S2407" t="str">
        <f>IF(Table1[[#This Row],[Days on Market]] &lt; 30,"Fast",IF(Table1[[#This Row],[Days on Market]]&lt;= 90,"Average", "Slow"))</f>
        <v>Fast</v>
      </c>
      <c r="T2407" t="str">
        <f>IF(Table1[[#This Row],[Price2]]&lt;500000,"Affordable",IF(Table1[[#This Row],[Price2]]&lt;1000000,"Mid range","Luxury"))</f>
        <v>Luxury</v>
      </c>
    </row>
    <row r="2408" spans="1:20" x14ac:dyDescent="0.35">
      <c r="A2408" s="3">
        <v>1226738</v>
      </c>
      <c r="B2408" s="2" t="s">
        <v>27</v>
      </c>
      <c r="C2408">
        <v>82694</v>
      </c>
      <c r="D2408" s="2" t="s">
        <v>35</v>
      </c>
      <c r="E2408">
        <v>5</v>
      </c>
      <c r="F2408">
        <v>3</v>
      </c>
      <c r="G2408" s="4">
        <f>VALUE(SUBSTITUTE(SUBSTITUTE(Table1[[#This Row],[Price]],"$",""),",",""))</f>
        <v>1226738</v>
      </c>
      <c r="H2408" s="1">
        <f>Table1[[#This Row],[Price2]]/Table1[[#This Row],[Area]]</f>
        <v>412.48755884330865</v>
      </c>
      <c r="I2408">
        <v>2974</v>
      </c>
      <c r="J2408">
        <v>1996</v>
      </c>
      <c r="K2408">
        <v>120</v>
      </c>
      <c r="L2408" t="s">
        <v>40</v>
      </c>
      <c r="M2408" t="s">
        <v>2465</v>
      </c>
      <c r="N2408" s="2" t="s">
        <v>3029</v>
      </c>
      <c r="O2408" t="s">
        <v>3030</v>
      </c>
      <c r="P2408" t="s">
        <v>16</v>
      </c>
      <c r="Q2408">
        <v>412.48755884330865</v>
      </c>
      <c r="R2408">
        <f ca="1">YEAR(TODAY())-Table1[[#This Row],[Year Built]]</f>
        <v>30</v>
      </c>
      <c r="S2408" t="str">
        <f>IF(Table1[[#This Row],[Days on Market]] &lt; 30,"Fast",IF(Table1[[#This Row],[Days on Market]]&lt;= 90,"Average", "Slow"))</f>
        <v>Slow</v>
      </c>
      <c r="T2408" t="str">
        <f>IF(Table1[[#This Row],[Price2]]&lt;500000,"Affordable",IF(Table1[[#This Row],[Price2]]&lt;1000000,"Mid range","Luxury"))</f>
        <v>Luxury</v>
      </c>
    </row>
    <row r="2409" spans="1:20" x14ac:dyDescent="0.35">
      <c r="A2409" s="3">
        <v>1227751</v>
      </c>
      <c r="B2409" s="2" t="s">
        <v>34</v>
      </c>
      <c r="C2409">
        <v>73849</v>
      </c>
      <c r="D2409" s="2" t="s">
        <v>29</v>
      </c>
      <c r="E2409">
        <v>6</v>
      </c>
      <c r="F2409">
        <v>1</v>
      </c>
      <c r="G2409" s="4">
        <f>VALUE(SUBSTITUTE(SUBSTITUTE(Table1[[#This Row],[Price]],"$",""),",",""))</f>
        <v>1227751</v>
      </c>
      <c r="H2409" s="1">
        <f>Table1[[#This Row],[Price2]]/Table1[[#This Row],[Area]]</f>
        <v>888.38712011577422</v>
      </c>
      <c r="I2409">
        <v>1382</v>
      </c>
      <c r="J2409">
        <v>1974</v>
      </c>
      <c r="K2409">
        <v>72</v>
      </c>
      <c r="L2409" t="s">
        <v>30</v>
      </c>
      <c r="M2409" t="s">
        <v>998</v>
      </c>
      <c r="N2409" s="2" t="s">
        <v>3035</v>
      </c>
      <c r="O2409" t="s">
        <v>3036</v>
      </c>
      <c r="P2409" t="s">
        <v>21</v>
      </c>
      <c r="Q2409">
        <v>888.38712011577422</v>
      </c>
      <c r="R2409">
        <f ca="1">YEAR(TODAY())-Table1[[#This Row],[Year Built]]</f>
        <v>52</v>
      </c>
      <c r="S2409" t="str">
        <f>IF(Table1[[#This Row],[Days on Market]] &lt; 30,"Fast",IF(Table1[[#This Row],[Days on Market]]&lt;= 90,"Average", "Slow"))</f>
        <v>Average</v>
      </c>
      <c r="T2409" t="str">
        <f>IF(Table1[[#This Row],[Price2]]&lt;500000,"Affordable",IF(Table1[[#This Row],[Price2]]&lt;1000000,"Mid range","Luxury"))</f>
        <v>Luxury</v>
      </c>
    </row>
    <row r="2410" spans="1:20" x14ac:dyDescent="0.35">
      <c r="A2410" s="3">
        <v>1227874</v>
      </c>
      <c r="B2410" s="2" t="s">
        <v>27</v>
      </c>
      <c r="C2410">
        <v>10978</v>
      </c>
      <c r="D2410" s="2" t="s">
        <v>35</v>
      </c>
      <c r="E2410">
        <v>3</v>
      </c>
      <c r="F2410">
        <v>4</v>
      </c>
      <c r="G2410" s="4">
        <f>VALUE(SUBSTITUTE(SUBSTITUTE(Table1[[#This Row],[Price]],"$",""),",",""))</f>
        <v>1227874</v>
      </c>
      <c r="H2410" s="1">
        <f>Table1[[#This Row],[Price2]]/Table1[[#This Row],[Area]]</f>
        <v>565.8405529953917</v>
      </c>
      <c r="I2410">
        <v>2170</v>
      </c>
      <c r="J2410">
        <v>2018</v>
      </c>
      <c r="K2410">
        <v>38</v>
      </c>
      <c r="L2410" t="s">
        <v>52</v>
      </c>
      <c r="M2410" t="s">
        <v>1710</v>
      </c>
      <c r="N2410" s="2" t="s">
        <v>3027</v>
      </c>
      <c r="O2410" t="s">
        <v>3028</v>
      </c>
      <c r="P2410" t="s">
        <v>26</v>
      </c>
      <c r="Q2410">
        <v>565.8405529953917</v>
      </c>
      <c r="R2410">
        <f ca="1">YEAR(TODAY())-Table1[[#This Row],[Year Built]]</f>
        <v>8</v>
      </c>
      <c r="S2410" t="str">
        <f>IF(Table1[[#This Row],[Days on Market]] &lt; 30,"Fast",IF(Table1[[#This Row],[Days on Market]]&lt;= 90,"Average", "Slow"))</f>
        <v>Average</v>
      </c>
      <c r="T2410" t="str">
        <f>IF(Table1[[#This Row],[Price2]]&lt;500000,"Affordable",IF(Table1[[#This Row],[Price2]]&lt;1000000,"Mid range","Luxury"))</f>
        <v>Luxury</v>
      </c>
    </row>
    <row r="2411" spans="1:20" x14ac:dyDescent="0.35">
      <c r="A2411" s="3">
        <v>1228020</v>
      </c>
      <c r="B2411" s="2" t="s">
        <v>27</v>
      </c>
      <c r="C2411">
        <v>37339</v>
      </c>
      <c r="D2411" s="2" t="s">
        <v>18</v>
      </c>
      <c r="E2411">
        <v>2</v>
      </c>
      <c r="F2411">
        <v>2</v>
      </c>
      <c r="G2411" s="4">
        <f>VALUE(SUBSTITUTE(SUBSTITUTE(Table1[[#This Row],[Price]],"$",""),",",""))</f>
        <v>1228020</v>
      </c>
      <c r="H2411" s="1">
        <f>Table1[[#This Row],[Price2]]/Table1[[#This Row],[Area]]</f>
        <v>341.40116763969974</v>
      </c>
      <c r="I2411">
        <v>3597</v>
      </c>
      <c r="J2411">
        <v>1958</v>
      </c>
      <c r="K2411">
        <v>24</v>
      </c>
      <c r="L2411" t="s">
        <v>52</v>
      </c>
      <c r="M2411" t="s">
        <v>566</v>
      </c>
      <c r="N2411" s="2" t="s">
        <v>3035</v>
      </c>
      <c r="O2411" t="s">
        <v>3036</v>
      </c>
      <c r="P2411" t="s">
        <v>26</v>
      </c>
      <c r="Q2411">
        <v>341.40116763969974</v>
      </c>
      <c r="R2411">
        <f ca="1">YEAR(TODAY())-Table1[[#This Row],[Year Built]]</f>
        <v>68</v>
      </c>
      <c r="S2411" t="str">
        <f>IF(Table1[[#This Row],[Days on Market]] &lt; 30,"Fast",IF(Table1[[#This Row],[Days on Market]]&lt;= 90,"Average", "Slow"))</f>
        <v>Fast</v>
      </c>
      <c r="T2411" t="str">
        <f>IF(Table1[[#This Row],[Price2]]&lt;500000,"Affordable",IF(Table1[[#This Row],[Price2]]&lt;1000000,"Mid range","Luxury"))</f>
        <v>Luxury</v>
      </c>
    </row>
    <row r="2412" spans="1:20" x14ac:dyDescent="0.35">
      <c r="A2412" s="3">
        <v>1228076</v>
      </c>
      <c r="B2412" s="2" t="s">
        <v>34</v>
      </c>
      <c r="C2412">
        <v>70948</v>
      </c>
      <c r="D2412" s="2" t="s">
        <v>13</v>
      </c>
      <c r="E2412">
        <v>5</v>
      </c>
      <c r="F2412">
        <v>4</v>
      </c>
      <c r="G2412" s="4">
        <f>VALUE(SUBSTITUTE(SUBSTITUTE(Table1[[#This Row],[Price]],"$",""),",",""))</f>
        <v>1228076</v>
      </c>
      <c r="H2412" s="1">
        <f>Table1[[#This Row],[Price2]]/Table1[[#This Row],[Area]]</f>
        <v>641.29295039164492</v>
      </c>
      <c r="I2412">
        <v>1915</v>
      </c>
      <c r="J2412">
        <v>2016</v>
      </c>
      <c r="K2412">
        <v>5</v>
      </c>
      <c r="L2412" t="s">
        <v>40</v>
      </c>
      <c r="M2412" t="s">
        <v>2884</v>
      </c>
      <c r="N2412" s="2" t="s">
        <v>3029</v>
      </c>
      <c r="O2412" t="s">
        <v>3030</v>
      </c>
      <c r="P2412" t="s">
        <v>26</v>
      </c>
      <c r="Q2412">
        <v>641.29295039164492</v>
      </c>
      <c r="R2412">
        <f ca="1">YEAR(TODAY())-Table1[[#This Row],[Year Built]]</f>
        <v>10</v>
      </c>
      <c r="S2412" t="str">
        <f>IF(Table1[[#This Row],[Days on Market]] &lt; 30,"Fast",IF(Table1[[#This Row],[Days on Market]]&lt;= 90,"Average", "Slow"))</f>
        <v>Fast</v>
      </c>
      <c r="T2412" t="str">
        <f>IF(Table1[[#This Row],[Price2]]&lt;500000,"Affordable",IF(Table1[[#This Row],[Price2]]&lt;1000000,"Mid range","Luxury"))</f>
        <v>Luxury</v>
      </c>
    </row>
    <row r="2413" spans="1:20" x14ac:dyDescent="0.35">
      <c r="A2413" s="3">
        <v>1228208</v>
      </c>
      <c r="B2413" s="2" t="s">
        <v>17</v>
      </c>
      <c r="C2413">
        <v>30014</v>
      </c>
      <c r="D2413" s="2" t="s">
        <v>29</v>
      </c>
      <c r="E2413">
        <v>6</v>
      </c>
      <c r="F2413">
        <v>1</v>
      </c>
      <c r="G2413" s="4">
        <f>VALUE(SUBSTITUTE(SUBSTITUTE(Table1[[#This Row],[Price]],"$",""),",",""))</f>
        <v>1228208</v>
      </c>
      <c r="H2413" s="1">
        <f>Table1[[#This Row],[Price2]]/Table1[[#This Row],[Area]]</f>
        <v>364.45341246290803</v>
      </c>
      <c r="I2413">
        <v>3370</v>
      </c>
      <c r="J2413">
        <v>1981</v>
      </c>
      <c r="K2413">
        <v>87</v>
      </c>
      <c r="L2413" t="s">
        <v>30</v>
      </c>
      <c r="M2413" t="s">
        <v>895</v>
      </c>
      <c r="N2413" s="2" t="s">
        <v>3027</v>
      </c>
      <c r="O2413" t="s">
        <v>3028</v>
      </c>
      <c r="P2413" t="s">
        <v>21</v>
      </c>
      <c r="Q2413">
        <v>364.45341246290803</v>
      </c>
      <c r="R2413">
        <f ca="1">YEAR(TODAY())-Table1[[#This Row],[Year Built]]</f>
        <v>45</v>
      </c>
      <c r="S2413" t="str">
        <f>IF(Table1[[#This Row],[Days on Market]] &lt; 30,"Fast",IF(Table1[[#This Row],[Days on Market]]&lt;= 90,"Average", "Slow"))</f>
        <v>Average</v>
      </c>
      <c r="T2413" t="str">
        <f>IF(Table1[[#This Row],[Price2]]&lt;500000,"Affordable",IF(Table1[[#This Row],[Price2]]&lt;1000000,"Mid range","Luxury"))</f>
        <v>Luxury</v>
      </c>
    </row>
    <row r="2414" spans="1:20" x14ac:dyDescent="0.35">
      <c r="A2414" s="3">
        <v>1228378</v>
      </c>
      <c r="B2414" s="2" t="s">
        <v>22</v>
      </c>
      <c r="C2414">
        <v>74884</v>
      </c>
      <c r="D2414" s="2" t="s">
        <v>13</v>
      </c>
      <c r="E2414">
        <v>5</v>
      </c>
      <c r="F2414">
        <v>3</v>
      </c>
      <c r="G2414" s="4">
        <f>VALUE(SUBSTITUTE(SUBSTITUTE(Table1[[#This Row],[Price]],"$",""),",",""))</f>
        <v>1228378</v>
      </c>
      <c r="H2414" s="1">
        <f>Table1[[#This Row],[Price2]]/Table1[[#This Row],[Area]]</f>
        <v>444.90329590727998</v>
      </c>
      <c r="I2414">
        <v>2761</v>
      </c>
      <c r="J2414">
        <v>1972</v>
      </c>
      <c r="K2414">
        <v>46</v>
      </c>
      <c r="L2414" t="s">
        <v>14</v>
      </c>
      <c r="M2414" t="s">
        <v>983</v>
      </c>
      <c r="N2414" s="2" t="s">
        <v>3033</v>
      </c>
      <c r="O2414" t="s">
        <v>3034</v>
      </c>
      <c r="P2414" t="s">
        <v>21</v>
      </c>
      <c r="Q2414">
        <v>444.90329590727998</v>
      </c>
      <c r="R2414">
        <f ca="1">YEAR(TODAY())-Table1[[#This Row],[Year Built]]</f>
        <v>54</v>
      </c>
      <c r="S2414" t="str">
        <f>IF(Table1[[#This Row],[Days on Market]] &lt; 30,"Fast",IF(Table1[[#This Row],[Days on Market]]&lt;= 90,"Average", "Slow"))</f>
        <v>Average</v>
      </c>
      <c r="T2414" t="str">
        <f>IF(Table1[[#This Row],[Price2]]&lt;500000,"Affordable",IF(Table1[[#This Row],[Price2]]&lt;1000000,"Mid range","Luxury"))</f>
        <v>Luxury</v>
      </c>
    </row>
    <row r="2415" spans="1:20" x14ac:dyDescent="0.35">
      <c r="A2415" s="3">
        <v>1228673</v>
      </c>
      <c r="B2415" s="2" t="s">
        <v>17</v>
      </c>
      <c r="C2415">
        <v>49968</v>
      </c>
      <c r="D2415" s="2" t="s">
        <v>13</v>
      </c>
      <c r="E2415">
        <v>3</v>
      </c>
      <c r="F2415">
        <v>2</v>
      </c>
      <c r="G2415" s="4">
        <f>VALUE(SUBSTITUTE(SUBSTITUTE(Table1[[#This Row],[Price]],"$",""),",",""))</f>
        <v>1228673</v>
      </c>
      <c r="H2415" s="1">
        <f>Table1[[#This Row],[Price2]]/Table1[[#This Row],[Area]]</f>
        <v>382.0500621890547</v>
      </c>
      <c r="I2415">
        <v>3216</v>
      </c>
      <c r="J2415">
        <v>2009</v>
      </c>
      <c r="K2415">
        <v>20</v>
      </c>
      <c r="L2415" t="s">
        <v>40</v>
      </c>
      <c r="M2415" t="s">
        <v>1919</v>
      </c>
      <c r="N2415" s="2" t="s">
        <v>3033</v>
      </c>
      <c r="O2415" t="s">
        <v>3034</v>
      </c>
      <c r="P2415" t="s">
        <v>21</v>
      </c>
      <c r="Q2415">
        <v>382.0500621890547</v>
      </c>
      <c r="R2415">
        <f ca="1">YEAR(TODAY())-Table1[[#This Row],[Year Built]]</f>
        <v>17</v>
      </c>
      <c r="S2415" t="str">
        <f>IF(Table1[[#This Row],[Days on Market]] &lt; 30,"Fast",IF(Table1[[#This Row],[Days on Market]]&lt;= 90,"Average", "Slow"))</f>
        <v>Fast</v>
      </c>
      <c r="T2415" t="str">
        <f>IF(Table1[[#This Row],[Price2]]&lt;500000,"Affordable",IF(Table1[[#This Row],[Price2]]&lt;1000000,"Mid range","Luxury"))</f>
        <v>Luxury</v>
      </c>
    </row>
    <row r="2416" spans="1:20" x14ac:dyDescent="0.35">
      <c r="A2416" s="3">
        <v>1229258</v>
      </c>
      <c r="B2416" s="2" t="s">
        <v>17</v>
      </c>
      <c r="C2416">
        <v>41174</v>
      </c>
      <c r="D2416" s="2" t="s">
        <v>29</v>
      </c>
      <c r="E2416">
        <v>2</v>
      </c>
      <c r="F2416">
        <v>1</v>
      </c>
      <c r="G2416" s="4">
        <f>VALUE(SUBSTITUTE(SUBSTITUTE(Table1[[#This Row],[Price]],"$",""),",",""))</f>
        <v>1229258</v>
      </c>
      <c r="H2416" s="1">
        <f>Table1[[#This Row],[Price2]]/Table1[[#This Row],[Area]]</f>
        <v>456.97323420074349</v>
      </c>
      <c r="I2416">
        <v>2690</v>
      </c>
      <c r="J2416">
        <v>1955</v>
      </c>
      <c r="K2416">
        <v>56</v>
      </c>
      <c r="L2416" t="s">
        <v>40</v>
      </c>
      <c r="M2416" t="s">
        <v>186</v>
      </c>
      <c r="N2416" s="2" t="s">
        <v>3029</v>
      </c>
      <c r="O2416" t="s">
        <v>3030</v>
      </c>
      <c r="P2416" t="s">
        <v>21</v>
      </c>
      <c r="Q2416">
        <v>456.97323420074349</v>
      </c>
      <c r="R2416">
        <f ca="1">YEAR(TODAY())-Table1[[#This Row],[Year Built]]</f>
        <v>71</v>
      </c>
      <c r="S2416" t="str">
        <f>IF(Table1[[#This Row],[Days on Market]] &lt; 30,"Fast",IF(Table1[[#This Row],[Days on Market]]&lt;= 90,"Average", "Slow"))</f>
        <v>Average</v>
      </c>
      <c r="T2416" t="str">
        <f>IF(Table1[[#This Row],[Price2]]&lt;500000,"Affordable",IF(Table1[[#This Row],[Price2]]&lt;1000000,"Mid range","Luxury"))</f>
        <v>Luxury</v>
      </c>
    </row>
    <row r="2417" spans="1:20" x14ac:dyDescent="0.35">
      <c r="A2417" s="3">
        <v>1229367</v>
      </c>
      <c r="B2417" s="2" t="s">
        <v>22</v>
      </c>
      <c r="C2417">
        <v>62655</v>
      </c>
      <c r="D2417" s="2" t="s">
        <v>23</v>
      </c>
      <c r="E2417">
        <v>5</v>
      </c>
      <c r="F2417">
        <v>1</v>
      </c>
      <c r="G2417" s="4">
        <f>VALUE(SUBSTITUTE(SUBSTITUTE(Table1[[#This Row],[Price]],"$",""),",",""))</f>
        <v>1229367</v>
      </c>
      <c r="H2417" s="1">
        <f>Table1[[#This Row],[Price2]]/Table1[[#This Row],[Area]]</f>
        <v>978.79538216560513</v>
      </c>
      <c r="I2417">
        <v>1256</v>
      </c>
      <c r="J2417">
        <v>1963</v>
      </c>
      <c r="K2417">
        <v>80</v>
      </c>
      <c r="L2417" t="s">
        <v>52</v>
      </c>
      <c r="M2417" t="s">
        <v>765</v>
      </c>
      <c r="N2417" s="2" t="s">
        <v>3029</v>
      </c>
      <c r="O2417" t="s">
        <v>3030</v>
      </c>
      <c r="P2417" t="s">
        <v>21</v>
      </c>
      <c r="Q2417">
        <v>978.79538216560513</v>
      </c>
      <c r="R2417">
        <f ca="1">YEAR(TODAY())-Table1[[#This Row],[Year Built]]</f>
        <v>63</v>
      </c>
      <c r="S2417" t="str">
        <f>IF(Table1[[#This Row],[Days on Market]] &lt; 30,"Fast",IF(Table1[[#This Row],[Days on Market]]&lt;= 90,"Average", "Slow"))</f>
        <v>Average</v>
      </c>
      <c r="T2417" t="str">
        <f>IF(Table1[[#This Row],[Price2]]&lt;500000,"Affordable",IF(Table1[[#This Row],[Price2]]&lt;1000000,"Mid range","Luxury"))</f>
        <v>Luxury</v>
      </c>
    </row>
    <row r="2418" spans="1:20" x14ac:dyDescent="0.35">
      <c r="A2418" s="3">
        <v>1230304</v>
      </c>
      <c r="B2418" s="2" t="s">
        <v>12</v>
      </c>
      <c r="C2418">
        <v>56546</v>
      </c>
      <c r="D2418" s="2" t="s">
        <v>23</v>
      </c>
      <c r="E2418">
        <v>6</v>
      </c>
      <c r="F2418">
        <v>2</v>
      </c>
      <c r="G2418" s="4">
        <f>VALUE(SUBSTITUTE(SUBSTITUTE(Table1[[#This Row],[Price]],"$",""),",",""))</f>
        <v>1230304</v>
      </c>
      <c r="H2418" s="1">
        <f>Table1[[#This Row],[Price2]]/Table1[[#This Row],[Area]]</f>
        <v>534.45004344048652</v>
      </c>
      <c r="I2418">
        <v>2302</v>
      </c>
      <c r="J2418">
        <v>1957</v>
      </c>
      <c r="K2418">
        <v>110</v>
      </c>
      <c r="L2418" t="s">
        <v>19</v>
      </c>
      <c r="M2418" t="s">
        <v>2608</v>
      </c>
      <c r="N2418" s="2" t="s">
        <v>3031</v>
      </c>
      <c r="O2418" t="s">
        <v>3032</v>
      </c>
      <c r="P2418" t="s">
        <v>21</v>
      </c>
      <c r="Q2418">
        <v>534.45004344048652</v>
      </c>
      <c r="R2418">
        <f ca="1">YEAR(TODAY())-Table1[[#This Row],[Year Built]]</f>
        <v>69</v>
      </c>
      <c r="S2418" t="str">
        <f>IF(Table1[[#This Row],[Days on Market]] &lt; 30,"Fast",IF(Table1[[#This Row],[Days on Market]]&lt;= 90,"Average", "Slow"))</f>
        <v>Slow</v>
      </c>
      <c r="T2418" t="str">
        <f>IF(Table1[[#This Row],[Price2]]&lt;500000,"Affordable",IF(Table1[[#This Row],[Price2]]&lt;1000000,"Mid range","Luxury"))</f>
        <v>Luxury</v>
      </c>
    </row>
    <row r="2419" spans="1:20" x14ac:dyDescent="0.35">
      <c r="A2419" s="3">
        <v>1230642</v>
      </c>
      <c r="B2419" s="2" t="s">
        <v>34</v>
      </c>
      <c r="C2419">
        <v>82340</v>
      </c>
      <c r="D2419" s="2" t="s">
        <v>35</v>
      </c>
      <c r="E2419">
        <v>5</v>
      </c>
      <c r="F2419">
        <v>4</v>
      </c>
      <c r="G2419" s="4">
        <f>VALUE(SUBSTITUTE(SUBSTITUTE(Table1[[#This Row],[Price]],"$",""),",",""))</f>
        <v>1230642</v>
      </c>
      <c r="H2419" s="1">
        <f>Table1[[#This Row],[Price2]]/Table1[[#This Row],[Area]]</f>
        <v>525.46626814688295</v>
      </c>
      <c r="I2419">
        <v>2342</v>
      </c>
      <c r="J2419">
        <v>2021</v>
      </c>
      <c r="K2419">
        <v>61</v>
      </c>
      <c r="L2419" t="s">
        <v>40</v>
      </c>
      <c r="M2419" t="s">
        <v>234</v>
      </c>
      <c r="N2419" s="2" t="s">
        <v>3031</v>
      </c>
      <c r="O2419" t="s">
        <v>3032</v>
      </c>
      <c r="P2419" t="s">
        <v>16</v>
      </c>
      <c r="Q2419">
        <v>525.46626814688295</v>
      </c>
      <c r="R2419">
        <f ca="1">YEAR(TODAY())-Table1[[#This Row],[Year Built]]</f>
        <v>5</v>
      </c>
      <c r="S2419" t="str">
        <f>IF(Table1[[#This Row],[Days on Market]] &lt; 30,"Fast",IF(Table1[[#This Row],[Days on Market]]&lt;= 90,"Average", "Slow"))</f>
        <v>Average</v>
      </c>
      <c r="T2419" t="str">
        <f>IF(Table1[[#This Row],[Price2]]&lt;500000,"Affordable",IF(Table1[[#This Row],[Price2]]&lt;1000000,"Mid range","Luxury"))</f>
        <v>Luxury</v>
      </c>
    </row>
    <row r="2420" spans="1:20" x14ac:dyDescent="0.35">
      <c r="A2420" s="3">
        <v>1231600</v>
      </c>
      <c r="B2420" s="2" t="s">
        <v>12</v>
      </c>
      <c r="C2420">
        <v>65902</v>
      </c>
      <c r="D2420" s="2" t="s">
        <v>13</v>
      </c>
      <c r="E2420">
        <v>1</v>
      </c>
      <c r="F2420">
        <v>3</v>
      </c>
      <c r="G2420" s="4">
        <f>VALUE(SUBSTITUTE(SUBSTITUTE(Table1[[#This Row],[Price]],"$",""),",",""))</f>
        <v>1231600</v>
      </c>
      <c r="H2420" s="1">
        <f>Table1[[#This Row],[Price2]]/Table1[[#This Row],[Area]]</f>
        <v>338.35164835164835</v>
      </c>
      <c r="I2420">
        <v>3640</v>
      </c>
      <c r="J2420">
        <v>2008</v>
      </c>
      <c r="K2420">
        <v>108</v>
      </c>
      <c r="L2420" t="s">
        <v>52</v>
      </c>
      <c r="M2420" t="s">
        <v>65</v>
      </c>
      <c r="N2420" s="2" t="s">
        <v>3031</v>
      </c>
      <c r="O2420" t="s">
        <v>3032</v>
      </c>
      <c r="P2420" t="s">
        <v>21</v>
      </c>
      <c r="Q2420">
        <v>338.35164835164835</v>
      </c>
      <c r="R2420">
        <f ca="1">YEAR(TODAY())-Table1[[#This Row],[Year Built]]</f>
        <v>18</v>
      </c>
      <c r="S2420" t="str">
        <f>IF(Table1[[#This Row],[Days on Market]] &lt; 30,"Fast",IF(Table1[[#This Row],[Days on Market]]&lt;= 90,"Average", "Slow"))</f>
        <v>Slow</v>
      </c>
      <c r="T2420" t="str">
        <f>IF(Table1[[#This Row],[Price2]]&lt;500000,"Affordable",IF(Table1[[#This Row],[Price2]]&lt;1000000,"Mid range","Luxury"))</f>
        <v>Luxury</v>
      </c>
    </row>
    <row r="2421" spans="1:20" x14ac:dyDescent="0.35">
      <c r="A2421" s="3">
        <v>1232947</v>
      </c>
      <c r="B2421" s="2" t="s">
        <v>12</v>
      </c>
      <c r="C2421">
        <v>47585</v>
      </c>
      <c r="D2421" s="2" t="s">
        <v>35</v>
      </c>
      <c r="E2421">
        <v>5</v>
      </c>
      <c r="F2421">
        <v>4</v>
      </c>
      <c r="G2421" s="4">
        <f>VALUE(SUBSTITUTE(SUBSTITUTE(Table1[[#This Row],[Price]],"$",""),",",""))</f>
        <v>1232947</v>
      </c>
      <c r="H2421" s="1">
        <f>Table1[[#This Row],[Price2]]/Table1[[#This Row],[Area]]</f>
        <v>496.35547504025766</v>
      </c>
      <c r="I2421">
        <v>2484</v>
      </c>
      <c r="J2421">
        <v>1970</v>
      </c>
      <c r="K2421">
        <v>83</v>
      </c>
      <c r="L2421" t="s">
        <v>14</v>
      </c>
      <c r="M2421" t="s">
        <v>1834</v>
      </c>
      <c r="N2421" s="2" t="s">
        <v>3033</v>
      </c>
      <c r="O2421" t="s">
        <v>3034</v>
      </c>
      <c r="P2421" t="s">
        <v>26</v>
      </c>
      <c r="Q2421">
        <v>496.35547504025766</v>
      </c>
      <c r="R2421">
        <f ca="1">YEAR(TODAY())-Table1[[#This Row],[Year Built]]</f>
        <v>56</v>
      </c>
      <c r="S2421" t="str">
        <f>IF(Table1[[#This Row],[Days on Market]] &lt; 30,"Fast",IF(Table1[[#This Row],[Days on Market]]&lt;= 90,"Average", "Slow"))</f>
        <v>Average</v>
      </c>
      <c r="T2421" t="str">
        <f>IF(Table1[[#This Row],[Price2]]&lt;500000,"Affordable",IF(Table1[[#This Row],[Price2]]&lt;1000000,"Mid range","Luxury"))</f>
        <v>Luxury</v>
      </c>
    </row>
    <row r="2422" spans="1:20" x14ac:dyDescent="0.35">
      <c r="A2422" s="3">
        <v>1233217</v>
      </c>
      <c r="B2422" s="2" t="s">
        <v>27</v>
      </c>
      <c r="C2422">
        <v>40751</v>
      </c>
      <c r="D2422" s="2" t="s">
        <v>13</v>
      </c>
      <c r="E2422">
        <v>1</v>
      </c>
      <c r="F2422">
        <v>4</v>
      </c>
      <c r="G2422" s="4">
        <f>VALUE(SUBSTITUTE(SUBSTITUTE(Table1[[#This Row],[Price]],"$",""),",",""))</f>
        <v>1233217</v>
      </c>
      <c r="H2422" s="1">
        <f>Table1[[#This Row],[Price2]]/Table1[[#This Row],[Area]]</f>
        <v>510.4375</v>
      </c>
      <c r="I2422">
        <v>2416</v>
      </c>
      <c r="J2422">
        <v>2018</v>
      </c>
      <c r="K2422">
        <v>4</v>
      </c>
      <c r="L2422" t="s">
        <v>19</v>
      </c>
      <c r="M2422" t="s">
        <v>2333</v>
      </c>
      <c r="N2422" s="2" t="s">
        <v>3031</v>
      </c>
      <c r="O2422" t="s">
        <v>3032</v>
      </c>
      <c r="P2422" t="s">
        <v>16</v>
      </c>
      <c r="Q2422">
        <v>510.4375</v>
      </c>
      <c r="R2422">
        <f ca="1">YEAR(TODAY())-Table1[[#This Row],[Year Built]]</f>
        <v>8</v>
      </c>
      <c r="S2422" t="str">
        <f>IF(Table1[[#This Row],[Days on Market]] &lt; 30,"Fast",IF(Table1[[#This Row],[Days on Market]]&lt;= 90,"Average", "Slow"))</f>
        <v>Fast</v>
      </c>
      <c r="T2422" t="str">
        <f>IF(Table1[[#This Row],[Price2]]&lt;500000,"Affordable",IF(Table1[[#This Row],[Price2]]&lt;1000000,"Mid range","Luxury"))</f>
        <v>Luxury</v>
      </c>
    </row>
    <row r="2423" spans="1:20" x14ac:dyDescent="0.35">
      <c r="A2423" s="3">
        <v>1233537</v>
      </c>
      <c r="B2423" s="2" t="s">
        <v>27</v>
      </c>
      <c r="C2423">
        <v>48649</v>
      </c>
      <c r="D2423" s="2" t="s">
        <v>23</v>
      </c>
      <c r="E2423">
        <v>4</v>
      </c>
      <c r="F2423">
        <v>4</v>
      </c>
      <c r="G2423" s="4">
        <f>VALUE(SUBSTITUTE(SUBSTITUTE(Table1[[#This Row],[Price]],"$",""),",",""))</f>
        <v>1233537</v>
      </c>
      <c r="H2423" s="1">
        <f>Table1[[#This Row],[Price2]]/Table1[[#This Row],[Area]]</f>
        <v>509.72603305785123</v>
      </c>
      <c r="I2423">
        <v>2420</v>
      </c>
      <c r="J2423">
        <v>2005</v>
      </c>
      <c r="K2423">
        <v>109</v>
      </c>
      <c r="L2423" t="s">
        <v>40</v>
      </c>
      <c r="M2423" t="s">
        <v>1808</v>
      </c>
      <c r="N2423" s="2" t="s">
        <v>3031</v>
      </c>
      <c r="O2423" t="s">
        <v>3032</v>
      </c>
      <c r="P2423" t="s">
        <v>21</v>
      </c>
      <c r="Q2423">
        <v>509.72603305785123</v>
      </c>
      <c r="R2423">
        <f ca="1">YEAR(TODAY())-Table1[[#This Row],[Year Built]]</f>
        <v>21</v>
      </c>
      <c r="S2423" t="str">
        <f>IF(Table1[[#This Row],[Days on Market]] &lt; 30,"Fast",IF(Table1[[#This Row],[Days on Market]]&lt;= 90,"Average", "Slow"))</f>
        <v>Slow</v>
      </c>
      <c r="T2423" t="str">
        <f>IF(Table1[[#This Row],[Price2]]&lt;500000,"Affordable",IF(Table1[[#This Row],[Price2]]&lt;1000000,"Mid range","Luxury"))</f>
        <v>Luxury</v>
      </c>
    </row>
    <row r="2424" spans="1:20" x14ac:dyDescent="0.35">
      <c r="A2424" s="3">
        <v>1233616</v>
      </c>
      <c r="B2424" s="2" t="s">
        <v>17</v>
      </c>
      <c r="C2424">
        <v>71049</v>
      </c>
      <c r="D2424" s="2" t="s">
        <v>35</v>
      </c>
      <c r="E2424">
        <v>1</v>
      </c>
      <c r="F2424">
        <v>3</v>
      </c>
      <c r="G2424" s="4">
        <f>VALUE(SUBSTITUTE(SUBSTITUTE(Table1[[#This Row],[Price]],"$",""),",",""))</f>
        <v>1233616</v>
      </c>
      <c r="H2424" s="1">
        <f>Table1[[#This Row],[Price2]]/Table1[[#This Row],[Area]]</f>
        <v>731.68208778173187</v>
      </c>
      <c r="I2424">
        <v>1686</v>
      </c>
      <c r="J2424">
        <v>1984</v>
      </c>
      <c r="K2424">
        <v>85</v>
      </c>
      <c r="L2424" t="s">
        <v>14</v>
      </c>
      <c r="M2424" t="s">
        <v>2587</v>
      </c>
      <c r="N2424" s="2" t="s">
        <v>3031</v>
      </c>
      <c r="O2424" t="s">
        <v>3032</v>
      </c>
      <c r="P2424" t="s">
        <v>16</v>
      </c>
      <c r="Q2424">
        <v>731.68208778173187</v>
      </c>
      <c r="R2424">
        <f ca="1">YEAR(TODAY())-Table1[[#This Row],[Year Built]]</f>
        <v>42</v>
      </c>
      <c r="S2424" t="str">
        <f>IF(Table1[[#This Row],[Days on Market]] &lt; 30,"Fast",IF(Table1[[#This Row],[Days on Market]]&lt;= 90,"Average", "Slow"))</f>
        <v>Average</v>
      </c>
      <c r="T2424" t="str">
        <f>IF(Table1[[#This Row],[Price2]]&lt;500000,"Affordable",IF(Table1[[#This Row],[Price2]]&lt;1000000,"Mid range","Luxury"))</f>
        <v>Luxury</v>
      </c>
    </row>
    <row r="2425" spans="1:20" x14ac:dyDescent="0.35">
      <c r="A2425" s="3">
        <v>1233794</v>
      </c>
      <c r="B2425" s="2" t="s">
        <v>12</v>
      </c>
      <c r="C2425">
        <v>69637</v>
      </c>
      <c r="D2425" s="2" t="s">
        <v>18</v>
      </c>
      <c r="E2425">
        <v>3</v>
      </c>
      <c r="F2425">
        <v>3</v>
      </c>
      <c r="G2425" s="4">
        <f>VALUE(SUBSTITUTE(SUBSTITUTE(Table1[[#This Row],[Price]],"$",""),",",""))</f>
        <v>1233794</v>
      </c>
      <c r="H2425" s="1">
        <f>Table1[[#This Row],[Price2]]/Table1[[#This Row],[Area]]</f>
        <v>632.06659836065569</v>
      </c>
      <c r="I2425">
        <v>1952</v>
      </c>
      <c r="J2425">
        <v>1974</v>
      </c>
      <c r="K2425">
        <v>84</v>
      </c>
      <c r="L2425" t="s">
        <v>30</v>
      </c>
      <c r="M2425" t="s">
        <v>2982</v>
      </c>
      <c r="N2425" s="2" t="s">
        <v>3035</v>
      </c>
      <c r="O2425" t="s">
        <v>3036</v>
      </c>
      <c r="P2425" t="s">
        <v>21</v>
      </c>
      <c r="Q2425">
        <v>632.06659836065569</v>
      </c>
      <c r="R2425">
        <f ca="1">YEAR(TODAY())-Table1[[#This Row],[Year Built]]</f>
        <v>52</v>
      </c>
      <c r="S2425" t="str">
        <f>IF(Table1[[#This Row],[Days on Market]] &lt; 30,"Fast",IF(Table1[[#This Row],[Days on Market]]&lt;= 90,"Average", "Slow"))</f>
        <v>Average</v>
      </c>
      <c r="T2425" t="str">
        <f>IF(Table1[[#This Row],[Price2]]&lt;500000,"Affordable",IF(Table1[[#This Row],[Price2]]&lt;1000000,"Mid range","Luxury"))</f>
        <v>Luxury</v>
      </c>
    </row>
    <row r="2426" spans="1:20" x14ac:dyDescent="0.35">
      <c r="A2426" s="3">
        <v>1236695</v>
      </c>
      <c r="B2426" s="2" t="s">
        <v>22</v>
      </c>
      <c r="C2426">
        <v>84551</v>
      </c>
      <c r="D2426" s="2" t="s">
        <v>18</v>
      </c>
      <c r="E2426">
        <v>4</v>
      </c>
      <c r="F2426">
        <v>4</v>
      </c>
      <c r="G2426" s="4">
        <f>VALUE(SUBSTITUTE(SUBSTITUTE(Table1[[#This Row],[Price]],"$",""),",",""))</f>
        <v>1236695</v>
      </c>
      <c r="H2426" s="1">
        <f>Table1[[#This Row],[Price2]]/Table1[[#This Row],[Area]]</f>
        <v>429.55713789510247</v>
      </c>
      <c r="I2426">
        <v>2879</v>
      </c>
      <c r="J2426">
        <v>1999</v>
      </c>
      <c r="K2426">
        <v>30</v>
      </c>
      <c r="L2426" t="s">
        <v>19</v>
      </c>
      <c r="M2426" t="s">
        <v>470</v>
      </c>
      <c r="N2426" s="2" t="s">
        <v>3027</v>
      </c>
      <c r="O2426" t="s">
        <v>3028</v>
      </c>
      <c r="P2426" t="s">
        <v>21</v>
      </c>
      <c r="Q2426">
        <v>429.55713789510247</v>
      </c>
      <c r="R2426">
        <f ca="1">YEAR(TODAY())-Table1[[#This Row],[Year Built]]</f>
        <v>27</v>
      </c>
      <c r="S2426" t="str">
        <f>IF(Table1[[#This Row],[Days on Market]] &lt; 30,"Fast",IF(Table1[[#This Row],[Days on Market]]&lt;= 90,"Average", "Slow"))</f>
        <v>Average</v>
      </c>
      <c r="T2426" t="str">
        <f>IF(Table1[[#This Row],[Price2]]&lt;500000,"Affordable",IF(Table1[[#This Row],[Price2]]&lt;1000000,"Mid range","Luxury"))</f>
        <v>Luxury</v>
      </c>
    </row>
    <row r="2427" spans="1:20" x14ac:dyDescent="0.35">
      <c r="A2427" s="3">
        <v>1237293</v>
      </c>
      <c r="B2427" s="2" t="s">
        <v>22</v>
      </c>
      <c r="C2427">
        <v>56410</v>
      </c>
      <c r="D2427" s="2" t="s">
        <v>13</v>
      </c>
      <c r="E2427">
        <v>2</v>
      </c>
      <c r="F2427">
        <v>2</v>
      </c>
      <c r="G2427" s="4">
        <f>VALUE(SUBSTITUTE(SUBSTITUTE(Table1[[#This Row],[Price]],"$",""),",",""))</f>
        <v>1237293</v>
      </c>
      <c r="H2427" s="1">
        <f>Table1[[#This Row],[Price2]]/Table1[[#This Row],[Area]]</f>
        <v>497.30426045016077</v>
      </c>
      <c r="I2427">
        <v>2488</v>
      </c>
      <c r="J2427">
        <v>1961</v>
      </c>
      <c r="K2427">
        <v>79</v>
      </c>
      <c r="L2427" t="s">
        <v>52</v>
      </c>
      <c r="M2427" t="s">
        <v>926</v>
      </c>
      <c r="N2427" s="2" t="s">
        <v>3027</v>
      </c>
      <c r="O2427" t="s">
        <v>3028</v>
      </c>
      <c r="P2427" t="s">
        <v>16</v>
      </c>
      <c r="Q2427">
        <v>497.30426045016077</v>
      </c>
      <c r="R2427">
        <f ca="1">YEAR(TODAY())-Table1[[#This Row],[Year Built]]</f>
        <v>65</v>
      </c>
      <c r="S2427" t="str">
        <f>IF(Table1[[#This Row],[Days on Market]] &lt; 30,"Fast",IF(Table1[[#This Row],[Days on Market]]&lt;= 90,"Average", "Slow"))</f>
        <v>Average</v>
      </c>
      <c r="T2427" t="str">
        <f>IF(Table1[[#This Row],[Price2]]&lt;500000,"Affordable",IF(Table1[[#This Row],[Price2]]&lt;1000000,"Mid range","Luxury"))</f>
        <v>Luxury</v>
      </c>
    </row>
    <row r="2428" spans="1:20" x14ac:dyDescent="0.35">
      <c r="A2428" s="3">
        <v>1237879</v>
      </c>
      <c r="B2428" s="2" t="s">
        <v>12</v>
      </c>
      <c r="C2428">
        <v>22445</v>
      </c>
      <c r="D2428" s="2" t="s">
        <v>18</v>
      </c>
      <c r="E2428">
        <v>1</v>
      </c>
      <c r="F2428">
        <v>3</v>
      </c>
      <c r="G2428" s="4">
        <f>VALUE(SUBSTITUTE(SUBSTITUTE(Table1[[#This Row],[Price]],"$",""),",",""))</f>
        <v>1237879</v>
      </c>
      <c r="H2428" s="1">
        <f>Table1[[#This Row],[Price2]]/Table1[[#This Row],[Area]]</f>
        <v>340.73190200935863</v>
      </c>
      <c r="I2428">
        <v>3633</v>
      </c>
      <c r="J2428">
        <v>1989</v>
      </c>
      <c r="K2428">
        <v>44</v>
      </c>
      <c r="L2428" t="s">
        <v>40</v>
      </c>
      <c r="M2428" t="s">
        <v>1547</v>
      </c>
      <c r="N2428" s="2" t="s">
        <v>3035</v>
      </c>
      <c r="O2428" t="s">
        <v>3036</v>
      </c>
      <c r="P2428" t="s">
        <v>16</v>
      </c>
      <c r="Q2428">
        <v>340.73190200935863</v>
      </c>
      <c r="R2428">
        <f ca="1">YEAR(TODAY())-Table1[[#This Row],[Year Built]]</f>
        <v>37</v>
      </c>
      <c r="S2428" t="str">
        <f>IF(Table1[[#This Row],[Days on Market]] &lt; 30,"Fast",IF(Table1[[#This Row],[Days on Market]]&lt;= 90,"Average", "Slow"))</f>
        <v>Average</v>
      </c>
      <c r="T2428" t="str">
        <f>IF(Table1[[#This Row],[Price2]]&lt;500000,"Affordable",IF(Table1[[#This Row],[Price2]]&lt;1000000,"Mid range","Luxury"))</f>
        <v>Luxury</v>
      </c>
    </row>
    <row r="2429" spans="1:20" x14ac:dyDescent="0.35">
      <c r="A2429" s="3">
        <v>1238285</v>
      </c>
      <c r="B2429" s="2" t="s">
        <v>17</v>
      </c>
      <c r="C2429">
        <v>35039</v>
      </c>
      <c r="D2429" s="2" t="s">
        <v>13</v>
      </c>
      <c r="E2429">
        <v>2</v>
      </c>
      <c r="F2429">
        <v>4</v>
      </c>
      <c r="G2429" s="4">
        <f>VALUE(SUBSTITUTE(SUBSTITUTE(Table1[[#This Row],[Price]],"$",""),",",""))</f>
        <v>1238285</v>
      </c>
      <c r="H2429" s="1">
        <f>Table1[[#This Row],[Price2]]/Table1[[#This Row],[Area]]</f>
        <v>374.89706327580984</v>
      </c>
      <c r="I2429">
        <v>3303</v>
      </c>
      <c r="J2429">
        <v>1963</v>
      </c>
      <c r="K2429">
        <v>97</v>
      </c>
      <c r="L2429" t="s">
        <v>19</v>
      </c>
      <c r="M2429" t="s">
        <v>3010</v>
      </c>
      <c r="N2429" s="2" t="s">
        <v>3027</v>
      </c>
      <c r="O2429" t="s">
        <v>3028</v>
      </c>
      <c r="P2429" t="s">
        <v>26</v>
      </c>
      <c r="Q2429">
        <v>374.89706327580984</v>
      </c>
      <c r="R2429">
        <f ca="1">YEAR(TODAY())-Table1[[#This Row],[Year Built]]</f>
        <v>63</v>
      </c>
      <c r="S2429" t="str">
        <f>IF(Table1[[#This Row],[Days on Market]] &lt; 30,"Fast",IF(Table1[[#This Row],[Days on Market]]&lt;= 90,"Average", "Slow"))</f>
        <v>Slow</v>
      </c>
      <c r="T2429" t="str">
        <f>IF(Table1[[#This Row],[Price2]]&lt;500000,"Affordable",IF(Table1[[#This Row],[Price2]]&lt;1000000,"Mid range","Luxury"))</f>
        <v>Luxury</v>
      </c>
    </row>
    <row r="2430" spans="1:20" x14ac:dyDescent="0.35">
      <c r="A2430" s="3">
        <v>1238734</v>
      </c>
      <c r="B2430" s="2" t="s">
        <v>12</v>
      </c>
      <c r="C2430">
        <v>89635</v>
      </c>
      <c r="D2430" s="2" t="s">
        <v>35</v>
      </c>
      <c r="E2430">
        <v>2</v>
      </c>
      <c r="F2430">
        <v>4</v>
      </c>
      <c r="G2430" s="4">
        <f>VALUE(SUBSTITUTE(SUBSTITUTE(Table1[[#This Row],[Price]],"$",""),",",""))</f>
        <v>1238734</v>
      </c>
      <c r="H2430" s="1">
        <f>Table1[[#This Row],[Price2]]/Table1[[#This Row],[Area]]</f>
        <v>477.53816499614493</v>
      </c>
      <c r="I2430">
        <v>2594</v>
      </c>
      <c r="J2430">
        <v>1960</v>
      </c>
      <c r="K2430">
        <v>46</v>
      </c>
      <c r="L2430" t="s">
        <v>52</v>
      </c>
      <c r="M2430" t="s">
        <v>342</v>
      </c>
      <c r="N2430" s="2" t="s">
        <v>3035</v>
      </c>
      <c r="O2430" t="s">
        <v>3036</v>
      </c>
      <c r="P2430" t="s">
        <v>26</v>
      </c>
      <c r="Q2430">
        <v>477.53816499614493</v>
      </c>
      <c r="R2430">
        <f ca="1">YEAR(TODAY())-Table1[[#This Row],[Year Built]]</f>
        <v>66</v>
      </c>
      <c r="S2430" t="str">
        <f>IF(Table1[[#This Row],[Days on Market]] &lt; 30,"Fast",IF(Table1[[#This Row],[Days on Market]]&lt;= 90,"Average", "Slow"))</f>
        <v>Average</v>
      </c>
      <c r="T2430" t="str">
        <f>IF(Table1[[#This Row],[Price2]]&lt;500000,"Affordable",IF(Table1[[#This Row],[Price2]]&lt;1000000,"Mid range","Luxury"))</f>
        <v>Luxury</v>
      </c>
    </row>
    <row r="2431" spans="1:20" x14ac:dyDescent="0.35">
      <c r="A2431" s="3">
        <v>1239119</v>
      </c>
      <c r="B2431" s="2" t="s">
        <v>12</v>
      </c>
      <c r="C2431">
        <v>55545</v>
      </c>
      <c r="D2431" s="2" t="s">
        <v>13</v>
      </c>
      <c r="E2431">
        <v>4</v>
      </c>
      <c r="F2431">
        <v>4</v>
      </c>
      <c r="G2431" s="4">
        <f>VALUE(SUBSTITUTE(SUBSTITUTE(Table1[[#This Row],[Price]],"$",""),",",""))</f>
        <v>1239119</v>
      </c>
      <c r="H2431" s="1">
        <f>Table1[[#This Row],[Price2]]/Table1[[#This Row],[Area]]</f>
        <v>1634.721635883905</v>
      </c>
      <c r="I2431">
        <v>758</v>
      </c>
      <c r="J2431">
        <v>1997</v>
      </c>
      <c r="K2431">
        <v>43</v>
      </c>
      <c r="L2431" t="s">
        <v>19</v>
      </c>
      <c r="M2431" t="s">
        <v>415</v>
      </c>
      <c r="N2431" s="2" t="s">
        <v>3033</v>
      </c>
      <c r="O2431" t="s">
        <v>3034</v>
      </c>
      <c r="P2431" t="s">
        <v>21</v>
      </c>
      <c r="Q2431">
        <v>1634.721635883905</v>
      </c>
      <c r="R2431">
        <f ca="1">YEAR(TODAY())-Table1[[#This Row],[Year Built]]</f>
        <v>29</v>
      </c>
      <c r="S2431" t="str">
        <f>IF(Table1[[#This Row],[Days on Market]] &lt; 30,"Fast",IF(Table1[[#This Row],[Days on Market]]&lt;= 90,"Average", "Slow"))</f>
        <v>Average</v>
      </c>
      <c r="T2431" t="str">
        <f>IF(Table1[[#This Row],[Price2]]&lt;500000,"Affordable",IF(Table1[[#This Row],[Price2]]&lt;1000000,"Mid range","Luxury"))</f>
        <v>Luxury</v>
      </c>
    </row>
    <row r="2432" spans="1:20" x14ac:dyDescent="0.35">
      <c r="A2432" s="3">
        <v>1239159</v>
      </c>
      <c r="B2432" s="2" t="s">
        <v>34</v>
      </c>
      <c r="C2432">
        <v>20246</v>
      </c>
      <c r="D2432" s="2" t="s">
        <v>13</v>
      </c>
      <c r="E2432">
        <v>4</v>
      </c>
      <c r="F2432">
        <v>1</v>
      </c>
      <c r="G2432" s="4">
        <f>VALUE(SUBSTITUTE(SUBSTITUTE(Table1[[#This Row],[Price]],"$",""),",",""))</f>
        <v>1239159</v>
      </c>
      <c r="H2432" s="1">
        <f>Table1[[#This Row],[Price2]]/Table1[[#This Row],[Area]]</f>
        <v>321.69236760124613</v>
      </c>
      <c r="I2432">
        <v>3852</v>
      </c>
      <c r="J2432">
        <v>1991</v>
      </c>
      <c r="K2432">
        <v>62</v>
      </c>
      <c r="L2432" t="s">
        <v>19</v>
      </c>
      <c r="M2432" t="s">
        <v>2313</v>
      </c>
      <c r="N2432" s="2" t="s">
        <v>3033</v>
      </c>
      <c r="O2432" t="s">
        <v>3034</v>
      </c>
      <c r="P2432" t="s">
        <v>26</v>
      </c>
      <c r="Q2432">
        <v>321.69236760124613</v>
      </c>
      <c r="R2432">
        <f ca="1">YEAR(TODAY())-Table1[[#This Row],[Year Built]]</f>
        <v>35</v>
      </c>
      <c r="S2432" t="str">
        <f>IF(Table1[[#This Row],[Days on Market]] &lt; 30,"Fast",IF(Table1[[#This Row],[Days on Market]]&lt;= 90,"Average", "Slow"))</f>
        <v>Average</v>
      </c>
      <c r="T2432" t="str">
        <f>IF(Table1[[#This Row],[Price2]]&lt;500000,"Affordable",IF(Table1[[#This Row],[Price2]]&lt;1000000,"Mid range","Luxury"))</f>
        <v>Luxury</v>
      </c>
    </row>
    <row r="2433" spans="1:20" x14ac:dyDescent="0.35">
      <c r="A2433" s="3">
        <v>1239263</v>
      </c>
      <c r="B2433" s="2" t="s">
        <v>34</v>
      </c>
      <c r="C2433">
        <v>85041</v>
      </c>
      <c r="D2433" s="2" t="s">
        <v>13</v>
      </c>
      <c r="E2433">
        <v>4</v>
      </c>
      <c r="F2433">
        <v>4</v>
      </c>
      <c r="G2433" s="4">
        <f>VALUE(SUBSTITUTE(SUBSTITUTE(Table1[[#This Row],[Price]],"$",""),",",""))</f>
        <v>1239263</v>
      </c>
      <c r="H2433" s="1">
        <f>Table1[[#This Row],[Price2]]/Table1[[#This Row],[Area]]</f>
        <v>380.9600368890255</v>
      </c>
      <c r="I2433">
        <v>3253</v>
      </c>
      <c r="J2433">
        <v>1984</v>
      </c>
      <c r="K2433">
        <v>60</v>
      </c>
      <c r="L2433" t="s">
        <v>14</v>
      </c>
      <c r="M2433" t="s">
        <v>1727</v>
      </c>
      <c r="N2433" s="2" t="s">
        <v>3035</v>
      </c>
      <c r="O2433" t="s">
        <v>3036</v>
      </c>
      <c r="P2433" t="s">
        <v>16</v>
      </c>
      <c r="Q2433">
        <v>380.9600368890255</v>
      </c>
      <c r="R2433">
        <f ca="1">YEAR(TODAY())-Table1[[#This Row],[Year Built]]</f>
        <v>42</v>
      </c>
      <c r="S2433" t="str">
        <f>IF(Table1[[#This Row],[Days on Market]] &lt; 30,"Fast",IF(Table1[[#This Row],[Days on Market]]&lt;= 90,"Average", "Slow"))</f>
        <v>Average</v>
      </c>
      <c r="T2433" t="str">
        <f>IF(Table1[[#This Row],[Price2]]&lt;500000,"Affordable",IF(Table1[[#This Row],[Price2]]&lt;1000000,"Mid range","Luxury"))</f>
        <v>Luxury</v>
      </c>
    </row>
    <row r="2434" spans="1:20" x14ac:dyDescent="0.35">
      <c r="A2434" s="3">
        <v>1241620</v>
      </c>
      <c r="B2434" s="2" t="s">
        <v>27</v>
      </c>
      <c r="C2434">
        <v>85992</v>
      </c>
      <c r="D2434" s="2" t="s">
        <v>35</v>
      </c>
      <c r="E2434">
        <v>6</v>
      </c>
      <c r="F2434">
        <v>3</v>
      </c>
      <c r="G2434" s="4">
        <f>VALUE(SUBSTITUTE(SUBSTITUTE(Table1[[#This Row],[Price]],"$",""),",",""))</f>
        <v>1241620</v>
      </c>
      <c r="H2434" s="1">
        <f>Table1[[#This Row],[Price2]]/Table1[[#This Row],[Area]]</f>
        <v>497.04563650920738</v>
      </c>
      <c r="I2434">
        <v>2498</v>
      </c>
      <c r="J2434">
        <v>2011</v>
      </c>
      <c r="K2434">
        <v>13</v>
      </c>
      <c r="L2434" t="s">
        <v>14</v>
      </c>
      <c r="M2434" t="s">
        <v>2805</v>
      </c>
      <c r="N2434" s="2" t="s">
        <v>3035</v>
      </c>
      <c r="O2434" t="s">
        <v>3036</v>
      </c>
      <c r="P2434" t="s">
        <v>21</v>
      </c>
      <c r="Q2434">
        <v>497.04563650920738</v>
      </c>
      <c r="R2434">
        <f ca="1">YEAR(TODAY())-Table1[[#This Row],[Year Built]]</f>
        <v>15</v>
      </c>
      <c r="S2434" t="str">
        <f>IF(Table1[[#This Row],[Days on Market]] &lt; 30,"Fast",IF(Table1[[#This Row],[Days on Market]]&lt;= 90,"Average", "Slow"))</f>
        <v>Fast</v>
      </c>
      <c r="T2434" t="str">
        <f>IF(Table1[[#This Row],[Price2]]&lt;500000,"Affordable",IF(Table1[[#This Row],[Price2]]&lt;1000000,"Mid range","Luxury"))</f>
        <v>Luxury</v>
      </c>
    </row>
    <row r="2435" spans="1:20" x14ac:dyDescent="0.35">
      <c r="A2435" s="3">
        <v>1242207</v>
      </c>
      <c r="B2435" s="2" t="s">
        <v>27</v>
      </c>
      <c r="C2435">
        <v>22656</v>
      </c>
      <c r="D2435" s="2" t="s">
        <v>13</v>
      </c>
      <c r="E2435">
        <v>5</v>
      </c>
      <c r="F2435">
        <v>2</v>
      </c>
      <c r="G2435" s="4">
        <f>VALUE(SUBSTITUTE(SUBSTITUTE(Table1[[#This Row],[Price]],"$",""),",",""))</f>
        <v>1242207</v>
      </c>
      <c r="H2435" s="1">
        <f>Table1[[#This Row],[Price2]]/Table1[[#This Row],[Area]]</f>
        <v>473.58253907739231</v>
      </c>
      <c r="I2435">
        <v>2623</v>
      </c>
      <c r="J2435">
        <v>1954</v>
      </c>
      <c r="K2435">
        <v>120</v>
      </c>
      <c r="L2435" t="s">
        <v>19</v>
      </c>
      <c r="M2435" t="s">
        <v>388</v>
      </c>
      <c r="N2435" s="2" t="s">
        <v>3031</v>
      </c>
      <c r="O2435" t="s">
        <v>3032</v>
      </c>
      <c r="P2435" t="s">
        <v>16</v>
      </c>
      <c r="Q2435">
        <v>473.58253907739231</v>
      </c>
      <c r="R2435">
        <f ca="1">YEAR(TODAY())-Table1[[#This Row],[Year Built]]</f>
        <v>72</v>
      </c>
      <c r="S2435" t="str">
        <f>IF(Table1[[#This Row],[Days on Market]] &lt; 30,"Fast",IF(Table1[[#This Row],[Days on Market]]&lt;= 90,"Average", "Slow"))</f>
        <v>Slow</v>
      </c>
      <c r="T2435" t="str">
        <f>IF(Table1[[#This Row],[Price2]]&lt;500000,"Affordable",IF(Table1[[#This Row],[Price2]]&lt;1000000,"Mid range","Luxury"))</f>
        <v>Luxury</v>
      </c>
    </row>
    <row r="2436" spans="1:20" x14ac:dyDescent="0.35">
      <c r="A2436" s="3">
        <v>1242314</v>
      </c>
      <c r="B2436" s="2" t="s">
        <v>22</v>
      </c>
      <c r="C2436">
        <v>27579</v>
      </c>
      <c r="D2436" s="2" t="s">
        <v>13</v>
      </c>
      <c r="E2436">
        <v>6</v>
      </c>
      <c r="F2436">
        <v>1</v>
      </c>
      <c r="G2436" s="4">
        <f>VALUE(SUBSTITUTE(SUBSTITUTE(Table1[[#This Row],[Price]],"$",""),",",""))</f>
        <v>1242314</v>
      </c>
      <c r="H2436" s="1">
        <f>Table1[[#This Row],[Price2]]/Table1[[#This Row],[Area]]</f>
        <v>1328.6780748663102</v>
      </c>
      <c r="I2436">
        <v>935</v>
      </c>
      <c r="J2436">
        <v>1966</v>
      </c>
      <c r="K2436">
        <v>9</v>
      </c>
      <c r="L2436" t="s">
        <v>19</v>
      </c>
      <c r="M2436" t="s">
        <v>1752</v>
      </c>
      <c r="N2436" s="2" t="s">
        <v>3027</v>
      </c>
      <c r="O2436" t="s">
        <v>3028</v>
      </c>
      <c r="P2436" t="s">
        <v>16</v>
      </c>
      <c r="Q2436">
        <v>1328.6780748663102</v>
      </c>
      <c r="R2436">
        <f ca="1">YEAR(TODAY())-Table1[[#This Row],[Year Built]]</f>
        <v>60</v>
      </c>
      <c r="S2436" t="str">
        <f>IF(Table1[[#This Row],[Days on Market]] &lt; 30,"Fast",IF(Table1[[#This Row],[Days on Market]]&lt;= 90,"Average", "Slow"))</f>
        <v>Fast</v>
      </c>
      <c r="T2436" t="str">
        <f>IF(Table1[[#This Row],[Price2]]&lt;500000,"Affordable",IF(Table1[[#This Row],[Price2]]&lt;1000000,"Mid range","Luxury"))</f>
        <v>Luxury</v>
      </c>
    </row>
    <row r="2437" spans="1:20" x14ac:dyDescent="0.35">
      <c r="A2437" s="3">
        <v>1242489</v>
      </c>
      <c r="B2437" s="2" t="s">
        <v>27</v>
      </c>
      <c r="C2437">
        <v>40319</v>
      </c>
      <c r="D2437" s="2" t="s">
        <v>35</v>
      </c>
      <c r="E2437">
        <v>2</v>
      </c>
      <c r="F2437">
        <v>1</v>
      </c>
      <c r="G2437" s="4">
        <f>VALUE(SUBSTITUTE(SUBSTITUTE(Table1[[#This Row],[Price]],"$",""),",",""))</f>
        <v>1242489</v>
      </c>
      <c r="H2437" s="1">
        <f>Table1[[#This Row],[Price2]]/Table1[[#This Row],[Area]]</f>
        <v>547.11096433289299</v>
      </c>
      <c r="I2437">
        <v>2271</v>
      </c>
      <c r="J2437">
        <v>2001</v>
      </c>
      <c r="K2437">
        <v>115</v>
      </c>
      <c r="L2437" t="s">
        <v>52</v>
      </c>
      <c r="M2437" t="s">
        <v>2217</v>
      </c>
      <c r="N2437" s="2" t="s">
        <v>3027</v>
      </c>
      <c r="O2437" t="s">
        <v>3028</v>
      </c>
      <c r="P2437" t="s">
        <v>16</v>
      </c>
      <c r="Q2437">
        <v>547.11096433289299</v>
      </c>
      <c r="R2437">
        <f ca="1">YEAR(TODAY())-Table1[[#This Row],[Year Built]]</f>
        <v>25</v>
      </c>
      <c r="S2437" t="str">
        <f>IF(Table1[[#This Row],[Days on Market]] &lt; 30,"Fast",IF(Table1[[#This Row],[Days on Market]]&lt;= 90,"Average", "Slow"))</f>
        <v>Slow</v>
      </c>
      <c r="T2437" t="str">
        <f>IF(Table1[[#This Row],[Price2]]&lt;500000,"Affordable",IF(Table1[[#This Row],[Price2]]&lt;1000000,"Mid range","Luxury"))</f>
        <v>Luxury</v>
      </c>
    </row>
    <row r="2438" spans="1:20" x14ac:dyDescent="0.35">
      <c r="A2438" s="3">
        <v>1243614</v>
      </c>
      <c r="B2438" s="2" t="s">
        <v>22</v>
      </c>
      <c r="C2438">
        <v>52402</v>
      </c>
      <c r="D2438" s="2" t="s">
        <v>13</v>
      </c>
      <c r="E2438">
        <v>6</v>
      </c>
      <c r="F2438">
        <v>3</v>
      </c>
      <c r="G2438" s="4">
        <f>VALUE(SUBSTITUTE(SUBSTITUTE(Table1[[#This Row],[Price]],"$",""),",",""))</f>
        <v>1243614</v>
      </c>
      <c r="H2438" s="1">
        <f>Table1[[#This Row],[Price2]]/Table1[[#This Row],[Area]]</f>
        <v>510.09598031173095</v>
      </c>
      <c r="I2438">
        <v>2438</v>
      </c>
      <c r="J2438">
        <v>1980</v>
      </c>
      <c r="K2438">
        <v>10</v>
      </c>
      <c r="L2438" t="s">
        <v>40</v>
      </c>
      <c r="M2438" t="s">
        <v>460</v>
      </c>
      <c r="N2438" s="2" t="s">
        <v>3027</v>
      </c>
      <c r="O2438" t="s">
        <v>3028</v>
      </c>
      <c r="P2438" t="s">
        <v>16</v>
      </c>
      <c r="Q2438">
        <v>510.09598031173095</v>
      </c>
      <c r="R2438">
        <f ca="1">YEAR(TODAY())-Table1[[#This Row],[Year Built]]</f>
        <v>46</v>
      </c>
      <c r="S2438" t="str">
        <f>IF(Table1[[#This Row],[Days on Market]] &lt; 30,"Fast",IF(Table1[[#This Row],[Days on Market]]&lt;= 90,"Average", "Slow"))</f>
        <v>Fast</v>
      </c>
      <c r="T2438" t="str">
        <f>IF(Table1[[#This Row],[Price2]]&lt;500000,"Affordable",IF(Table1[[#This Row],[Price2]]&lt;1000000,"Mid range","Luxury"))</f>
        <v>Luxury</v>
      </c>
    </row>
    <row r="2439" spans="1:20" x14ac:dyDescent="0.35">
      <c r="A2439" s="3">
        <v>1243844</v>
      </c>
      <c r="B2439" s="2" t="s">
        <v>12</v>
      </c>
      <c r="C2439">
        <v>67088</v>
      </c>
      <c r="D2439" s="2" t="s">
        <v>18</v>
      </c>
      <c r="E2439">
        <v>4</v>
      </c>
      <c r="F2439">
        <v>3</v>
      </c>
      <c r="G2439" s="4">
        <f>VALUE(SUBSTITUTE(SUBSTITUTE(Table1[[#This Row],[Price]],"$",""),",",""))</f>
        <v>1243844</v>
      </c>
      <c r="H2439" s="1">
        <f>Table1[[#This Row],[Price2]]/Table1[[#This Row],[Area]]</f>
        <v>919.32298595713235</v>
      </c>
      <c r="I2439">
        <v>1353</v>
      </c>
      <c r="J2439">
        <v>2020</v>
      </c>
      <c r="K2439">
        <v>79</v>
      </c>
      <c r="L2439" t="s">
        <v>52</v>
      </c>
      <c r="M2439" t="s">
        <v>2649</v>
      </c>
      <c r="N2439" s="2" t="s">
        <v>3031</v>
      </c>
      <c r="O2439" t="s">
        <v>3032</v>
      </c>
      <c r="P2439" t="s">
        <v>16</v>
      </c>
      <c r="Q2439">
        <v>919.32298595713235</v>
      </c>
      <c r="R2439">
        <f ca="1">YEAR(TODAY())-Table1[[#This Row],[Year Built]]</f>
        <v>6</v>
      </c>
      <c r="S2439" t="str">
        <f>IF(Table1[[#This Row],[Days on Market]] &lt; 30,"Fast",IF(Table1[[#This Row],[Days on Market]]&lt;= 90,"Average", "Slow"))</f>
        <v>Average</v>
      </c>
      <c r="T2439" t="str">
        <f>IF(Table1[[#This Row],[Price2]]&lt;500000,"Affordable",IF(Table1[[#This Row],[Price2]]&lt;1000000,"Mid range","Luxury"))</f>
        <v>Luxury</v>
      </c>
    </row>
    <row r="2440" spans="1:20" x14ac:dyDescent="0.35">
      <c r="A2440" s="3">
        <v>1244267</v>
      </c>
      <c r="B2440" s="2" t="s">
        <v>27</v>
      </c>
      <c r="C2440">
        <v>13119</v>
      </c>
      <c r="D2440" s="2" t="s">
        <v>35</v>
      </c>
      <c r="E2440">
        <v>3</v>
      </c>
      <c r="F2440">
        <v>4</v>
      </c>
      <c r="G2440" s="4">
        <f>VALUE(SUBSTITUTE(SUBSTITUTE(Table1[[#This Row],[Price]],"$",""),",",""))</f>
        <v>1244267</v>
      </c>
      <c r="H2440" s="1">
        <f>Table1[[#This Row],[Price2]]/Table1[[#This Row],[Area]]</f>
        <v>499.30457463884431</v>
      </c>
      <c r="I2440">
        <v>2492</v>
      </c>
      <c r="J2440">
        <v>1957</v>
      </c>
      <c r="K2440">
        <v>38</v>
      </c>
      <c r="L2440" t="s">
        <v>19</v>
      </c>
      <c r="M2440" t="s">
        <v>1581</v>
      </c>
      <c r="N2440" s="2" t="s">
        <v>3029</v>
      </c>
      <c r="O2440" t="s">
        <v>3030</v>
      </c>
      <c r="P2440" t="s">
        <v>21</v>
      </c>
      <c r="Q2440">
        <v>499.30457463884431</v>
      </c>
      <c r="R2440">
        <f ca="1">YEAR(TODAY())-Table1[[#This Row],[Year Built]]</f>
        <v>69</v>
      </c>
      <c r="S2440" t="str">
        <f>IF(Table1[[#This Row],[Days on Market]] &lt; 30,"Fast",IF(Table1[[#This Row],[Days on Market]]&lt;= 90,"Average", "Slow"))</f>
        <v>Average</v>
      </c>
      <c r="T2440" t="str">
        <f>IF(Table1[[#This Row],[Price2]]&lt;500000,"Affordable",IF(Table1[[#This Row],[Price2]]&lt;1000000,"Mid range","Luxury"))</f>
        <v>Luxury</v>
      </c>
    </row>
    <row r="2441" spans="1:20" x14ac:dyDescent="0.35">
      <c r="A2441" s="3">
        <v>1246074</v>
      </c>
      <c r="B2441" s="2" t="s">
        <v>34</v>
      </c>
      <c r="C2441">
        <v>59809</v>
      </c>
      <c r="D2441" s="2" t="s">
        <v>18</v>
      </c>
      <c r="E2441">
        <v>4</v>
      </c>
      <c r="F2441">
        <v>3</v>
      </c>
      <c r="G2441" s="4">
        <f>VALUE(SUBSTITUTE(SUBSTITUTE(Table1[[#This Row],[Price]],"$",""),",",""))</f>
        <v>1246074</v>
      </c>
      <c r="H2441" s="1">
        <f>Table1[[#This Row],[Price2]]/Table1[[#This Row],[Area]]</f>
        <v>653.42108023072888</v>
      </c>
      <c r="I2441">
        <v>1907</v>
      </c>
      <c r="J2441">
        <v>2007</v>
      </c>
      <c r="K2441">
        <v>52</v>
      </c>
      <c r="L2441" t="s">
        <v>52</v>
      </c>
      <c r="M2441" t="s">
        <v>262</v>
      </c>
      <c r="N2441" s="2" t="s">
        <v>3035</v>
      </c>
      <c r="O2441" t="s">
        <v>3036</v>
      </c>
      <c r="P2441" t="s">
        <v>16</v>
      </c>
      <c r="Q2441">
        <v>653.42108023072888</v>
      </c>
      <c r="R2441">
        <f ca="1">YEAR(TODAY())-Table1[[#This Row],[Year Built]]</f>
        <v>19</v>
      </c>
      <c r="S2441" t="str">
        <f>IF(Table1[[#This Row],[Days on Market]] &lt; 30,"Fast",IF(Table1[[#This Row],[Days on Market]]&lt;= 90,"Average", "Slow"))</f>
        <v>Average</v>
      </c>
      <c r="T2441" t="str">
        <f>IF(Table1[[#This Row],[Price2]]&lt;500000,"Affordable",IF(Table1[[#This Row],[Price2]]&lt;1000000,"Mid range","Luxury"))</f>
        <v>Luxury</v>
      </c>
    </row>
    <row r="2442" spans="1:20" x14ac:dyDescent="0.35">
      <c r="A2442" s="3">
        <v>1246098</v>
      </c>
      <c r="B2442" s="2" t="s">
        <v>34</v>
      </c>
      <c r="C2442">
        <v>54069</v>
      </c>
      <c r="D2442" s="2" t="s">
        <v>29</v>
      </c>
      <c r="E2442">
        <v>6</v>
      </c>
      <c r="F2442">
        <v>2</v>
      </c>
      <c r="G2442" s="4">
        <f>VALUE(SUBSTITUTE(SUBSTITUTE(Table1[[#This Row],[Price]],"$",""),",",""))</f>
        <v>1246098</v>
      </c>
      <c r="H2442" s="1">
        <f>Table1[[#This Row],[Price2]]/Table1[[#This Row],[Area]]</f>
        <v>605.78415167719982</v>
      </c>
      <c r="I2442">
        <v>2057</v>
      </c>
      <c r="J2442">
        <v>1955</v>
      </c>
      <c r="K2442">
        <v>35</v>
      </c>
      <c r="L2442" t="s">
        <v>52</v>
      </c>
      <c r="M2442" t="s">
        <v>2605</v>
      </c>
      <c r="N2442" s="2" t="s">
        <v>3035</v>
      </c>
      <c r="O2442" t="s">
        <v>3036</v>
      </c>
      <c r="P2442" t="s">
        <v>16</v>
      </c>
      <c r="Q2442">
        <v>605.78415167719982</v>
      </c>
      <c r="R2442">
        <f ca="1">YEAR(TODAY())-Table1[[#This Row],[Year Built]]</f>
        <v>71</v>
      </c>
      <c r="S2442" t="str">
        <f>IF(Table1[[#This Row],[Days on Market]] &lt; 30,"Fast",IF(Table1[[#This Row],[Days on Market]]&lt;= 90,"Average", "Slow"))</f>
        <v>Average</v>
      </c>
      <c r="T2442" t="str">
        <f>IF(Table1[[#This Row],[Price2]]&lt;500000,"Affordable",IF(Table1[[#This Row],[Price2]]&lt;1000000,"Mid range","Luxury"))</f>
        <v>Luxury</v>
      </c>
    </row>
    <row r="2443" spans="1:20" x14ac:dyDescent="0.35">
      <c r="A2443" s="3">
        <v>1246322</v>
      </c>
      <c r="B2443" s="2" t="s">
        <v>27</v>
      </c>
      <c r="C2443">
        <v>37523</v>
      </c>
      <c r="D2443" s="2" t="s">
        <v>35</v>
      </c>
      <c r="E2443">
        <v>6</v>
      </c>
      <c r="F2443">
        <v>4</v>
      </c>
      <c r="G2443" s="4">
        <f>VALUE(SUBSTITUTE(SUBSTITUTE(Table1[[#This Row],[Price]],"$",""),",",""))</f>
        <v>1246322</v>
      </c>
      <c r="H2443" s="1">
        <f>Table1[[#This Row],[Price2]]/Table1[[#This Row],[Area]]</f>
        <v>1366.5811403508771</v>
      </c>
      <c r="I2443">
        <v>912</v>
      </c>
      <c r="J2443">
        <v>1961</v>
      </c>
      <c r="K2443">
        <v>41</v>
      </c>
      <c r="L2443" t="s">
        <v>14</v>
      </c>
      <c r="M2443" t="s">
        <v>275</v>
      </c>
      <c r="N2443" s="2" t="s">
        <v>3033</v>
      </c>
      <c r="O2443" t="s">
        <v>3034</v>
      </c>
      <c r="P2443" t="s">
        <v>16</v>
      </c>
      <c r="Q2443">
        <v>1366.5811403508771</v>
      </c>
      <c r="R2443">
        <f ca="1">YEAR(TODAY())-Table1[[#This Row],[Year Built]]</f>
        <v>65</v>
      </c>
      <c r="S2443" t="str">
        <f>IF(Table1[[#This Row],[Days on Market]] &lt; 30,"Fast",IF(Table1[[#This Row],[Days on Market]]&lt;= 90,"Average", "Slow"))</f>
        <v>Average</v>
      </c>
      <c r="T2443" t="str">
        <f>IF(Table1[[#This Row],[Price2]]&lt;500000,"Affordable",IF(Table1[[#This Row],[Price2]]&lt;1000000,"Mid range","Luxury"))</f>
        <v>Luxury</v>
      </c>
    </row>
    <row r="2444" spans="1:20" x14ac:dyDescent="0.35">
      <c r="A2444" s="3">
        <v>1246389</v>
      </c>
      <c r="B2444" s="2" t="s">
        <v>22</v>
      </c>
      <c r="C2444">
        <v>79757</v>
      </c>
      <c r="D2444" s="2" t="s">
        <v>18</v>
      </c>
      <c r="E2444">
        <v>3</v>
      </c>
      <c r="F2444">
        <v>3</v>
      </c>
      <c r="G2444" s="4">
        <f>VALUE(SUBSTITUTE(SUBSTITUTE(Table1[[#This Row],[Price]],"$",""),",",""))</f>
        <v>1246389</v>
      </c>
      <c r="H2444" s="1">
        <f>Table1[[#This Row],[Price2]]/Table1[[#This Row],[Area]]</f>
        <v>722.9634570765661</v>
      </c>
      <c r="I2444">
        <v>1724</v>
      </c>
      <c r="J2444">
        <v>2003</v>
      </c>
      <c r="K2444">
        <v>100</v>
      </c>
      <c r="L2444" t="s">
        <v>14</v>
      </c>
      <c r="M2444" t="s">
        <v>887</v>
      </c>
      <c r="N2444" s="2" t="s">
        <v>3027</v>
      </c>
      <c r="O2444" t="s">
        <v>3028</v>
      </c>
      <c r="P2444" t="s">
        <v>21</v>
      </c>
      <c r="Q2444">
        <v>722.9634570765661</v>
      </c>
      <c r="R2444">
        <f ca="1">YEAR(TODAY())-Table1[[#This Row],[Year Built]]</f>
        <v>23</v>
      </c>
      <c r="S2444" t="str">
        <f>IF(Table1[[#This Row],[Days on Market]] &lt; 30,"Fast",IF(Table1[[#This Row],[Days on Market]]&lt;= 90,"Average", "Slow"))</f>
        <v>Slow</v>
      </c>
      <c r="T2444" t="str">
        <f>IF(Table1[[#This Row],[Price2]]&lt;500000,"Affordable",IF(Table1[[#This Row],[Price2]]&lt;1000000,"Mid range","Luxury"))</f>
        <v>Luxury</v>
      </c>
    </row>
    <row r="2445" spans="1:20" x14ac:dyDescent="0.35">
      <c r="A2445" s="3">
        <v>1246523</v>
      </c>
      <c r="B2445" s="2" t="s">
        <v>34</v>
      </c>
      <c r="C2445">
        <v>23613</v>
      </c>
      <c r="D2445" s="2" t="s">
        <v>18</v>
      </c>
      <c r="E2445">
        <v>4</v>
      </c>
      <c r="F2445">
        <v>4</v>
      </c>
      <c r="G2445" s="4">
        <f>VALUE(SUBSTITUTE(SUBSTITUTE(Table1[[#This Row],[Price]],"$",""),",",""))</f>
        <v>1246523</v>
      </c>
      <c r="H2445" s="1">
        <f>Table1[[#This Row],[Price2]]/Table1[[#This Row],[Area]]</f>
        <v>482.21392649903288</v>
      </c>
      <c r="I2445">
        <v>2585</v>
      </c>
      <c r="J2445">
        <v>1972</v>
      </c>
      <c r="K2445">
        <v>62</v>
      </c>
      <c r="L2445" t="s">
        <v>30</v>
      </c>
      <c r="M2445" t="s">
        <v>877</v>
      </c>
      <c r="N2445" s="2" t="s">
        <v>3029</v>
      </c>
      <c r="O2445" t="s">
        <v>3030</v>
      </c>
      <c r="P2445" t="s">
        <v>16</v>
      </c>
      <c r="Q2445">
        <v>482.21392649903288</v>
      </c>
      <c r="R2445">
        <f ca="1">YEAR(TODAY())-Table1[[#This Row],[Year Built]]</f>
        <v>54</v>
      </c>
      <c r="S2445" t="str">
        <f>IF(Table1[[#This Row],[Days on Market]] &lt; 30,"Fast",IF(Table1[[#This Row],[Days on Market]]&lt;= 90,"Average", "Slow"))</f>
        <v>Average</v>
      </c>
      <c r="T2445" t="str">
        <f>IF(Table1[[#This Row],[Price2]]&lt;500000,"Affordable",IF(Table1[[#This Row],[Price2]]&lt;1000000,"Mid range","Luxury"))</f>
        <v>Luxury</v>
      </c>
    </row>
    <row r="2446" spans="1:20" x14ac:dyDescent="0.35">
      <c r="A2446" s="3">
        <v>1246677</v>
      </c>
      <c r="B2446" s="2" t="s">
        <v>34</v>
      </c>
      <c r="C2446">
        <v>93817</v>
      </c>
      <c r="D2446" s="2" t="s">
        <v>35</v>
      </c>
      <c r="E2446">
        <v>3</v>
      </c>
      <c r="F2446">
        <v>3</v>
      </c>
      <c r="G2446" s="4">
        <f>VALUE(SUBSTITUTE(SUBSTITUTE(Table1[[#This Row],[Price]],"$",""),",",""))</f>
        <v>1246677</v>
      </c>
      <c r="H2446" s="1">
        <f>Table1[[#This Row],[Price2]]/Table1[[#This Row],[Area]]</f>
        <v>1627.5156657963446</v>
      </c>
      <c r="I2446">
        <v>766</v>
      </c>
      <c r="J2446">
        <v>2014</v>
      </c>
      <c r="K2446">
        <v>69</v>
      </c>
      <c r="L2446" t="s">
        <v>52</v>
      </c>
      <c r="M2446" t="s">
        <v>2092</v>
      </c>
      <c r="N2446" s="2" t="s">
        <v>3027</v>
      </c>
      <c r="O2446" t="s">
        <v>3028</v>
      </c>
      <c r="P2446" t="s">
        <v>26</v>
      </c>
      <c r="Q2446">
        <v>1627.5156657963446</v>
      </c>
      <c r="R2446">
        <f ca="1">YEAR(TODAY())-Table1[[#This Row],[Year Built]]</f>
        <v>12</v>
      </c>
      <c r="S2446" t="str">
        <f>IF(Table1[[#This Row],[Days on Market]] &lt; 30,"Fast",IF(Table1[[#This Row],[Days on Market]]&lt;= 90,"Average", "Slow"))</f>
        <v>Average</v>
      </c>
      <c r="T2446" t="str">
        <f>IF(Table1[[#This Row],[Price2]]&lt;500000,"Affordable",IF(Table1[[#This Row],[Price2]]&lt;1000000,"Mid range","Luxury"))</f>
        <v>Luxury</v>
      </c>
    </row>
    <row r="2447" spans="1:20" x14ac:dyDescent="0.35">
      <c r="A2447" s="3">
        <v>1247702</v>
      </c>
      <c r="B2447" s="2" t="s">
        <v>17</v>
      </c>
      <c r="C2447">
        <v>14649</v>
      </c>
      <c r="D2447" s="2" t="s">
        <v>18</v>
      </c>
      <c r="E2447">
        <v>1</v>
      </c>
      <c r="F2447">
        <v>1</v>
      </c>
      <c r="G2447" s="4">
        <f>VALUE(SUBSTITUTE(SUBSTITUTE(Table1[[#This Row],[Price]],"$",""),",",""))</f>
        <v>1247702</v>
      </c>
      <c r="H2447" s="1">
        <f>Table1[[#This Row],[Price2]]/Table1[[#This Row],[Area]]</f>
        <v>1092.5586690017512</v>
      </c>
      <c r="I2447">
        <v>1142</v>
      </c>
      <c r="J2447">
        <v>1971</v>
      </c>
      <c r="K2447">
        <v>31</v>
      </c>
      <c r="L2447" t="s">
        <v>19</v>
      </c>
      <c r="M2447" t="s">
        <v>2524</v>
      </c>
      <c r="N2447" s="2" t="s">
        <v>3027</v>
      </c>
      <c r="O2447" t="s">
        <v>3028</v>
      </c>
      <c r="P2447" t="s">
        <v>16</v>
      </c>
      <c r="Q2447">
        <v>1092.5586690017512</v>
      </c>
      <c r="R2447">
        <f ca="1">YEAR(TODAY())-Table1[[#This Row],[Year Built]]</f>
        <v>55</v>
      </c>
      <c r="S2447" t="str">
        <f>IF(Table1[[#This Row],[Days on Market]] &lt; 30,"Fast",IF(Table1[[#This Row],[Days on Market]]&lt;= 90,"Average", "Slow"))</f>
        <v>Average</v>
      </c>
      <c r="T2447" t="str">
        <f>IF(Table1[[#This Row],[Price2]]&lt;500000,"Affordable",IF(Table1[[#This Row],[Price2]]&lt;1000000,"Mid range","Luxury"))</f>
        <v>Luxury</v>
      </c>
    </row>
    <row r="2448" spans="1:20" x14ac:dyDescent="0.35">
      <c r="A2448" s="3">
        <v>1247795</v>
      </c>
      <c r="B2448" s="2" t="s">
        <v>27</v>
      </c>
      <c r="C2448">
        <v>84254</v>
      </c>
      <c r="D2448" s="2" t="s">
        <v>13</v>
      </c>
      <c r="E2448">
        <v>1</v>
      </c>
      <c r="F2448">
        <v>4</v>
      </c>
      <c r="G2448" s="4">
        <f>VALUE(SUBSTITUTE(SUBSTITUTE(Table1[[#This Row],[Price]],"$",""),",",""))</f>
        <v>1247795</v>
      </c>
      <c r="H2448" s="1">
        <f>Table1[[#This Row],[Price2]]/Table1[[#This Row],[Area]]</f>
        <v>491.64499605988965</v>
      </c>
      <c r="I2448">
        <v>2538</v>
      </c>
      <c r="J2448">
        <v>1968</v>
      </c>
      <c r="K2448">
        <v>28</v>
      </c>
      <c r="L2448" t="s">
        <v>40</v>
      </c>
      <c r="M2448" t="s">
        <v>2442</v>
      </c>
      <c r="N2448" s="2" t="s">
        <v>3029</v>
      </c>
      <c r="O2448" t="s">
        <v>3030</v>
      </c>
      <c r="P2448" t="s">
        <v>21</v>
      </c>
      <c r="Q2448">
        <v>491.64499605988965</v>
      </c>
      <c r="R2448">
        <f ca="1">YEAR(TODAY())-Table1[[#This Row],[Year Built]]</f>
        <v>58</v>
      </c>
      <c r="S2448" t="str">
        <f>IF(Table1[[#This Row],[Days on Market]] &lt; 30,"Fast",IF(Table1[[#This Row],[Days on Market]]&lt;= 90,"Average", "Slow"))</f>
        <v>Fast</v>
      </c>
      <c r="T2448" t="str">
        <f>IF(Table1[[#This Row],[Price2]]&lt;500000,"Affordable",IF(Table1[[#This Row],[Price2]]&lt;1000000,"Mid range","Luxury"))</f>
        <v>Luxury</v>
      </c>
    </row>
    <row r="2449" spans="1:20" x14ac:dyDescent="0.35">
      <c r="A2449" s="3">
        <v>1248043</v>
      </c>
      <c r="B2449" s="2" t="s">
        <v>27</v>
      </c>
      <c r="C2449">
        <v>28141</v>
      </c>
      <c r="D2449" s="2" t="s">
        <v>18</v>
      </c>
      <c r="E2449">
        <v>4</v>
      </c>
      <c r="F2449">
        <v>4</v>
      </c>
      <c r="G2449" s="4">
        <f>VALUE(SUBSTITUTE(SUBSTITUTE(Table1[[#This Row],[Price]],"$",""),",",""))</f>
        <v>1248043</v>
      </c>
      <c r="H2449" s="1">
        <f>Table1[[#This Row],[Price2]]/Table1[[#This Row],[Area]]</f>
        <v>569.36268248175179</v>
      </c>
      <c r="I2449">
        <v>2192</v>
      </c>
      <c r="J2449">
        <v>1982</v>
      </c>
      <c r="K2449">
        <v>56</v>
      </c>
      <c r="L2449" t="s">
        <v>52</v>
      </c>
      <c r="M2449" t="s">
        <v>740</v>
      </c>
      <c r="N2449" s="2" t="s">
        <v>3035</v>
      </c>
      <c r="O2449" t="s">
        <v>3036</v>
      </c>
      <c r="P2449" t="s">
        <v>21</v>
      </c>
      <c r="Q2449">
        <v>569.36268248175179</v>
      </c>
      <c r="R2449">
        <f ca="1">YEAR(TODAY())-Table1[[#This Row],[Year Built]]</f>
        <v>44</v>
      </c>
      <c r="S2449" t="str">
        <f>IF(Table1[[#This Row],[Days on Market]] &lt; 30,"Fast",IF(Table1[[#This Row],[Days on Market]]&lt;= 90,"Average", "Slow"))</f>
        <v>Average</v>
      </c>
      <c r="T2449" t="str">
        <f>IF(Table1[[#This Row],[Price2]]&lt;500000,"Affordable",IF(Table1[[#This Row],[Price2]]&lt;1000000,"Mid range","Luxury"))</f>
        <v>Luxury</v>
      </c>
    </row>
    <row r="2450" spans="1:20" x14ac:dyDescent="0.35">
      <c r="A2450" s="3">
        <v>1249075</v>
      </c>
      <c r="B2450" s="2" t="s">
        <v>12</v>
      </c>
      <c r="C2450">
        <v>88560</v>
      </c>
      <c r="D2450" s="2" t="s">
        <v>35</v>
      </c>
      <c r="E2450">
        <v>4</v>
      </c>
      <c r="F2450">
        <v>3</v>
      </c>
      <c r="G2450" s="4">
        <f>VALUE(SUBSTITUTE(SUBSTITUTE(Table1[[#This Row],[Price]],"$",""),",",""))</f>
        <v>1249075</v>
      </c>
      <c r="H2450" s="1">
        <f>Table1[[#This Row],[Price2]]/Table1[[#This Row],[Area]]</f>
        <v>865.01038781163436</v>
      </c>
      <c r="I2450">
        <v>1444</v>
      </c>
      <c r="J2450">
        <v>2002</v>
      </c>
      <c r="K2450">
        <v>46</v>
      </c>
      <c r="L2450" t="s">
        <v>40</v>
      </c>
      <c r="M2450" t="s">
        <v>779</v>
      </c>
      <c r="N2450" s="2" t="s">
        <v>3031</v>
      </c>
      <c r="O2450" t="s">
        <v>3032</v>
      </c>
      <c r="P2450" t="s">
        <v>26</v>
      </c>
      <c r="Q2450">
        <v>865.01038781163436</v>
      </c>
      <c r="R2450">
        <f ca="1">YEAR(TODAY())-Table1[[#This Row],[Year Built]]</f>
        <v>24</v>
      </c>
      <c r="S2450" t="str">
        <f>IF(Table1[[#This Row],[Days on Market]] &lt; 30,"Fast",IF(Table1[[#This Row],[Days on Market]]&lt;= 90,"Average", "Slow"))</f>
        <v>Average</v>
      </c>
      <c r="T2450" t="str">
        <f>IF(Table1[[#This Row],[Price2]]&lt;500000,"Affordable",IF(Table1[[#This Row],[Price2]]&lt;1000000,"Mid range","Luxury"))</f>
        <v>Luxury</v>
      </c>
    </row>
    <row r="2451" spans="1:20" x14ac:dyDescent="0.35">
      <c r="A2451" s="3">
        <v>1249331</v>
      </c>
      <c r="B2451" s="2" t="s">
        <v>22</v>
      </c>
      <c r="C2451">
        <v>87393</v>
      </c>
      <c r="D2451" s="2" t="s">
        <v>23</v>
      </c>
      <c r="E2451">
        <v>6</v>
      </c>
      <c r="F2451">
        <v>1</v>
      </c>
      <c r="G2451" s="4">
        <f>VALUE(SUBSTITUTE(SUBSTITUTE(Table1[[#This Row],[Price]],"$",""),",",""))</f>
        <v>1249331</v>
      </c>
      <c r="H2451" s="1">
        <f>Table1[[#This Row],[Price2]]/Table1[[#This Row],[Area]]</f>
        <v>344.16831955922868</v>
      </c>
      <c r="I2451">
        <v>3630</v>
      </c>
      <c r="J2451">
        <v>1990</v>
      </c>
      <c r="K2451">
        <v>59</v>
      </c>
      <c r="L2451" t="s">
        <v>14</v>
      </c>
      <c r="M2451" t="s">
        <v>24</v>
      </c>
      <c r="N2451" s="2" t="s">
        <v>3031</v>
      </c>
      <c r="O2451" t="s">
        <v>3032</v>
      </c>
      <c r="P2451" t="s">
        <v>16</v>
      </c>
      <c r="Q2451">
        <v>344.16831955922868</v>
      </c>
      <c r="R2451">
        <f ca="1">YEAR(TODAY())-Table1[[#This Row],[Year Built]]</f>
        <v>36</v>
      </c>
      <c r="S2451" t="str">
        <f>IF(Table1[[#This Row],[Days on Market]] &lt; 30,"Fast",IF(Table1[[#This Row],[Days on Market]]&lt;= 90,"Average", "Slow"))</f>
        <v>Average</v>
      </c>
      <c r="T2451" t="str">
        <f>IF(Table1[[#This Row],[Price2]]&lt;500000,"Affordable",IF(Table1[[#This Row],[Price2]]&lt;1000000,"Mid range","Luxury"))</f>
        <v>Luxury</v>
      </c>
    </row>
    <row r="2452" spans="1:20" x14ac:dyDescent="0.35">
      <c r="A2452" s="3">
        <v>1249372</v>
      </c>
      <c r="B2452" s="2" t="s">
        <v>27</v>
      </c>
      <c r="C2452">
        <v>12824</v>
      </c>
      <c r="D2452" s="2" t="s">
        <v>13</v>
      </c>
      <c r="E2452">
        <v>1</v>
      </c>
      <c r="F2452">
        <v>2</v>
      </c>
      <c r="G2452" s="4">
        <f>VALUE(SUBSTITUTE(SUBSTITUTE(Table1[[#This Row],[Price]],"$",""),",",""))</f>
        <v>1249372</v>
      </c>
      <c r="H2452" s="1">
        <f>Table1[[#This Row],[Price2]]/Table1[[#This Row],[Area]]</f>
        <v>472.17384731670444</v>
      </c>
      <c r="I2452">
        <v>2646</v>
      </c>
      <c r="J2452">
        <v>1994</v>
      </c>
      <c r="K2452">
        <v>72</v>
      </c>
      <c r="L2452" t="s">
        <v>14</v>
      </c>
      <c r="M2452" t="s">
        <v>1847</v>
      </c>
      <c r="N2452" s="2" t="s">
        <v>3031</v>
      </c>
      <c r="O2452" t="s">
        <v>3032</v>
      </c>
      <c r="P2452" t="s">
        <v>21</v>
      </c>
      <c r="Q2452">
        <v>472.17384731670444</v>
      </c>
      <c r="R2452">
        <f ca="1">YEAR(TODAY())-Table1[[#This Row],[Year Built]]</f>
        <v>32</v>
      </c>
      <c r="S2452" t="str">
        <f>IF(Table1[[#This Row],[Days on Market]] &lt; 30,"Fast",IF(Table1[[#This Row],[Days on Market]]&lt;= 90,"Average", "Slow"))</f>
        <v>Average</v>
      </c>
      <c r="T2452" t="str">
        <f>IF(Table1[[#This Row],[Price2]]&lt;500000,"Affordable",IF(Table1[[#This Row],[Price2]]&lt;1000000,"Mid range","Luxury"))</f>
        <v>Luxury</v>
      </c>
    </row>
    <row r="2453" spans="1:20" x14ac:dyDescent="0.35">
      <c r="A2453" s="3">
        <v>1249985</v>
      </c>
      <c r="B2453" s="2" t="s">
        <v>22</v>
      </c>
      <c r="C2453">
        <v>72975</v>
      </c>
      <c r="D2453" s="2" t="s">
        <v>35</v>
      </c>
      <c r="E2453">
        <v>3</v>
      </c>
      <c r="F2453">
        <v>2</v>
      </c>
      <c r="G2453" s="4">
        <f>VALUE(SUBSTITUTE(SUBSTITUTE(Table1[[#This Row],[Price]],"$",""),",",""))</f>
        <v>1249985</v>
      </c>
      <c r="H2453" s="1">
        <f>Table1[[#This Row],[Price2]]/Table1[[#This Row],[Area]]</f>
        <v>963.00847457627117</v>
      </c>
      <c r="I2453">
        <v>1298</v>
      </c>
      <c r="J2453">
        <v>1997</v>
      </c>
      <c r="K2453">
        <v>44</v>
      </c>
      <c r="L2453" t="s">
        <v>40</v>
      </c>
      <c r="M2453" t="s">
        <v>325</v>
      </c>
      <c r="N2453" s="2" t="s">
        <v>3035</v>
      </c>
      <c r="O2453" t="s">
        <v>3036</v>
      </c>
      <c r="P2453" t="s">
        <v>21</v>
      </c>
      <c r="Q2453">
        <v>963.00847457627117</v>
      </c>
      <c r="R2453">
        <f ca="1">YEAR(TODAY())-Table1[[#This Row],[Year Built]]</f>
        <v>29</v>
      </c>
      <c r="S2453" t="str">
        <f>IF(Table1[[#This Row],[Days on Market]] &lt; 30,"Fast",IF(Table1[[#This Row],[Days on Market]]&lt;= 90,"Average", "Slow"))</f>
        <v>Average</v>
      </c>
      <c r="T2453" t="str">
        <f>IF(Table1[[#This Row],[Price2]]&lt;500000,"Affordable",IF(Table1[[#This Row],[Price2]]&lt;1000000,"Mid range","Luxury"))</f>
        <v>Luxury</v>
      </c>
    </row>
    <row r="2454" spans="1:20" x14ac:dyDescent="0.35">
      <c r="A2454" s="3">
        <v>1250016</v>
      </c>
      <c r="B2454" s="2" t="s">
        <v>34</v>
      </c>
      <c r="C2454">
        <v>44242</v>
      </c>
      <c r="D2454" s="2" t="s">
        <v>29</v>
      </c>
      <c r="E2454">
        <v>3</v>
      </c>
      <c r="F2454">
        <v>4</v>
      </c>
      <c r="G2454" s="4">
        <f>VALUE(SUBSTITUTE(SUBSTITUTE(Table1[[#This Row],[Price]],"$",""),",",""))</f>
        <v>1250016</v>
      </c>
      <c r="H2454" s="1">
        <f>Table1[[#This Row],[Price2]]/Table1[[#This Row],[Area]]</f>
        <v>352.01802309208676</v>
      </c>
      <c r="I2454">
        <v>3551</v>
      </c>
      <c r="J2454">
        <v>1961</v>
      </c>
      <c r="K2454">
        <v>58</v>
      </c>
      <c r="L2454" t="s">
        <v>30</v>
      </c>
      <c r="M2454" t="s">
        <v>64</v>
      </c>
      <c r="N2454" s="2" t="s">
        <v>3035</v>
      </c>
      <c r="O2454" t="s">
        <v>3036</v>
      </c>
      <c r="P2454" t="s">
        <v>16</v>
      </c>
      <c r="Q2454">
        <v>352.01802309208676</v>
      </c>
      <c r="R2454">
        <f ca="1">YEAR(TODAY())-Table1[[#This Row],[Year Built]]</f>
        <v>65</v>
      </c>
      <c r="S2454" t="str">
        <f>IF(Table1[[#This Row],[Days on Market]] &lt; 30,"Fast",IF(Table1[[#This Row],[Days on Market]]&lt;= 90,"Average", "Slow"))</f>
        <v>Average</v>
      </c>
      <c r="T2454" t="str">
        <f>IF(Table1[[#This Row],[Price2]]&lt;500000,"Affordable",IF(Table1[[#This Row],[Price2]]&lt;1000000,"Mid range","Luxury"))</f>
        <v>Luxury</v>
      </c>
    </row>
    <row r="2455" spans="1:20" x14ac:dyDescent="0.35">
      <c r="A2455" s="3">
        <v>1250374</v>
      </c>
      <c r="B2455" s="2" t="s">
        <v>12</v>
      </c>
      <c r="C2455">
        <v>89557</v>
      </c>
      <c r="D2455" s="2" t="s">
        <v>23</v>
      </c>
      <c r="E2455">
        <v>5</v>
      </c>
      <c r="F2455">
        <v>2</v>
      </c>
      <c r="G2455" s="4">
        <f>VALUE(SUBSTITUTE(SUBSTITUTE(Table1[[#This Row],[Price]],"$",""),",",""))</f>
        <v>1250374</v>
      </c>
      <c r="H2455" s="1">
        <f>Table1[[#This Row],[Price2]]/Table1[[#This Row],[Area]]</f>
        <v>804.09903536977492</v>
      </c>
      <c r="I2455">
        <v>1555</v>
      </c>
      <c r="J2455">
        <v>1969</v>
      </c>
      <c r="K2455">
        <v>15</v>
      </c>
      <c r="L2455" t="s">
        <v>40</v>
      </c>
      <c r="M2455" t="s">
        <v>781</v>
      </c>
      <c r="N2455" s="2" t="s">
        <v>3027</v>
      </c>
      <c r="O2455" t="s">
        <v>3028</v>
      </c>
      <c r="P2455" t="s">
        <v>16</v>
      </c>
      <c r="Q2455">
        <v>804.09903536977492</v>
      </c>
      <c r="R2455">
        <f ca="1">YEAR(TODAY())-Table1[[#This Row],[Year Built]]</f>
        <v>57</v>
      </c>
      <c r="S2455" t="str">
        <f>IF(Table1[[#This Row],[Days on Market]] &lt; 30,"Fast",IF(Table1[[#This Row],[Days on Market]]&lt;= 90,"Average", "Slow"))</f>
        <v>Fast</v>
      </c>
      <c r="T2455" t="str">
        <f>IF(Table1[[#This Row],[Price2]]&lt;500000,"Affordable",IF(Table1[[#This Row],[Price2]]&lt;1000000,"Mid range","Luxury"))</f>
        <v>Luxury</v>
      </c>
    </row>
    <row r="2456" spans="1:20" x14ac:dyDescent="0.35">
      <c r="A2456" s="3">
        <v>1250673</v>
      </c>
      <c r="B2456" s="2" t="s">
        <v>22</v>
      </c>
      <c r="C2456">
        <v>55808</v>
      </c>
      <c r="D2456" s="2" t="s">
        <v>29</v>
      </c>
      <c r="E2456">
        <v>3</v>
      </c>
      <c r="F2456">
        <v>1</v>
      </c>
      <c r="G2456" s="4">
        <f>VALUE(SUBSTITUTE(SUBSTITUTE(Table1[[#This Row],[Price]],"$",""),",",""))</f>
        <v>1250673</v>
      </c>
      <c r="H2456" s="1">
        <f>Table1[[#This Row],[Price2]]/Table1[[#This Row],[Area]]</f>
        <v>322.25534656016492</v>
      </c>
      <c r="I2456">
        <v>3881</v>
      </c>
      <c r="J2456">
        <v>1979</v>
      </c>
      <c r="K2456">
        <v>111</v>
      </c>
      <c r="L2456" t="s">
        <v>40</v>
      </c>
      <c r="M2456" t="s">
        <v>587</v>
      </c>
      <c r="N2456" s="2" t="s">
        <v>3033</v>
      </c>
      <c r="O2456" t="s">
        <v>3034</v>
      </c>
      <c r="P2456" t="s">
        <v>21</v>
      </c>
      <c r="Q2456">
        <v>322.25534656016492</v>
      </c>
      <c r="R2456">
        <f ca="1">YEAR(TODAY())-Table1[[#This Row],[Year Built]]</f>
        <v>47</v>
      </c>
      <c r="S2456" t="str">
        <f>IF(Table1[[#This Row],[Days on Market]] &lt; 30,"Fast",IF(Table1[[#This Row],[Days on Market]]&lt;= 90,"Average", "Slow"))</f>
        <v>Slow</v>
      </c>
      <c r="T2456" t="str">
        <f>IF(Table1[[#This Row],[Price2]]&lt;500000,"Affordable",IF(Table1[[#This Row],[Price2]]&lt;1000000,"Mid range","Luxury"))</f>
        <v>Luxury</v>
      </c>
    </row>
    <row r="2457" spans="1:20" x14ac:dyDescent="0.35">
      <c r="A2457" s="3">
        <v>1250763</v>
      </c>
      <c r="B2457" s="2" t="s">
        <v>34</v>
      </c>
      <c r="C2457">
        <v>14016</v>
      </c>
      <c r="D2457" s="2" t="s">
        <v>13</v>
      </c>
      <c r="E2457">
        <v>2</v>
      </c>
      <c r="F2457">
        <v>4</v>
      </c>
      <c r="G2457" s="4">
        <f>VALUE(SUBSTITUTE(SUBSTITUTE(Table1[[#This Row],[Price]],"$",""),",",""))</f>
        <v>1250763</v>
      </c>
      <c r="H2457" s="1">
        <f>Table1[[#This Row],[Price2]]/Table1[[#This Row],[Area]]</f>
        <v>816.95819725669492</v>
      </c>
      <c r="I2457">
        <v>1531</v>
      </c>
      <c r="J2457">
        <v>1977</v>
      </c>
      <c r="K2457">
        <v>112</v>
      </c>
      <c r="L2457" t="s">
        <v>30</v>
      </c>
      <c r="M2457" t="s">
        <v>1117</v>
      </c>
      <c r="N2457" s="2" t="s">
        <v>3029</v>
      </c>
      <c r="O2457" t="s">
        <v>3030</v>
      </c>
      <c r="P2457" t="s">
        <v>21</v>
      </c>
      <c r="Q2457">
        <v>816.95819725669492</v>
      </c>
      <c r="R2457">
        <f ca="1">YEAR(TODAY())-Table1[[#This Row],[Year Built]]</f>
        <v>49</v>
      </c>
      <c r="S2457" t="str">
        <f>IF(Table1[[#This Row],[Days on Market]] &lt; 30,"Fast",IF(Table1[[#This Row],[Days on Market]]&lt;= 90,"Average", "Slow"))</f>
        <v>Slow</v>
      </c>
      <c r="T2457" t="str">
        <f>IF(Table1[[#This Row],[Price2]]&lt;500000,"Affordable",IF(Table1[[#This Row],[Price2]]&lt;1000000,"Mid range","Luxury"))</f>
        <v>Luxury</v>
      </c>
    </row>
    <row r="2458" spans="1:20" x14ac:dyDescent="0.35">
      <c r="A2458" s="3">
        <v>1251066</v>
      </c>
      <c r="B2458" s="2" t="s">
        <v>12</v>
      </c>
      <c r="C2458">
        <v>82734</v>
      </c>
      <c r="D2458" s="2" t="s">
        <v>23</v>
      </c>
      <c r="E2458">
        <v>2</v>
      </c>
      <c r="F2458">
        <v>4</v>
      </c>
      <c r="G2458" s="4">
        <f>VALUE(SUBSTITUTE(SUBSTITUTE(Table1[[#This Row],[Price]],"$",""),",",""))</f>
        <v>1251066</v>
      </c>
      <c r="H2458" s="1">
        <f>Table1[[#This Row],[Price2]]/Table1[[#This Row],[Area]]</f>
        <v>313.55037593984963</v>
      </c>
      <c r="I2458">
        <v>3990</v>
      </c>
      <c r="J2458">
        <v>2020</v>
      </c>
      <c r="K2458">
        <v>14</v>
      </c>
      <c r="L2458" t="s">
        <v>19</v>
      </c>
      <c r="M2458" t="s">
        <v>403</v>
      </c>
      <c r="N2458" s="2" t="s">
        <v>3035</v>
      </c>
      <c r="O2458" t="s">
        <v>3036</v>
      </c>
      <c r="P2458" t="s">
        <v>26</v>
      </c>
      <c r="Q2458">
        <v>313.55037593984963</v>
      </c>
      <c r="R2458">
        <f ca="1">YEAR(TODAY())-Table1[[#This Row],[Year Built]]</f>
        <v>6</v>
      </c>
      <c r="S2458" t="str">
        <f>IF(Table1[[#This Row],[Days on Market]] &lt; 30,"Fast",IF(Table1[[#This Row],[Days on Market]]&lt;= 90,"Average", "Slow"))</f>
        <v>Fast</v>
      </c>
      <c r="T2458" t="str">
        <f>IF(Table1[[#This Row],[Price2]]&lt;500000,"Affordable",IF(Table1[[#This Row],[Price2]]&lt;1000000,"Mid range","Luxury"))</f>
        <v>Luxury</v>
      </c>
    </row>
    <row r="2459" spans="1:20" x14ac:dyDescent="0.35">
      <c r="A2459" s="3">
        <v>1251747</v>
      </c>
      <c r="B2459" s="2" t="s">
        <v>12</v>
      </c>
      <c r="C2459">
        <v>70713</v>
      </c>
      <c r="D2459" s="2" t="s">
        <v>35</v>
      </c>
      <c r="E2459">
        <v>4</v>
      </c>
      <c r="F2459">
        <v>1</v>
      </c>
      <c r="G2459" s="4">
        <f>VALUE(SUBSTITUTE(SUBSTITUTE(Table1[[#This Row],[Price]],"$",""),",",""))</f>
        <v>1251747</v>
      </c>
      <c r="H2459" s="1">
        <f>Table1[[#This Row],[Price2]]/Table1[[#This Row],[Area]]</f>
        <v>348.67604456824512</v>
      </c>
      <c r="I2459">
        <v>3590</v>
      </c>
      <c r="J2459">
        <v>2007</v>
      </c>
      <c r="K2459">
        <v>108</v>
      </c>
      <c r="L2459" t="s">
        <v>52</v>
      </c>
      <c r="M2459" t="s">
        <v>2222</v>
      </c>
      <c r="N2459" s="2" t="s">
        <v>3033</v>
      </c>
      <c r="O2459" t="s">
        <v>3034</v>
      </c>
      <c r="P2459" t="s">
        <v>16</v>
      </c>
      <c r="Q2459">
        <v>348.67604456824512</v>
      </c>
      <c r="R2459">
        <f ca="1">YEAR(TODAY())-Table1[[#This Row],[Year Built]]</f>
        <v>19</v>
      </c>
      <c r="S2459" t="str">
        <f>IF(Table1[[#This Row],[Days on Market]] &lt; 30,"Fast",IF(Table1[[#This Row],[Days on Market]]&lt;= 90,"Average", "Slow"))</f>
        <v>Slow</v>
      </c>
      <c r="T2459" t="str">
        <f>IF(Table1[[#This Row],[Price2]]&lt;500000,"Affordable",IF(Table1[[#This Row],[Price2]]&lt;1000000,"Mid range","Luxury"))</f>
        <v>Luxury</v>
      </c>
    </row>
    <row r="2460" spans="1:20" x14ac:dyDescent="0.35">
      <c r="A2460" s="3">
        <v>1251781</v>
      </c>
      <c r="B2460" s="2" t="s">
        <v>17</v>
      </c>
      <c r="C2460">
        <v>74293</v>
      </c>
      <c r="D2460" s="2" t="s">
        <v>23</v>
      </c>
      <c r="E2460">
        <v>6</v>
      </c>
      <c r="F2460">
        <v>4</v>
      </c>
      <c r="G2460" s="4">
        <f>VALUE(SUBSTITUTE(SUBSTITUTE(Table1[[#This Row],[Price]],"$",""),",",""))</f>
        <v>1251781</v>
      </c>
      <c r="H2460" s="1">
        <f>Table1[[#This Row],[Price2]]/Table1[[#This Row],[Area]]</f>
        <v>882.15715292459481</v>
      </c>
      <c r="I2460">
        <v>1419</v>
      </c>
      <c r="J2460">
        <v>1985</v>
      </c>
      <c r="K2460">
        <v>32</v>
      </c>
      <c r="L2460" t="s">
        <v>19</v>
      </c>
      <c r="M2460" t="s">
        <v>1210</v>
      </c>
      <c r="N2460" s="2" t="s">
        <v>3035</v>
      </c>
      <c r="O2460" t="s">
        <v>3036</v>
      </c>
      <c r="P2460" t="s">
        <v>21</v>
      </c>
      <c r="Q2460">
        <v>882.15715292459481</v>
      </c>
      <c r="R2460">
        <f ca="1">YEAR(TODAY())-Table1[[#This Row],[Year Built]]</f>
        <v>41</v>
      </c>
      <c r="S2460" t="str">
        <f>IF(Table1[[#This Row],[Days on Market]] &lt; 30,"Fast",IF(Table1[[#This Row],[Days on Market]]&lt;= 90,"Average", "Slow"))</f>
        <v>Average</v>
      </c>
      <c r="T2460" t="str">
        <f>IF(Table1[[#This Row],[Price2]]&lt;500000,"Affordable",IF(Table1[[#This Row],[Price2]]&lt;1000000,"Mid range","Luxury"))</f>
        <v>Luxury</v>
      </c>
    </row>
    <row r="2461" spans="1:20" x14ac:dyDescent="0.35">
      <c r="A2461" s="3">
        <v>1252631</v>
      </c>
      <c r="B2461" s="2" t="s">
        <v>17</v>
      </c>
      <c r="C2461">
        <v>92901</v>
      </c>
      <c r="D2461" s="2" t="s">
        <v>23</v>
      </c>
      <c r="E2461">
        <v>1</v>
      </c>
      <c r="F2461">
        <v>4</v>
      </c>
      <c r="G2461" s="4">
        <f>VALUE(SUBSTITUTE(SUBSTITUTE(Table1[[#This Row],[Price]],"$",""),",",""))</f>
        <v>1252631</v>
      </c>
      <c r="H2461" s="1">
        <f>Table1[[#This Row],[Price2]]/Table1[[#This Row],[Area]]</f>
        <v>802.96858974358975</v>
      </c>
      <c r="I2461">
        <v>1560</v>
      </c>
      <c r="J2461">
        <v>1989</v>
      </c>
      <c r="K2461">
        <v>62</v>
      </c>
      <c r="L2461" t="s">
        <v>19</v>
      </c>
      <c r="M2461" t="s">
        <v>2178</v>
      </c>
      <c r="N2461" s="2" t="s">
        <v>3027</v>
      </c>
      <c r="O2461" t="s">
        <v>3028</v>
      </c>
      <c r="P2461" t="s">
        <v>26</v>
      </c>
      <c r="Q2461">
        <v>802.96858974358975</v>
      </c>
      <c r="R2461">
        <f ca="1">YEAR(TODAY())-Table1[[#This Row],[Year Built]]</f>
        <v>37</v>
      </c>
      <c r="S2461" t="str">
        <f>IF(Table1[[#This Row],[Days on Market]] &lt; 30,"Fast",IF(Table1[[#This Row],[Days on Market]]&lt;= 90,"Average", "Slow"))</f>
        <v>Average</v>
      </c>
      <c r="T2461" t="str">
        <f>IF(Table1[[#This Row],[Price2]]&lt;500000,"Affordable",IF(Table1[[#This Row],[Price2]]&lt;1000000,"Mid range","Luxury"))</f>
        <v>Luxury</v>
      </c>
    </row>
    <row r="2462" spans="1:20" x14ac:dyDescent="0.35">
      <c r="A2462" s="3">
        <v>1252831</v>
      </c>
      <c r="B2462" s="2" t="s">
        <v>27</v>
      </c>
      <c r="C2462">
        <v>98287</v>
      </c>
      <c r="D2462" s="2" t="s">
        <v>23</v>
      </c>
      <c r="E2462">
        <v>6</v>
      </c>
      <c r="F2462">
        <v>2</v>
      </c>
      <c r="G2462" s="4">
        <f>VALUE(SUBSTITUTE(SUBSTITUTE(Table1[[#This Row],[Price]],"$",""),",",""))</f>
        <v>1252831</v>
      </c>
      <c r="H2462" s="1">
        <f>Table1[[#This Row],[Price2]]/Table1[[#This Row],[Area]]</f>
        <v>1094.1755458515283</v>
      </c>
      <c r="I2462">
        <v>1145</v>
      </c>
      <c r="J2462">
        <v>1965</v>
      </c>
      <c r="K2462">
        <v>20</v>
      </c>
      <c r="L2462" t="s">
        <v>14</v>
      </c>
      <c r="M2462" t="s">
        <v>2740</v>
      </c>
      <c r="N2462" s="2" t="s">
        <v>3027</v>
      </c>
      <c r="O2462" t="s">
        <v>3028</v>
      </c>
      <c r="P2462" t="s">
        <v>21</v>
      </c>
      <c r="Q2462">
        <v>1094.1755458515283</v>
      </c>
      <c r="R2462">
        <f ca="1">YEAR(TODAY())-Table1[[#This Row],[Year Built]]</f>
        <v>61</v>
      </c>
      <c r="S2462" t="str">
        <f>IF(Table1[[#This Row],[Days on Market]] &lt; 30,"Fast",IF(Table1[[#This Row],[Days on Market]]&lt;= 90,"Average", "Slow"))</f>
        <v>Fast</v>
      </c>
      <c r="T2462" t="str">
        <f>IF(Table1[[#This Row],[Price2]]&lt;500000,"Affordable",IF(Table1[[#This Row],[Price2]]&lt;1000000,"Mid range","Luxury"))</f>
        <v>Luxury</v>
      </c>
    </row>
    <row r="2463" spans="1:20" x14ac:dyDescent="0.35">
      <c r="A2463" s="3">
        <v>1252974</v>
      </c>
      <c r="B2463" s="2" t="s">
        <v>12</v>
      </c>
      <c r="C2463">
        <v>77508</v>
      </c>
      <c r="D2463" s="2" t="s">
        <v>23</v>
      </c>
      <c r="E2463">
        <v>2</v>
      </c>
      <c r="F2463">
        <v>3</v>
      </c>
      <c r="G2463" s="4">
        <f>VALUE(SUBSTITUTE(SUBSTITUTE(Table1[[#This Row],[Price]],"$",""),",",""))</f>
        <v>1252974</v>
      </c>
      <c r="H2463" s="1">
        <f>Table1[[#This Row],[Price2]]/Table1[[#This Row],[Area]]</f>
        <v>568.5</v>
      </c>
      <c r="I2463">
        <v>2204</v>
      </c>
      <c r="J2463">
        <v>2002</v>
      </c>
      <c r="K2463">
        <v>49</v>
      </c>
      <c r="L2463" t="s">
        <v>19</v>
      </c>
      <c r="M2463" t="s">
        <v>1716</v>
      </c>
      <c r="N2463" s="2" t="s">
        <v>3033</v>
      </c>
      <c r="O2463" t="s">
        <v>3034</v>
      </c>
      <c r="P2463" t="s">
        <v>21</v>
      </c>
      <c r="Q2463">
        <v>568.5</v>
      </c>
      <c r="R2463">
        <f ca="1">YEAR(TODAY())-Table1[[#This Row],[Year Built]]</f>
        <v>24</v>
      </c>
      <c r="S2463" t="str">
        <f>IF(Table1[[#This Row],[Days on Market]] &lt; 30,"Fast",IF(Table1[[#This Row],[Days on Market]]&lt;= 90,"Average", "Slow"))</f>
        <v>Average</v>
      </c>
      <c r="T2463" t="str">
        <f>IF(Table1[[#This Row],[Price2]]&lt;500000,"Affordable",IF(Table1[[#This Row],[Price2]]&lt;1000000,"Mid range","Luxury"))</f>
        <v>Luxury</v>
      </c>
    </row>
    <row r="2464" spans="1:20" x14ac:dyDescent="0.35">
      <c r="A2464" s="3">
        <v>1253172</v>
      </c>
      <c r="B2464" s="2" t="s">
        <v>22</v>
      </c>
      <c r="C2464">
        <v>54468</v>
      </c>
      <c r="D2464" s="2" t="s">
        <v>29</v>
      </c>
      <c r="E2464">
        <v>2</v>
      </c>
      <c r="F2464">
        <v>2</v>
      </c>
      <c r="G2464" s="4">
        <f>VALUE(SUBSTITUTE(SUBSTITUTE(Table1[[#This Row],[Price]],"$",""),",",""))</f>
        <v>1253172</v>
      </c>
      <c r="H2464" s="1">
        <f>Table1[[#This Row],[Price2]]/Table1[[#This Row],[Area]]</f>
        <v>729.43655413271244</v>
      </c>
      <c r="I2464">
        <v>1718</v>
      </c>
      <c r="J2464">
        <v>1993</v>
      </c>
      <c r="K2464">
        <v>95</v>
      </c>
      <c r="L2464" t="s">
        <v>14</v>
      </c>
      <c r="M2464" t="s">
        <v>76</v>
      </c>
      <c r="N2464" s="2" t="s">
        <v>3031</v>
      </c>
      <c r="O2464" t="s">
        <v>3032</v>
      </c>
      <c r="P2464" t="s">
        <v>16</v>
      </c>
      <c r="Q2464">
        <v>729.43655413271244</v>
      </c>
      <c r="R2464">
        <f ca="1">YEAR(TODAY())-Table1[[#This Row],[Year Built]]</f>
        <v>33</v>
      </c>
      <c r="S2464" t="str">
        <f>IF(Table1[[#This Row],[Days on Market]] &lt; 30,"Fast",IF(Table1[[#This Row],[Days on Market]]&lt;= 90,"Average", "Slow"))</f>
        <v>Slow</v>
      </c>
      <c r="T2464" t="str">
        <f>IF(Table1[[#This Row],[Price2]]&lt;500000,"Affordable",IF(Table1[[#This Row],[Price2]]&lt;1000000,"Mid range","Luxury"))</f>
        <v>Luxury</v>
      </c>
    </row>
    <row r="2465" spans="1:20" x14ac:dyDescent="0.35">
      <c r="A2465" s="3">
        <v>1253458</v>
      </c>
      <c r="B2465" s="2" t="s">
        <v>12</v>
      </c>
      <c r="C2465">
        <v>89720</v>
      </c>
      <c r="D2465" s="2" t="s">
        <v>23</v>
      </c>
      <c r="E2465">
        <v>2</v>
      </c>
      <c r="F2465">
        <v>3</v>
      </c>
      <c r="G2465" s="4">
        <f>VALUE(SUBSTITUTE(SUBSTITUTE(Table1[[#This Row],[Price]],"$",""),",",""))</f>
        <v>1253458</v>
      </c>
      <c r="H2465" s="1">
        <f>Table1[[#This Row],[Price2]]/Table1[[#This Row],[Area]]</f>
        <v>471.22481203007521</v>
      </c>
      <c r="I2465">
        <v>2660</v>
      </c>
      <c r="J2465">
        <v>2002</v>
      </c>
      <c r="K2465">
        <v>48</v>
      </c>
      <c r="L2465" t="s">
        <v>14</v>
      </c>
      <c r="M2465" t="s">
        <v>991</v>
      </c>
      <c r="N2465" s="2" t="s">
        <v>3035</v>
      </c>
      <c r="O2465" t="s">
        <v>3036</v>
      </c>
      <c r="P2465" t="s">
        <v>26</v>
      </c>
      <c r="Q2465">
        <v>471.22481203007521</v>
      </c>
      <c r="R2465">
        <f ca="1">YEAR(TODAY())-Table1[[#This Row],[Year Built]]</f>
        <v>24</v>
      </c>
      <c r="S2465" t="str">
        <f>IF(Table1[[#This Row],[Days on Market]] &lt; 30,"Fast",IF(Table1[[#This Row],[Days on Market]]&lt;= 90,"Average", "Slow"))</f>
        <v>Average</v>
      </c>
      <c r="T2465" t="str">
        <f>IF(Table1[[#This Row],[Price2]]&lt;500000,"Affordable",IF(Table1[[#This Row],[Price2]]&lt;1000000,"Mid range","Luxury"))</f>
        <v>Luxury</v>
      </c>
    </row>
    <row r="2466" spans="1:20" x14ac:dyDescent="0.35">
      <c r="A2466" s="3">
        <v>1253720</v>
      </c>
      <c r="B2466" s="2" t="s">
        <v>12</v>
      </c>
      <c r="C2466">
        <v>78722</v>
      </c>
      <c r="D2466" s="2" t="s">
        <v>23</v>
      </c>
      <c r="E2466">
        <v>6</v>
      </c>
      <c r="F2466">
        <v>4</v>
      </c>
      <c r="G2466" s="4">
        <f>VALUE(SUBSTITUTE(SUBSTITUTE(Table1[[#This Row],[Price]],"$",""),",",""))</f>
        <v>1253720</v>
      </c>
      <c r="H2466" s="1">
        <f>Table1[[#This Row],[Price2]]/Table1[[#This Row],[Area]]</f>
        <v>1025.1185609157808</v>
      </c>
      <c r="I2466">
        <v>1223</v>
      </c>
      <c r="J2466">
        <v>2005</v>
      </c>
      <c r="K2466">
        <v>66</v>
      </c>
      <c r="L2466" t="s">
        <v>30</v>
      </c>
      <c r="M2466" t="s">
        <v>2977</v>
      </c>
      <c r="N2466" s="2" t="s">
        <v>3029</v>
      </c>
      <c r="O2466" t="s">
        <v>3030</v>
      </c>
      <c r="P2466" t="s">
        <v>16</v>
      </c>
      <c r="Q2466">
        <v>1025.1185609157808</v>
      </c>
      <c r="R2466">
        <f ca="1">YEAR(TODAY())-Table1[[#This Row],[Year Built]]</f>
        <v>21</v>
      </c>
      <c r="S2466" t="str">
        <f>IF(Table1[[#This Row],[Days on Market]] &lt; 30,"Fast",IF(Table1[[#This Row],[Days on Market]]&lt;= 90,"Average", "Slow"))</f>
        <v>Average</v>
      </c>
      <c r="T2466" t="str">
        <f>IF(Table1[[#This Row],[Price2]]&lt;500000,"Affordable",IF(Table1[[#This Row],[Price2]]&lt;1000000,"Mid range","Luxury"))</f>
        <v>Luxury</v>
      </c>
    </row>
    <row r="2467" spans="1:20" x14ac:dyDescent="0.35">
      <c r="A2467" s="3">
        <v>1253807</v>
      </c>
      <c r="B2467" s="2" t="s">
        <v>34</v>
      </c>
      <c r="C2467">
        <v>64894</v>
      </c>
      <c r="D2467" s="2" t="s">
        <v>35</v>
      </c>
      <c r="E2467">
        <v>2</v>
      </c>
      <c r="F2467">
        <v>1</v>
      </c>
      <c r="G2467" s="4">
        <f>VALUE(SUBSTITUTE(SUBSTITUTE(Table1[[#This Row],[Price]],"$",""),",",""))</f>
        <v>1253807</v>
      </c>
      <c r="H2467" s="1">
        <f>Table1[[#This Row],[Price2]]/Table1[[#This Row],[Area]]</f>
        <v>393.2895232120452</v>
      </c>
      <c r="I2467">
        <v>3188</v>
      </c>
      <c r="J2467">
        <v>1998</v>
      </c>
      <c r="K2467">
        <v>44</v>
      </c>
      <c r="L2467" t="s">
        <v>52</v>
      </c>
      <c r="M2467" t="s">
        <v>2845</v>
      </c>
      <c r="N2467" s="2" t="s">
        <v>3035</v>
      </c>
      <c r="O2467" t="s">
        <v>3036</v>
      </c>
      <c r="P2467" t="s">
        <v>16</v>
      </c>
      <c r="Q2467">
        <v>393.2895232120452</v>
      </c>
      <c r="R2467">
        <f ca="1">YEAR(TODAY())-Table1[[#This Row],[Year Built]]</f>
        <v>28</v>
      </c>
      <c r="S2467" t="str">
        <f>IF(Table1[[#This Row],[Days on Market]] &lt; 30,"Fast",IF(Table1[[#This Row],[Days on Market]]&lt;= 90,"Average", "Slow"))</f>
        <v>Average</v>
      </c>
      <c r="T2467" t="str">
        <f>IF(Table1[[#This Row],[Price2]]&lt;500000,"Affordable",IF(Table1[[#This Row],[Price2]]&lt;1000000,"Mid range","Luxury"))</f>
        <v>Luxury</v>
      </c>
    </row>
    <row r="2468" spans="1:20" x14ac:dyDescent="0.35">
      <c r="A2468" s="3">
        <v>1253916</v>
      </c>
      <c r="B2468" s="2" t="s">
        <v>27</v>
      </c>
      <c r="C2468">
        <v>94687</v>
      </c>
      <c r="D2468" s="2" t="s">
        <v>18</v>
      </c>
      <c r="E2468">
        <v>6</v>
      </c>
      <c r="F2468">
        <v>1</v>
      </c>
      <c r="G2468" s="4">
        <f>VALUE(SUBSTITUTE(SUBSTITUTE(Table1[[#This Row],[Price]],"$",""),",",""))</f>
        <v>1253916</v>
      </c>
      <c r="H2468" s="1">
        <f>Table1[[#This Row],[Price2]]/Table1[[#This Row],[Area]]</f>
        <v>844.95687331536385</v>
      </c>
      <c r="I2468">
        <v>1484</v>
      </c>
      <c r="J2468">
        <v>1979</v>
      </c>
      <c r="K2468">
        <v>16</v>
      </c>
      <c r="L2468" t="s">
        <v>14</v>
      </c>
      <c r="M2468" t="s">
        <v>2504</v>
      </c>
      <c r="N2468" s="2" t="s">
        <v>3033</v>
      </c>
      <c r="O2468" t="s">
        <v>3034</v>
      </c>
      <c r="P2468" t="s">
        <v>21</v>
      </c>
      <c r="Q2468">
        <v>844.95687331536385</v>
      </c>
      <c r="R2468">
        <f ca="1">YEAR(TODAY())-Table1[[#This Row],[Year Built]]</f>
        <v>47</v>
      </c>
      <c r="S2468" t="str">
        <f>IF(Table1[[#This Row],[Days on Market]] &lt; 30,"Fast",IF(Table1[[#This Row],[Days on Market]]&lt;= 90,"Average", "Slow"))</f>
        <v>Fast</v>
      </c>
      <c r="T2468" t="str">
        <f>IF(Table1[[#This Row],[Price2]]&lt;500000,"Affordable",IF(Table1[[#This Row],[Price2]]&lt;1000000,"Mid range","Luxury"))</f>
        <v>Luxury</v>
      </c>
    </row>
    <row r="2469" spans="1:20" x14ac:dyDescent="0.35">
      <c r="A2469" s="3">
        <v>1254323</v>
      </c>
      <c r="B2469" s="2" t="s">
        <v>27</v>
      </c>
      <c r="C2469">
        <v>13752</v>
      </c>
      <c r="D2469" s="2" t="s">
        <v>13</v>
      </c>
      <c r="E2469">
        <v>4</v>
      </c>
      <c r="F2469">
        <v>3</v>
      </c>
      <c r="G2469" s="4">
        <f>VALUE(SUBSTITUTE(SUBSTITUTE(Table1[[#This Row],[Price]],"$",""),",",""))</f>
        <v>1254323</v>
      </c>
      <c r="H2469" s="1">
        <f>Table1[[#This Row],[Price2]]/Table1[[#This Row],[Area]]</f>
        <v>1193.4567078972407</v>
      </c>
      <c r="I2469">
        <v>1051</v>
      </c>
      <c r="J2469">
        <v>2019</v>
      </c>
      <c r="K2469">
        <v>72</v>
      </c>
      <c r="L2469" t="s">
        <v>30</v>
      </c>
      <c r="M2469" t="s">
        <v>258</v>
      </c>
      <c r="N2469" s="2" t="s">
        <v>3027</v>
      </c>
      <c r="O2469" t="s">
        <v>3028</v>
      </c>
      <c r="P2469" t="s">
        <v>26</v>
      </c>
      <c r="Q2469">
        <v>1193.4567078972407</v>
      </c>
      <c r="R2469">
        <f ca="1">YEAR(TODAY())-Table1[[#This Row],[Year Built]]</f>
        <v>7</v>
      </c>
      <c r="S2469" t="str">
        <f>IF(Table1[[#This Row],[Days on Market]] &lt; 30,"Fast",IF(Table1[[#This Row],[Days on Market]]&lt;= 90,"Average", "Slow"))</f>
        <v>Average</v>
      </c>
      <c r="T2469" t="str">
        <f>IF(Table1[[#This Row],[Price2]]&lt;500000,"Affordable",IF(Table1[[#This Row],[Price2]]&lt;1000000,"Mid range","Luxury"))</f>
        <v>Luxury</v>
      </c>
    </row>
    <row r="2470" spans="1:20" x14ac:dyDescent="0.35">
      <c r="A2470" s="3">
        <v>1254859</v>
      </c>
      <c r="B2470" s="2" t="s">
        <v>34</v>
      </c>
      <c r="C2470">
        <v>67365</v>
      </c>
      <c r="D2470" s="2" t="s">
        <v>13</v>
      </c>
      <c r="E2470">
        <v>4</v>
      </c>
      <c r="F2470">
        <v>1</v>
      </c>
      <c r="G2470" s="4">
        <f>VALUE(SUBSTITUTE(SUBSTITUTE(Table1[[#This Row],[Price]],"$",""),",",""))</f>
        <v>1254859</v>
      </c>
      <c r="H2470" s="1">
        <f>Table1[[#This Row],[Price2]]/Table1[[#This Row],[Area]]</f>
        <v>415.92940006629101</v>
      </c>
      <c r="I2470">
        <v>3017</v>
      </c>
      <c r="J2470">
        <v>2005</v>
      </c>
      <c r="K2470">
        <v>58</v>
      </c>
      <c r="L2470" t="s">
        <v>14</v>
      </c>
      <c r="M2470" t="s">
        <v>1232</v>
      </c>
      <c r="N2470" s="2" t="s">
        <v>3029</v>
      </c>
      <c r="O2470" t="s">
        <v>3030</v>
      </c>
      <c r="P2470" t="s">
        <v>16</v>
      </c>
      <c r="Q2470">
        <v>415.92940006629101</v>
      </c>
      <c r="R2470">
        <f ca="1">YEAR(TODAY())-Table1[[#This Row],[Year Built]]</f>
        <v>21</v>
      </c>
      <c r="S2470" t="str">
        <f>IF(Table1[[#This Row],[Days on Market]] &lt; 30,"Fast",IF(Table1[[#This Row],[Days on Market]]&lt;= 90,"Average", "Slow"))</f>
        <v>Average</v>
      </c>
      <c r="T2470" t="str">
        <f>IF(Table1[[#This Row],[Price2]]&lt;500000,"Affordable",IF(Table1[[#This Row],[Price2]]&lt;1000000,"Mid range","Luxury"))</f>
        <v>Luxury</v>
      </c>
    </row>
    <row r="2471" spans="1:20" x14ac:dyDescent="0.35">
      <c r="A2471" s="3">
        <v>1254861</v>
      </c>
      <c r="B2471" s="2" t="s">
        <v>34</v>
      </c>
      <c r="C2471">
        <v>52094</v>
      </c>
      <c r="D2471" s="2" t="s">
        <v>13</v>
      </c>
      <c r="E2471">
        <v>3</v>
      </c>
      <c r="F2471">
        <v>2</v>
      </c>
      <c r="G2471" s="4">
        <f>VALUE(SUBSTITUTE(SUBSTITUTE(Table1[[#This Row],[Price]],"$",""),",",""))</f>
        <v>1254861</v>
      </c>
      <c r="H2471" s="1">
        <f>Table1[[#This Row],[Price2]]/Table1[[#This Row],[Area]]</f>
        <v>650.52410575427677</v>
      </c>
      <c r="I2471">
        <v>1929</v>
      </c>
      <c r="J2471">
        <v>1977</v>
      </c>
      <c r="K2471">
        <v>12</v>
      </c>
      <c r="L2471" t="s">
        <v>30</v>
      </c>
      <c r="M2471" t="s">
        <v>1874</v>
      </c>
      <c r="N2471" s="2" t="s">
        <v>3033</v>
      </c>
      <c r="O2471" t="s">
        <v>3034</v>
      </c>
      <c r="P2471" t="s">
        <v>21</v>
      </c>
      <c r="Q2471">
        <v>650.52410575427677</v>
      </c>
      <c r="R2471">
        <f ca="1">YEAR(TODAY())-Table1[[#This Row],[Year Built]]</f>
        <v>49</v>
      </c>
      <c r="S2471" t="str">
        <f>IF(Table1[[#This Row],[Days on Market]] &lt; 30,"Fast",IF(Table1[[#This Row],[Days on Market]]&lt;= 90,"Average", "Slow"))</f>
        <v>Fast</v>
      </c>
      <c r="T2471" t="str">
        <f>IF(Table1[[#This Row],[Price2]]&lt;500000,"Affordable",IF(Table1[[#This Row],[Price2]]&lt;1000000,"Mid range","Luxury"))</f>
        <v>Luxury</v>
      </c>
    </row>
    <row r="2472" spans="1:20" x14ac:dyDescent="0.35">
      <c r="A2472" s="3">
        <v>1255047</v>
      </c>
      <c r="B2472" s="2" t="s">
        <v>34</v>
      </c>
      <c r="C2472">
        <v>65918</v>
      </c>
      <c r="D2472" s="2" t="s">
        <v>29</v>
      </c>
      <c r="E2472">
        <v>6</v>
      </c>
      <c r="F2472">
        <v>3</v>
      </c>
      <c r="G2472" s="4">
        <f>VALUE(SUBSTITUTE(SUBSTITUTE(Table1[[#This Row],[Price]],"$",""),",",""))</f>
        <v>1255047</v>
      </c>
      <c r="H2472" s="1">
        <f>Table1[[#This Row],[Price2]]/Table1[[#This Row],[Area]]</f>
        <v>662.64361140443509</v>
      </c>
      <c r="I2472">
        <v>1894</v>
      </c>
      <c r="J2472">
        <v>1961</v>
      </c>
      <c r="K2472">
        <v>68</v>
      </c>
      <c r="L2472" t="s">
        <v>52</v>
      </c>
      <c r="M2472" t="s">
        <v>844</v>
      </c>
      <c r="N2472" s="2" t="s">
        <v>3033</v>
      </c>
      <c r="O2472" t="s">
        <v>3034</v>
      </c>
      <c r="P2472" t="s">
        <v>16</v>
      </c>
      <c r="Q2472">
        <v>662.64361140443509</v>
      </c>
      <c r="R2472">
        <f ca="1">YEAR(TODAY())-Table1[[#This Row],[Year Built]]</f>
        <v>65</v>
      </c>
      <c r="S2472" t="str">
        <f>IF(Table1[[#This Row],[Days on Market]] &lt; 30,"Fast",IF(Table1[[#This Row],[Days on Market]]&lt;= 90,"Average", "Slow"))</f>
        <v>Average</v>
      </c>
      <c r="T2472" t="str">
        <f>IF(Table1[[#This Row],[Price2]]&lt;500000,"Affordable",IF(Table1[[#This Row],[Price2]]&lt;1000000,"Mid range","Luxury"))</f>
        <v>Luxury</v>
      </c>
    </row>
    <row r="2473" spans="1:20" x14ac:dyDescent="0.35">
      <c r="A2473" s="3">
        <v>1255210</v>
      </c>
      <c r="B2473" s="2" t="s">
        <v>12</v>
      </c>
      <c r="C2473">
        <v>63640</v>
      </c>
      <c r="D2473" s="2" t="s">
        <v>13</v>
      </c>
      <c r="E2473">
        <v>2</v>
      </c>
      <c r="F2473">
        <v>3</v>
      </c>
      <c r="G2473" s="4">
        <f>VALUE(SUBSTITUTE(SUBSTITUTE(Table1[[#This Row],[Price]],"$",""),",",""))</f>
        <v>1255210</v>
      </c>
      <c r="H2473" s="1">
        <f>Table1[[#This Row],[Price2]]/Table1[[#This Row],[Area]]</f>
        <v>1476.7176470588236</v>
      </c>
      <c r="I2473">
        <v>850</v>
      </c>
      <c r="J2473">
        <v>1956</v>
      </c>
      <c r="K2473">
        <v>99</v>
      </c>
      <c r="L2473" t="s">
        <v>40</v>
      </c>
      <c r="M2473" t="s">
        <v>2405</v>
      </c>
      <c r="N2473" s="2" t="s">
        <v>3033</v>
      </c>
      <c r="O2473" t="s">
        <v>3034</v>
      </c>
      <c r="P2473" t="s">
        <v>26</v>
      </c>
      <c r="Q2473">
        <v>1476.7176470588236</v>
      </c>
      <c r="R2473">
        <f ca="1">YEAR(TODAY())-Table1[[#This Row],[Year Built]]</f>
        <v>70</v>
      </c>
      <c r="S2473" t="str">
        <f>IF(Table1[[#This Row],[Days on Market]] &lt; 30,"Fast",IF(Table1[[#This Row],[Days on Market]]&lt;= 90,"Average", "Slow"))</f>
        <v>Slow</v>
      </c>
      <c r="T2473" t="str">
        <f>IF(Table1[[#This Row],[Price2]]&lt;500000,"Affordable",IF(Table1[[#This Row],[Price2]]&lt;1000000,"Mid range","Luxury"))</f>
        <v>Luxury</v>
      </c>
    </row>
    <row r="2474" spans="1:20" x14ac:dyDescent="0.35">
      <c r="A2474" s="3">
        <v>1256611</v>
      </c>
      <c r="B2474" s="2" t="s">
        <v>22</v>
      </c>
      <c r="C2474">
        <v>23389</v>
      </c>
      <c r="D2474" s="2" t="s">
        <v>13</v>
      </c>
      <c r="E2474">
        <v>2</v>
      </c>
      <c r="F2474">
        <v>4</v>
      </c>
      <c r="G2474" s="4">
        <f>VALUE(SUBSTITUTE(SUBSTITUTE(Table1[[#This Row],[Price]],"$",""),",",""))</f>
        <v>1256611</v>
      </c>
      <c r="H2474" s="1">
        <f>Table1[[#This Row],[Price2]]/Table1[[#This Row],[Area]]</f>
        <v>413.76720447810339</v>
      </c>
      <c r="I2474">
        <v>3037</v>
      </c>
      <c r="J2474">
        <v>1956</v>
      </c>
      <c r="K2474">
        <v>25</v>
      </c>
      <c r="L2474" t="s">
        <v>14</v>
      </c>
      <c r="M2474" t="s">
        <v>141</v>
      </c>
      <c r="N2474" s="2" t="s">
        <v>3027</v>
      </c>
      <c r="O2474" t="s">
        <v>3028</v>
      </c>
      <c r="P2474" t="s">
        <v>21</v>
      </c>
      <c r="Q2474">
        <v>413.76720447810339</v>
      </c>
      <c r="R2474">
        <f ca="1">YEAR(TODAY())-Table1[[#This Row],[Year Built]]</f>
        <v>70</v>
      </c>
      <c r="S2474" t="str">
        <f>IF(Table1[[#This Row],[Days on Market]] &lt; 30,"Fast",IF(Table1[[#This Row],[Days on Market]]&lt;= 90,"Average", "Slow"))</f>
        <v>Fast</v>
      </c>
      <c r="T2474" t="str">
        <f>IF(Table1[[#This Row],[Price2]]&lt;500000,"Affordable",IF(Table1[[#This Row],[Price2]]&lt;1000000,"Mid range","Luxury"))</f>
        <v>Luxury</v>
      </c>
    </row>
    <row r="2475" spans="1:20" x14ac:dyDescent="0.35">
      <c r="A2475" s="3">
        <v>1256875</v>
      </c>
      <c r="B2475" s="2" t="s">
        <v>22</v>
      </c>
      <c r="C2475">
        <v>65996</v>
      </c>
      <c r="D2475" s="2" t="s">
        <v>18</v>
      </c>
      <c r="E2475">
        <v>5</v>
      </c>
      <c r="F2475">
        <v>2</v>
      </c>
      <c r="G2475" s="4">
        <f>VALUE(SUBSTITUTE(SUBSTITUTE(Table1[[#This Row],[Price]],"$",""),",",""))</f>
        <v>1256875</v>
      </c>
      <c r="H2475" s="1">
        <f>Table1[[#This Row],[Price2]]/Table1[[#This Row],[Area]]</f>
        <v>689.45419637959412</v>
      </c>
      <c r="I2475">
        <v>1823</v>
      </c>
      <c r="J2475">
        <v>1993</v>
      </c>
      <c r="K2475">
        <v>70</v>
      </c>
      <c r="L2475" t="s">
        <v>19</v>
      </c>
      <c r="M2475" t="s">
        <v>557</v>
      </c>
      <c r="N2475" s="2" t="s">
        <v>3033</v>
      </c>
      <c r="O2475" t="s">
        <v>3034</v>
      </c>
      <c r="P2475" t="s">
        <v>21</v>
      </c>
      <c r="Q2475">
        <v>689.45419637959412</v>
      </c>
      <c r="R2475">
        <f ca="1">YEAR(TODAY())-Table1[[#This Row],[Year Built]]</f>
        <v>33</v>
      </c>
      <c r="S2475" t="str">
        <f>IF(Table1[[#This Row],[Days on Market]] &lt; 30,"Fast",IF(Table1[[#This Row],[Days on Market]]&lt;= 90,"Average", "Slow"))</f>
        <v>Average</v>
      </c>
      <c r="T2475" t="str">
        <f>IF(Table1[[#This Row],[Price2]]&lt;500000,"Affordable",IF(Table1[[#This Row],[Price2]]&lt;1000000,"Mid range","Luxury"))</f>
        <v>Luxury</v>
      </c>
    </row>
    <row r="2476" spans="1:20" x14ac:dyDescent="0.35">
      <c r="A2476" s="3">
        <v>1257066</v>
      </c>
      <c r="B2476" s="2" t="s">
        <v>27</v>
      </c>
      <c r="C2476">
        <v>14171</v>
      </c>
      <c r="D2476" s="2" t="s">
        <v>18</v>
      </c>
      <c r="E2476">
        <v>1</v>
      </c>
      <c r="F2476">
        <v>3</v>
      </c>
      <c r="G2476" s="4">
        <f>VALUE(SUBSTITUTE(SUBSTITUTE(Table1[[#This Row],[Price]],"$",""),",",""))</f>
        <v>1257066</v>
      </c>
      <c r="H2476" s="1">
        <f>Table1[[#This Row],[Price2]]/Table1[[#This Row],[Area]]</f>
        <v>905.01511879049679</v>
      </c>
      <c r="I2476">
        <v>1389</v>
      </c>
      <c r="J2476">
        <v>2009</v>
      </c>
      <c r="K2476">
        <v>110</v>
      </c>
      <c r="L2476" t="s">
        <v>40</v>
      </c>
      <c r="M2476" t="s">
        <v>2137</v>
      </c>
      <c r="N2476" s="2" t="s">
        <v>3031</v>
      </c>
      <c r="O2476" t="s">
        <v>3032</v>
      </c>
      <c r="P2476" t="s">
        <v>21</v>
      </c>
      <c r="Q2476">
        <v>905.01511879049679</v>
      </c>
      <c r="R2476">
        <f ca="1">YEAR(TODAY())-Table1[[#This Row],[Year Built]]</f>
        <v>17</v>
      </c>
      <c r="S2476" t="str">
        <f>IF(Table1[[#This Row],[Days on Market]] &lt; 30,"Fast",IF(Table1[[#This Row],[Days on Market]]&lt;= 90,"Average", "Slow"))</f>
        <v>Slow</v>
      </c>
      <c r="T2476" t="str">
        <f>IF(Table1[[#This Row],[Price2]]&lt;500000,"Affordable",IF(Table1[[#This Row],[Price2]]&lt;1000000,"Mid range","Luxury"))</f>
        <v>Luxury</v>
      </c>
    </row>
    <row r="2477" spans="1:20" x14ac:dyDescent="0.35">
      <c r="A2477" s="3">
        <v>1257567</v>
      </c>
      <c r="B2477" s="2" t="s">
        <v>17</v>
      </c>
      <c r="C2477">
        <v>66989</v>
      </c>
      <c r="D2477" s="2" t="s">
        <v>18</v>
      </c>
      <c r="E2477">
        <v>2</v>
      </c>
      <c r="F2477">
        <v>1</v>
      </c>
      <c r="G2477" s="4">
        <f>VALUE(SUBSTITUTE(SUBSTITUTE(Table1[[#This Row],[Price]],"$",""),",",""))</f>
        <v>1257567</v>
      </c>
      <c r="H2477" s="1">
        <f>Table1[[#This Row],[Price2]]/Table1[[#This Row],[Area]]</f>
        <v>323.53151530743503</v>
      </c>
      <c r="I2477">
        <v>3887</v>
      </c>
      <c r="J2477">
        <v>1957</v>
      </c>
      <c r="K2477">
        <v>43</v>
      </c>
      <c r="L2477" t="s">
        <v>40</v>
      </c>
      <c r="M2477" t="s">
        <v>108</v>
      </c>
      <c r="N2477" s="2" t="s">
        <v>3027</v>
      </c>
      <c r="O2477" t="s">
        <v>3028</v>
      </c>
      <c r="P2477" t="s">
        <v>21</v>
      </c>
      <c r="Q2477">
        <v>323.53151530743503</v>
      </c>
      <c r="R2477">
        <f ca="1">YEAR(TODAY())-Table1[[#This Row],[Year Built]]</f>
        <v>69</v>
      </c>
      <c r="S2477" t="str">
        <f>IF(Table1[[#This Row],[Days on Market]] &lt; 30,"Fast",IF(Table1[[#This Row],[Days on Market]]&lt;= 90,"Average", "Slow"))</f>
        <v>Average</v>
      </c>
      <c r="T2477" t="str">
        <f>IF(Table1[[#This Row],[Price2]]&lt;500000,"Affordable",IF(Table1[[#This Row],[Price2]]&lt;1000000,"Mid range","Luxury"))</f>
        <v>Luxury</v>
      </c>
    </row>
    <row r="2478" spans="1:20" x14ac:dyDescent="0.35">
      <c r="A2478" s="3">
        <v>1257643</v>
      </c>
      <c r="B2478" s="2" t="s">
        <v>34</v>
      </c>
      <c r="C2478">
        <v>41315</v>
      </c>
      <c r="D2478" s="2" t="s">
        <v>18</v>
      </c>
      <c r="E2478">
        <v>5</v>
      </c>
      <c r="F2478">
        <v>4</v>
      </c>
      <c r="G2478" s="4">
        <f>VALUE(SUBSTITUTE(SUBSTITUTE(Table1[[#This Row],[Price]],"$",""),",",""))</f>
        <v>1257643</v>
      </c>
      <c r="H2478" s="1">
        <f>Table1[[#This Row],[Price2]]/Table1[[#This Row],[Area]]</f>
        <v>1773.8265162200282</v>
      </c>
      <c r="I2478">
        <v>709</v>
      </c>
      <c r="J2478">
        <v>1950</v>
      </c>
      <c r="K2478">
        <v>88</v>
      </c>
      <c r="L2478" t="s">
        <v>30</v>
      </c>
      <c r="M2478" t="s">
        <v>745</v>
      </c>
      <c r="N2478" s="2" t="s">
        <v>3035</v>
      </c>
      <c r="O2478" t="s">
        <v>3036</v>
      </c>
      <c r="P2478" t="s">
        <v>16</v>
      </c>
      <c r="Q2478">
        <v>1773.8265162200282</v>
      </c>
      <c r="R2478">
        <f ca="1">YEAR(TODAY())-Table1[[#This Row],[Year Built]]</f>
        <v>76</v>
      </c>
      <c r="S2478" t="str">
        <f>IF(Table1[[#This Row],[Days on Market]] &lt; 30,"Fast",IF(Table1[[#This Row],[Days on Market]]&lt;= 90,"Average", "Slow"))</f>
        <v>Average</v>
      </c>
      <c r="T2478" t="str">
        <f>IF(Table1[[#This Row],[Price2]]&lt;500000,"Affordable",IF(Table1[[#This Row],[Price2]]&lt;1000000,"Mid range","Luxury"))</f>
        <v>Luxury</v>
      </c>
    </row>
    <row r="2479" spans="1:20" x14ac:dyDescent="0.35">
      <c r="A2479" s="3">
        <v>1257749</v>
      </c>
      <c r="B2479" s="2" t="s">
        <v>17</v>
      </c>
      <c r="C2479">
        <v>64765</v>
      </c>
      <c r="D2479" s="2" t="s">
        <v>18</v>
      </c>
      <c r="E2479">
        <v>6</v>
      </c>
      <c r="F2479">
        <v>2</v>
      </c>
      <c r="G2479" s="4">
        <f>VALUE(SUBSTITUTE(SUBSTITUTE(Table1[[#This Row],[Price]],"$",""),",",""))</f>
        <v>1257749</v>
      </c>
      <c r="H2479" s="1">
        <f>Table1[[#This Row],[Price2]]/Table1[[#This Row],[Area]]</f>
        <v>445.37854107648724</v>
      </c>
      <c r="I2479">
        <v>2824</v>
      </c>
      <c r="J2479">
        <v>1988</v>
      </c>
      <c r="K2479">
        <v>42</v>
      </c>
      <c r="L2479" t="s">
        <v>14</v>
      </c>
      <c r="M2479" t="s">
        <v>993</v>
      </c>
      <c r="N2479" s="2" t="s">
        <v>3027</v>
      </c>
      <c r="O2479" t="s">
        <v>3028</v>
      </c>
      <c r="P2479" t="s">
        <v>16</v>
      </c>
      <c r="Q2479">
        <v>445.37854107648724</v>
      </c>
      <c r="R2479">
        <f ca="1">YEAR(TODAY())-Table1[[#This Row],[Year Built]]</f>
        <v>38</v>
      </c>
      <c r="S2479" t="str">
        <f>IF(Table1[[#This Row],[Days on Market]] &lt; 30,"Fast",IF(Table1[[#This Row],[Days on Market]]&lt;= 90,"Average", "Slow"))</f>
        <v>Average</v>
      </c>
      <c r="T2479" t="str">
        <f>IF(Table1[[#This Row],[Price2]]&lt;500000,"Affordable",IF(Table1[[#This Row],[Price2]]&lt;1000000,"Mid range","Luxury"))</f>
        <v>Luxury</v>
      </c>
    </row>
    <row r="2480" spans="1:20" x14ac:dyDescent="0.35">
      <c r="A2480" s="3">
        <v>1258068</v>
      </c>
      <c r="B2480" s="2" t="s">
        <v>17</v>
      </c>
      <c r="C2480">
        <v>27071</v>
      </c>
      <c r="D2480" s="2" t="s">
        <v>35</v>
      </c>
      <c r="E2480">
        <v>4</v>
      </c>
      <c r="F2480">
        <v>3</v>
      </c>
      <c r="G2480" s="4">
        <f>VALUE(SUBSTITUTE(SUBSTITUTE(Table1[[#This Row],[Price]],"$",""),",",""))</f>
        <v>1258068</v>
      </c>
      <c r="H2480" s="1">
        <f>Table1[[#This Row],[Price2]]/Table1[[#This Row],[Area]]</f>
        <v>375.5426865671642</v>
      </c>
      <c r="I2480">
        <v>3350</v>
      </c>
      <c r="J2480">
        <v>1993</v>
      </c>
      <c r="K2480">
        <v>23</v>
      </c>
      <c r="L2480" t="s">
        <v>19</v>
      </c>
      <c r="M2480" t="s">
        <v>589</v>
      </c>
      <c r="N2480" s="2" t="s">
        <v>3035</v>
      </c>
      <c r="O2480" t="s">
        <v>3036</v>
      </c>
      <c r="P2480" t="s">
        <v>16</v>
      </c>
      <c r="Q2480">
        <v>375.5426865671642</v>
      </c>
      <c r="R2480">
        <f ca="1">YEAR(TODAY())-Table1[[#This Row],[Year Built]]</f>
        <v>33</v>
      </c>
      <c r="S2480" t="str">
        <f>IF(Table1[[#This Row],[Days on Market]] &lt; 30,"Fast",IF(Table1[[#This Row],[Days on Market]]&lt;= 90,"Average", "Slow"))</f>
        <v>Fast</v>
      </c>
      <c r="T2480" t="str">
        <f>IF(Table1[[#This Row],[Price2]]&lt;500000,"Affordable",IF(Table1[[#This Row],[Price2]]&lt;1000000,"Mid range","Luxury"))</f>
        <v>Luxury</v>
      </c>
    </row>
    <row r="2481" spans="1:20" x14ac:dyDescent="0.35">
      <c r="A2481" s="3">
        <v>1258147</v>
      </c>
      <c r="B2481" s="2" t="s">
        <v>22</v>
      </c>
      <c r="C2481">
        <v>87399</v>
      </c>
      <c r="D2481" s="2" t="s">
        <v>23</v>
      </c>
      <c r="E2481">
        <v>5</v>
      </c>
      <c r="F2481">
        <v>3</v>
      </c>
      <c r="G2481" s="4">
        <f>VALUE(SUBSTITUTE(SUBSTITUTE(Table1[[#This Row],[Price]],"$",""),",",""))</f>
        <v>1258147</v>
      </c>
      <c r="H2481" s="1">
        <f>Table1[[#This Row],[Price2]]/Table1[[#This Row],[Area]]</f>
        <v>1097.8595113438046</v>
      </c>
      <c r="I2481">
        <v>1146</v>
      </c>
      <c r="J2481">
        <v>2006</v>
      </c>
      <c r="K2481">
        <v>115</v>
      </c>
      <c r="L2481" t="s">
        <v>19</v>
      </c>
      <c r="M2481" t="s">
        <v>2563</v>
      </c>
      <c r="N2481" s="2" t="s">
        <v>3033</v>
      </c>
      <c r="O2481" t="s">
        <v>3034</v>
      </c>
      <c r="P2481" t="s">
        <v>26</v>
      </c>
      <c r="Q2481">
        <v>1097.8595113438046</v>
      </c>
      <c r="R2481">
        <f ca="1">YEAR(TODAY())-Table1[[#This Row],[Year Built]]</f>
        <v>20</v>
      </c>
      <c r="S2481" t="str">
        <f>IF(Table1[[#This Row],[Days on Market]] &lt; 30,"Fast",IF(Table1[[#This Row],[Days on Market]]&lt;= 90,"Average", "Slow"))</f>
        <v>Slow</v>
      </c>
      <c r="T2481" t="str">
        <f>IF(Table1[[#This Row],[Price2]]&lt;500000,"Affordable",IF(Table1[[#This Row],[Price2]]&lt;1000000,"Mid range","Luxury"))</f>
        <v>Luxury</v>
      </c>
    </row>
    <row r="2482" spans="1:20" x14ac:dyDescent="0.35">
      <c r="A2482" s="3">
        <v>1258728</v>
      </c>
      <c r="B2482" s="2" t="s">
        <v>34</v>
      </c>
      <c r="C2482">
        <v>92847</v>
      </c>
      <c r="D2482" s="2" t="s">
        <v>18</v>
      </c>
      <c r="E2482">
        <v>3</v>
      </c>
      <c r="F2482">
        <v>4</v>
      </c>
      <c r="G2482" s="4">
        <f>VALUE(SUBSTITUTE(SUBSTITUTE(Table1[[#This Row],[Price]],"$",""),",",""))</f>
        <v>1258728</v>
      </c>
      <c r="H2482" s="1">
        <f>Table1[[#This Row],[Price2]]/Table1[[#This Row],[Area]]</f>
        <v>591.50751879699249</v>
      </c>
      <c r="I2482">
        <v>2128</v>
      </c>
      <c r="J2482">
        <v>1992</v>
      </c>
      <c r="K2482">
        <v>100</v>
      </c>
      <c r="L2482" t="s">
        <v>52</v>
      </c>
      <c r="M2482" t="s">
        <v>256</v>
      </c>
      <c r="N2482" s="2" t="s">
        <v>3027</v>
      </c>
      <c r="O2482" t="s">
        <v>3028</v>
      </c>
      <c r="P2482" t="s">
        <v>26</v>
      </c>
      <c r="Q2482">
        <v>591.50751879699249</v>
      </c>
      <c r="R2482">
        <f ca="1">YEAR(TODAY())-Table1[[#This Row],[Year Built]]</f>
        <v>34</v>
      </c>
      <c r="S2482" t="str">
        <f>IF(Table1[[#This Row],[Days on Market]] &lt; 30,"Fast",IF(Table1[[#This Row],[Days on Market]]&lt;= 90,"Average", "Slow"))</f>
        <v>Slow</v>
      </c>
      <c r="T2482" t="str">
        <f>IF(Table1[[#This Row],[Price2]]&lt;500000,"Affordable",IF(Table1[[#This Row],[Price2]]&lt;1000000,"Mid range","Luxury"))</f>
        <v>Luxury</v>
      </c>
    </row>
    <row r="2483" spans="1:20" x14ac:dyDescent="0.35">
      <c r="A2483" s="3">
        <v>1258730</v>
      </c>
      <c r="B2483" s="2" t="s">
        <v>22</v>
      </c>
      <c r="C2483">
        <v>81388</v>
      </c>
      <c r="D2483" s="2" t="s">
        <v>35</v>
      </c>
      <c r="E2483">
        <v>1</v>
      </c>
      <c r="F2483">
        <v>1</v>
      </c>
      <c r="G2483" s="4">
        <f>VALUE(SUBSTITUTE(SUBSTITUTE(Table1[[#This Row],[Price]],"$",""),",",""))</f>
        <v>1258730</v>
      </c>
      <c r="H2483" s="1">
        <f>Table1[[#This Row],[Price2]]/Table1[[#This Row],[Area]]</f>
        <v>415.83415923356461</v>
      </c>
      <c r="I2483">
        <v>3027</v>
      </c>
      <c r="J2483">
        <v>1976</v>
      </c>
      <c r="K2483">
        <v>21</v>
      </c>
      <c r="L2483" t="s">
        <v>52</v>
      </c>
      <c r="M2483" t="s">
        <v>1300</v>
      </c>
      <c r="N2483" s="2" t="s">
        <v>3027</v>
      </c>
      <c r="O2483" t="s">
        <v>3028</v>
      </c>
      <c r="P2483" t="s">
        <v>16</v>
      </c>
      <c r="Q2483">
        <v>415.83415923356461</v>
      </c>
      <c r="R2483">
        <f ca="1">YEAR(TODAY())-Table1[[#This Row],[Year Built]]</f>
        <v>50</v>
      </c>
      <c r="S2483" t="str">
        <f>IF(Table1[[#This Row],[Days on Market]] &lt; 30,"Fast",IF(Table1[[#This Row],[Days on Market]]&lt;= 90,"Average", "Slow"))</f>
        <v>Fast</v>
      </c>
      <c r="T2483" t="str">
        <f>IF(Table1[[#This Row],[Price2]]&lt;500000,"Affordable",IF(Table1[[#This Row],[Price2]]&lt;1000000,"Mid range","Luxury"))</f>
        <v>Luxury</v>
      </c>
    </row>
    <row r="2484" spans="1:20" x14ac:dyDescent="0.35">
      <c r="A2484" s="3">
        <v>1258915</v>
      </c>
      <c r="B2484" s="2" t="s">
        <v>17</v>
      </c>
      <c r="C2484">
        <v>90226</v>
      </c>
      <c r="D2484" s="2" t="s">
        <v>13</v>
      </c>
      <c r="E2484">
        <v>4</v>
      </c>
      <c r="F2484">
        <v>2</v>
      </c>
      <c r="G2484" s="4">
        <f>VALUE(SUBSTITUTE(SUBSTITUTE(Table1[[#This Row],[Price]],"$",""),",",""))</f>
        <v>1258915</v>
      </c>
      <c r="H2484" s="1">
        <f>Table1[[#This Row],[Price2]]/Table1[[#This Row],[Area]]</f>
        <v>318.55136639676113</v>
      </c>
      <c r="I2484">
        <v>3952</v>
      </c>
      <c r="J2484">
        <v>1973</v>
      </c>
      <c r="K2484">
        <v>114</v>
      </c>
      <c r="L2484" t="s">
        <v>19</v>
      </c>
      <c r="M2484" t="s">
        <v>2727</v>
      </c>
      <c r="N2484" s="2" t="s">
        <v>3029</v>
      </c>
      <c r="O2484" t="s">
        <v>3030</v>
      </c>
      <c r="P2484" t="s">
        <v>21</v>
      </c>
      <c r="Q2484">
        <v>318.55136639676113</v>
      </c>
      <c r="R2484">
        <f ca="1">YEAR(TODAY())-Table1[[#This Row],[Year Built]]</f>
        <v>53</v>
      </c>
      <c r="S2484" t="str">
        <f>IF(Table1[[#This Row],[Days on Market]] &lt; 30,"Fast",IF(Table1[[#This Row],[Days on Market]]&lt;= 90,"Average", "Slow"))</f>
        <v>Slow</v>
      </c>
      <c r="T2484" t="str">
        <f>IF(Table1[[#This Row],[Price2]]&lt;500000,"Affordable",IF(Table1[[#This Row],[Price2]]&lt;1000000,"Mid range","Luxury"))</f>
        <v>Luxury</v>
      </c>
    </row>
    <row r="2485" spans="1:20" x14ac:dyDescent="0.35">
      <c r="A2485" s="3">
        <v>1259240</v>
      </c>
      <c r="B2485" s="2" t="s">
        <v>12</v>
      </c>
      <c r="C2485">
        <v>57203</v>
      </c>
      <c r="D2485" s="2" t="s">
        <v>13</v>
      </c>
      <c r="E2485">
        <v>6</v>
      </c>
      <c r="F2485">
        <v>2</v>
      </c>
      <c r="G2485" s="4">
        <f>VALUE(SUBSTITUTE(SUBSTITUTE(Table1[[#This Row],[Price]],"$",""),",",""))</f>
        <v>1259240</v>
      </c>
      <c r="H2485" s="1">
        <f>Table1[[#This Row],[Price2]]/Table1[[#This Row],[Area]]</f>
        <v>1408.5458612975392</v>
      </c>
      <c r="I2485">
        <v>894</v>
      </c>
      <c r="J2485">
        <v>1974</v>
      </c>
      <c r="K2485">
        <v>68</v>
      </c>
      <c r="L2485" t="s">
        <v>52</v>
      </c>
      <c r="M2485" t="s">
        <v>2001</v>
      </c>
      <c r="N2485" s="2" t="s">
        <v>3031</v>
      </c>
      <c r="O2485" t="s">
        <v>3032</v>
      </c>
      <c r="P2485" t="s">
        <v>26</v>
      </c>
      <c r="Q2485">
        <v>1408.5458612975392</v>
      </c>
      <c r="R2485">
        <f ca="1">YEAR(TODAY())-Table1[[#This Row],[Year Built]]</f>
        <v>52</v>
      </c>
      <c r="S2485" t="str">
        <f>IF(Table1[[#This Row],[Days on Market]] &lt; 30,"Fast",IF(Table1[[#This Row],[Days on Market]]&lt;= 90,"Average", "Slow"))</f>
        <v>Average</v>
      </c>
      <c r="T2485" t="str">
        <f>IF(Table1[[#This Row],[Price2]]&lt;500000,"Affordable",IF(Table1[[#This Row],[Price2]]&lt;1000000,"Mid range","Luxury"))</f>
        <v>Luxury</v>
      </c>
    </row>
    <row r="2486" spans="1:20" x14ac:dyDescent="0.35">
      <c r="A2486" s="3">
        <v>1259364</v>
      </c>
      <c r="B2486" s="2" t="s">
        <v>22</v>
      </c>
      <c r="C2486">
        <v>25588</v>
      </c>
      <c r="D2486" s="2" t="s">
        <v>23</v>
      </c>
      <c r="E2486">
        <v>5</v>
      </c>
      <c r="F2486">
        <v>2</v>
      </c>
      <c r="G2486" s="4">
        <f>VALUE(SUBSTITUTE(SUBSTITUTE(Table1[[#This Row],[Price]],"$",""),",",""))</f>
        <v>1259364</v>
      </c>
      <c r="H2486" s="1">
        <f>Table1[[#This Row],[Price2]]/Table1[[#This Row],[Area]]</f>
        <v>846.91593813046404</v>
      </c>
      <c r="I2486">
        <v>1487</v>
      </c>
      <c r="J2486">
        <v>2005</v>
      </c>
      <c r="K2486">
        <v>33</v>
      </c>
      <c r="L2486" t="s">
        <v>30</v>
      </c>
      <c r="M2486" t="s">
        <v>905</v>
      </c>
      <c r="N2486" s="2" t="s">
        <v>3033</v>
      </c>
      <c r="O2486" t="s">
        <v>3034</v>
      </c>
      <c r="P2486" t="s">
        <v>21</v>
      </c>
      <c r="Q2486">
        <v>846.91593813046404</v>
      </c>
      <c r="R2486">
        <f ca="1">YEAR(TODAY())-Table1[[#This Row],[Year Built]]</f>
        <v>21</v>
      </c>
      <c r="S2486" t="str">
        <f>IF(Table1[[#This Row],[Days on Market]] &lt; 30,"Fast",IF(Table1[[#This Row],[Days on Market]]&lt;= 90,"Average", "Slow"))</f>
        <v>Average</v>
      </c>
      <c r="T2486" t="str">
        <f>IF(Table1[[#This Row],[Price2]]&lt;500000,"Affordable",IF(Table1[[#This Row],[Price2]]&lt;1000000,"Mid range","Luxury"))</f>
        <v>Luxury</v>
      </c>
    </row>
    <row r="2487" spans="1:20" x14ac:dyDescent="0.35">
      <c r="A2487" s="3">
        <v>1260045</v>
      </c>
      <c r="B2487" s="2" t="s">
        <v>17</v>
      </c>
      <c r="C2487">
        <v>63613</v>
      </c>
      <c r="D2487" s="2" t="s">
        <v>18</v>
      </c>
      <c r="E2487">
        <v>6</v>
      </c>
      <c r="F2487">
        <v>4</v>
      </c>
      <c r="G2487" s="4">
        <f>VALUE(SUBSTITUTE(SUBSTITUTE(Table1[[#This Row],[Price]],"$",""),",",""))</f>
        <v>1260045</v>
      </c>
      <c r="H2487" s="1">
        <f>Table1[[#This Row],[Price2]]/Table1[[#This Row],[Area]]</f>
        <v>414.89792558445833</v>
      </c>
      <c r="I2487">
        <v>3037</v>
      </c>
      <c r="J2487">
        <v>2017</v>
      </c>
      <c r="K2487">
        <v>68</v>
      </c>
      <c r="L2487" t="s">
        <v>30</v>
      </c>
      <c r="M2487" t="s">
        <v>2736</v>
      </c>
      <c r="N2487" s="2" t="s">
        <v>3035</v>
      </c>
      <c r="O2487" t="s">
        <v>3036</v>
      </c>
      <c r="P2487" t="s">
        <v>26</v>
      </c>
      <c r="Q2487">
        <v>414.89792558445833</v>
      </c>
      <c r="R2487">
        <f ca="1">YEAR(TODAY())-Table1[[#This Row],[Year Built]]</f>
        <v>9</v>
      </c>
      <c r="S2487" t="str">
        <f>IF(Table1[[#This Row],[Days on Market]] &lt; 30,"Fast",IF(Table1[[#This Row],[Days on Market]]&lt;= 90,"Average", "Slow"))</f>
        <v>Average</v>
      </c>
      <c r="T2487" t="str">
        <f>IF(Table1[[#This Row],[Price2]]&lt;500000,"Affordable",IF(Table1[[#This Row],[Price2]]&lt;1000000,"Mid range","Luxury"))</f>
        <v>Luxury</v>
      </c>
    </row>
    <row r="2488" spans="1:20" x14ac:dyDescent="0.35">
      <c r="A2488" s="3">
        <v>1260866</v>
      </c>
      <c r="B2488" s="2" t="s">
        <v>27</v>
      </c>
      <c r="C2488">
        <v>84873</v>
      </c>
      <c r="D2488" s="2" t="s">
        <v>13</v>
      </c>
      <c r="E2488">
        <v>4</v>
      </c>
      <c r="F2488">
        <v>2</v>
      </c>
      <c r="G2488" s="4">
        <f>VALUE(SUBSTITUTE(SUBSTITUTE(Table1[[#This Row],[Price]],"$",""),",",""))</f>
        <v>1260866</v>
      </c>
      <c r="H2488" s="1">
        <f>Table1[[#This Row],[Price2]]/Table1[[#This Row],[Area]]</f>
        <v>1713.133152173913</v>
      </c>
      <c r="I2488">
        <v>736</v>
      </c>
      <c r="J2488">
        <v>1979</v>
      </c>
      <c r="K2488">
        <v>6</v>
      </c>
      <c r="L2488" t="s">
        <v>40</v>
      </c>
      <c r="M2488" t="s">
        <v>2455</v>
      </c>
      <c r="N2488" s="2" t="s">
        <v>3035</v>
      </c>
      <c r="O2488" t="s">
        <v>3036</v>
      </c>
      <c r="P2488" t="s">
        <v>16</v>
      </c>
      <c r="Q2488">
        <v>1713.133152173913</v>
      </c>
      <c r="R2488">
        <f ca="1">YEAR(TODAY())-Table1[[#This Row],[Year Built]]</f>
        <v>47</v>
      </c>
      <c r="S2488" t="str">
        <f>IF(Table1[[#This Row],[Days on Market]] &lt; 30,"Fast",IF(Table1[[#This Row],[Days on Market]]&lt;= 90,"Average", "Slow"))</f>
        <v>Fast</v>
      </c>
      <c r="T2488" t="str">
        <f>IF(Table1[[#This Row],[Price2]]&lt;500000,"Affordable",IF(Table1[[#This Row],[Price2]]&lt;1000000,"Mid range","Luxury"))</f>
        <v>Luxury</v>
      </c>
    </row>
    <row r="2489" spans="1:20" x14ac:dyDescent="0.35">
      <c r="A2489" s="3">
        <v>1261138</v>
      </c>
      <c r="B2489" s="2" t="s">
        <v>27</v>
      </c>
      <c r="C2489">
        <v>23082</v>
      </c>
      <c r="D2489" s="2" t="s">
        <v>29</v>
      </c>
      <c r="E2489">
        <v>1</v>
      </c>
      <c r="F2489">
        <v>4</v>
      </c>
      <c r="G2489" s="4">
        <f>VALUE(SUBSTITUTE(SUBSTITUTE(Table1[[#This Row],[Price]],"$",""),",",""))</f>
        <v>1261138</v>
      </c>
      <c r="H2489" s="1">
        <f>Table1[[#This Row],[Price2]]/Table1[[#This Row],[Area]]</f>
        <v>630.88444222111059</v>
      </c>
      <c r="I2489">
        <v>1999</v>
      </c>
      <c r="J2489">
        <v>2006</v>
      </c>
      <c r="K2489">
        <v>87</v>
      </c>
      <c r="L2489" t="s">
        <v>52</v>
      </c>
      <c r="M2489" t="s">
        <v>382</v>
      </c>
      <c r="N2489" s="2" t="s">
        <v>3027</v>
      </c>
      <c r="O2489" t="s">
        <v>3028</v>
      </c>
      <c r="P2489" t="s">
        <v>16</v>
      </c>
      <c r="Q2489">
        <v>630.88444222111059</v>
      </c>
      <c r="R2489">
        <f ca="1">YEAR(TODAY())-Table1[[#This Row],[Year Built]]</f>
        <v>20</v>
      </c>
      <c r="S2489" t="str">
        <f>IF(Table1[[#This Row],[Days on Market]] &lt; 30,"Fast",IF(Table1[[#This Row],[Days on Market]]&lt;= 90,"Average", "Slow"))</f>
        <v>Average</v>
      </c>
      <c r="T2489" t="str">
        <f>IF(Table1[[#This Row],[Price2]]&lt;500000,"Affordable",IF(Table1[[#This Row],[Price2]]&lt;1000000,"Mid range","Luxury"))</f>
        <v>Luxury</v>
      </c>
    </row>
    <row r="2490" spans="1:20" x14ac:dyDescent="0.35">
      <c r="A2490" s="3">
        <v>1261938</v>
      </c>
      <c r="B2490" s="2" t="s">
        <v>34</v>
      </c>
      <c r="C2490">
        <v>45469</v>
      </c>
      <c r="D2490" s="2" t="s">
        <v>35</v>
      </c>
      <c r="E2490">
        <v>5</v>
      </c>
      <c r="F2490">
        <v>3</v>
      </c>
      <c r="G2490" s="4">
        <f>VALUE(SUBSTITUTE(SUBSTITUTE(Table1[[#This Row],[Price]],"$",""),",",""))</f>
        <v>1261938</v>
      </c>
      <c r="H2490" s="1">
        <f>Table1[[#This Row],[Price2]]/Table1[[#This Row],[Area]]</f>
        <v>335.17609561752988</v>
      </c>
      <c r="I2490">
        <v>3765</v>
      </c>
      <c r="J2490">
        <v>2002</v>
      </c>
      <c r="K2490">
        <v>65</v>
      </c>
      <c r="L2490" t="s">
        <v>40</v>
      </c>
      <c r="M2490" t="s">
        <v>663</v>
      </c>
      <c r="N2490" s="2" t="s">
        <v>3029</v>
      </c>
      <c r="O2490" t="s">
        <v>3030</v>
      </c>
      <c r="P2490" t="s">
        <v>21</v>
      </c>
      <c r="Q2490">
        <v>335.17609561752988</v>
      </c>
      <c r="R2490">
        <f ca="1">YEAR(TODAY())-Table1[[#This Row],[Year Built]]</f>
        <v>24</v>
      </c>
      <c r="S2490" t="str">
        <f>IF(Table1[[#This Row],[Days on Market]] &lt; 30,"Fast",IF(Table1[[#This Row],[Days on Market]]&lt;= 90,"Average", "Slow"))</f>
        <v>Average</v>
      </c>
      <c r="T2490" t="str">
        <f>IF(Table1[[#This Row],[Price2]]&lt;500000,"Affordable",IF(Table1[[#This Row],[Price2]]&lt;1000000,"Mid range","Luxury"))</f>
        <v>Luxury</v>
      </c>
    </row>
    <row r="2491" spans="1:20" x14ac:dyDescent="0.35">
      <c r="A2491" s="3">
        <v>1262355</v>
      </c>
      <c r="B2491" s="2" t="s">
        <v>17</v>
      </c>
      <c r="C2491">
        <v>49075</v>
      </c>
      <c r="D2491" s="2" t="s">
        <v>29</v>
      </c>
      <c r="E2491">
        <v>2</v>
      </c>
      <c r="F2491">
        <v>2</v>
      </c>
      <c r="G2491" s="4">
        <f>VALUE(SUBSTITUTE(SUBSTITUTE(Table1[[#This Row],[Price]],"$",""),",",""))</f>
        <v>1262355</v>
      </c>
      <c r="H2491" s="1">
        <f>Table1[[#This Row],[Price2]]/Table1[[#This Row],[Area]]</f>
        <v>528.84583158776707</v>
      </c>
      <c r="I2491">
        <v>2387</v>
      </c>
      <c r="J2491">
        <v>1974</v>
      </c>
      <c r="K2491">
        <v>13</v>
      </c>
      <c r="L2491" t="s">
        <v>19</v>
      </c>
      <c r="M2491" t="s">
        <v>1985</v>
      </c>
      <c r="N2491" s="2" t="s">
        <v>3035</v>
      </c>
      <c r="O2491" t="s">
        <v>3036</v>
      </c>
      <c r="P2491" t="s">
        <v>16</v>
      </c>
      <c r="Q2491">
        <v>528.84583158776707</v>
      </c>
      <c r="R2491">
        <f ca="1">YEAR(TODAY())-Table1[[#This Row],[Year Built]]</f>
        <v>52</v>
      </c>
      <c r="S2491" t="str">
        <f>IF(Table1[[#This Row],[Days on Market]] &lt; 30,"Fast",IF(Table1[[#This Row],[Days on Market]]&lt;= 90,"Average", "Slow"))</f>
        <v>Fast</v>
      </c>
      <c r="T2491" t="str">
        <f>IF(Table1[[#This Row],[Price2]]&lt;500000,"Affordable",IF(Table1[[#This Row],[Price2]]&lt;1000000,"Mid range","Luxury"))</f>
        <v>Luxury</v>
      </c>
    </row>
    <row r="2492" spans="1:20" x14ac:dyDescent="0.35">
      <c r="A2492" s="3">
        <v>1262766</v>
      </c>
      <c r="B2492" s="2" t="s">
        <v>22</v>
      </c>
      <c r="C2492">
        <v>63296</v>
      </c>
      <c r="D2492" s="2" t="s">
        <v>23</v>
      </c>
      <c r="E2492">
        <v>4</v>
      </c>
      <c r="F2492">
        <v>3</v>
      </c>
      <c r="G2492" s="4">
        <f>VALUE(SUBSTITUTE(SUBSTITUTE(Table1[[#This Row],[Price]],"$",""),",",""))</f>
        <v>1262766</v>
      </c>
      <c r="H2492" s="1">
        <f>Table1[[#This Row],[Price2]]/Table1[[#This Row],[Area]]</f>
        <v>368.79848130841123</v>
      </c>
      <c r="I2492">
        <v>3424</v>
      </c>
      <c r="J2492">
        <v>1977</v>
      </c>
      <c r="K2492">
        <v>90</v>
      </c>
      <c r="L2492" t="s">
        <v>19</v>
      </c>
      <c r="M2492" t="s">
        <v>2545</v>
      </c>
      <c r="N2492" s="2" t="s">
        <v>3029</v>
      </c>
      <c r="O2492" t="s">
        <v>3030</v>
      </c>
      <c r="P2492" t="s">
        <v>16</v>
      </c>
      <c r="Q2492">
        <v>368.79848130841123</v>
      </c>
      <c r="R2492">
        <f ca="1">YEAR(TODAY())-Table1[[#This Row],[Year Built]]</f>
        <v>49</v>
      </c>
      <c r="S2492" t="str">
        <f>IF(Table1[[#This Row],[Days on Market]] &lt; 30,"Fast",IF(Table1[[#This Row],[Days on Market]]&lt;= 90,"Average", "Slow"))</f>
        <v>Average</v>
      </c>
      <c r="T2492" t="str">
        <f>IF(Table1[[#This Row],[Price2]]&lt;500000,"Affordable",IF(Table1[[#This Row],[Price2]]&lt;1000000,"Mid range","Luxury"))</f>
        <v>Luxury</v>
      </c>
    </row>
    <row r="2493" spans="1:20" x14ac:dyDescent="0.35">
      <c r="A2493" s="3">
        <v>1263035</v>
      </c>
      <c r="B2493" s="2" t="s">
        <v>17</v>
      </c>
      <c r="C2493">
        <v>94589</v>
      </c>
      <c r="D2493" s="2" t="s">
        <v>35</v>
      </c>
      <c r="E2493">
        <v>3</v>
      </c>
      <c r="F2493">
        <v>2</v>
      </c>
      <c r="G2493" s="4">
        <f>VALUE(SUBSTITUTE(SUBSTITUTE(Table1[[#This Row],[Price]],"$",""),",",""))</f>
        <v>1263035</v>
      </c>
      <c r="H2493" s="1">
        <f>Table1[[#This Row],[Price2]]/Table1[[#This Row],[Area]]</f>
        <v>399.94775174160861</v>
      </c>
      <c r="I2493">
        <v>3158</v>
      </c>
      <c r="J2493">
        <v>1970</v>
      </c>
      <c r="K2493">
        <v>116</v>
      </c>
      <c r="L2493" t="s">
        <v>52</v>
      </c>
      <c r="M2493" t="s">
        <v>2421</v>
      </c>
      <c r="N2493" s="2" t="s">
        <v>3031</v>
      </c>
      <c r="O2493" t="s">
        <v>3032</v>
      </c>
      <c r="P2493" t="s">
        <v>16</v>
      </c>
      <c r="Q2493">
        <v>399.94775174160861</v>
      </c>
      <c r="R2493">
        <f ca="1">YEAR(TODAY())-Table1[[#This Row],[Year Built]]</f>
        <v>56</v>
      </c>
      <c r="S2493" t="str">
        <f>IF(Table1[[#This Row],[Days on Market]] &lt; 30,"Fast",IF(Table1[[#This Row],[Days on Market]]&lt;= 90,"Average", "Slow"))</f>
        <v>Slow</v>
      </c>
      <c r="T2493" t="str">
        <f>IF(Table1[[#This Row],[Price2]]&lt;500000,"Affordable",IF(Table1[[#This Row],[Price2]]&lt;1000000,"Mid range","Luxury"))</f>
        <v>Luxury</v>
      </c>
    </row>
    <row r="2494" spans="1:20" x14ac:dyDescent="0.35">
      <c r="A2494" s="3">
        <v>1263497</v>
      </c>
      <c r="B2494" s="2" t="s">
        <v>17</v>
      </c>
      <c r="C2494">
        <v>86690</v>
      </c>
      <c r="D2494" s="2" t="s">
        <v>23</v>
      </c>
      <c r="E2494">
        <v>2</v>
      </c>
      <c r="F2494">
        <v>1</v>
      </c>
      <c r="G2494" s="4">
        <f>VALUE(SUBSTITUTE(SUBSTITUTE(Table1[[#This Row],[Price]],"$",""),",",""))</f>
        <v>1263497</v>
      </c>
      <c r="H2494" s="1">
        <f>Table1[[#This Row],[Price2]]/Table1[[#This Row],[Area]]</f>
        <v>883.56433566433566</v>
      </c>
      <c r="I2494">
        <v>1430</v>
      </c>
      <c r="J2494">
        <v>1992</v>
      </c>
      <c r="K2494">
        <v>111</v>
      </c>
      <c r="L2494" t="s">
        <v>40</v>
      </c>
      <c r="M2494" t="s">
        <v>477</v>
      </c>
      <c r="N2494" s="2" t="s">
        <v>3031</v>
      </c>
      <c r="O2494" t="s">
        <v>3032</v>
      </c>
      <c r="P2494" t="s">
        <v>26</v>
      </c>
      <c r="Q2494">
        <v>883.56433566433566</v>
      </c>
      <c r="R2494">
        <f ca="1">YEAR(TODAY())-Table1[[#This Row],[Year Built]]</f>
        <v>34</v>
      </c>
      <c r="S2494" t="str">
        <f>IF(Table1[[#This Row],[Days on Market]] &lt; 30,"Fast",IF(Table1[[#This Row],[Days on Market]]&lt;= 90,"Average", "Slow"))</f>
        <v>Slow</v>
      </c>
      <c r="T2494" t="str">
        <f>IF(Table1[[#This Row],[Price2]]&lt;500000,"Affordable",IF(Table1[[#This Row],[Price2]]&lt;1000000,"Mid range","Luxury"))</f>
        <v>Luxury</v>
      </c>
    </row>
    <row r="2495" spans="1:20" x14ac:dyDescent="0.35">
      <c r="A2495" s="3">
        <v>1263891</v>
      </c>
      <c r="B2495" s="2" t="s">
        <v>17</v>
      </c>
      <c r="C2495">
        <v>60012</v>
      </c>
      <c r="D2495" s="2" t="s">
        <v>18</v>
      </c>
      <c r="E2495">
        <v>1</v>
      </c>
      <c r="F2495">
        <v>4</v>
      </c>
      <c r="G2495" s="4">
        <f>VALUE(SUBSTITUTE(SUBSTITUTE(Table1[[#This Row],[Price]],"$",""),",",""))</f>
        <v>1263891</v>
      </c>
      <c r="H2495" s="1">
        <f>Table1[[#This Row],[Price2]]/Table1[[#This Row],[Area]]</f>
        <v>689.14449291166852</v>
      </c>
      <c r="I2495">
        <v>1834</v>
      </c>
      <c r="J2495">
        <v>1964</v>
      </c>
      <c r="K2495">
        <v>73</v>
      </c>
      <c r="L2495" t="s">
        <v>40</v>
      </c>
      <c r="M2495" t="s">
        <v>1600</v>
      </c>
      <c r="N2495" s="2" t="s">
        <v>3031</v>
      </c>
      <c r="O2495" t="s">
        <v>3032</v>
      </c>
      <c r="P2495" t="s">
        <v>26</v>
      </c>
      <c r="Q2495">
        <v>689.14449291166852</v>
      </c>
      <c r="R2495">
        <f ca="1">YEAR(TODAY())-Table1[[#This Row],[Year Built]]</f>
        <v>62</v>
      </c>
      <c r="S2495" t="str">
        <f>IF(Table1[[#This Row],[Days on Market]] &lt; 30,"Fast",IF(Table1[[#This Row],[Days on Market]]&lt;= 90,"Average", "Slow"))</f>
        <v>Average</v>
      </c>
      <c r="T2495" t="str">
        <f>IF(Table1[[#This Row],[Price2]]&lt;500000,"Affordable",IF(Table1[[#This Row],[Price2]]&lt;1000000,"Mid range","Luxury"))</f>
        <v>Luxury</v>
      </c>
    </row>
    <row r="2496" spans="1:20" x14ac:dyDescent="0.35">
      <c r="A2496" s="3">
        <v>1264468</v>
      </c>
      <c r="B2496" s="2" t="s">
        <v>17</v>
      </c>
      <c r="C2496">
        <v>10536</v>
      </c>
      <c r="D2496" s="2" t="s">
        <v>23</v>
      </c>
      <c r="E2496">
        <v>1</v>
      </c>
      <c r="F2496">
        <v>1</v>
      </c>
      <c r="G2496" s="4">
        <f>VALUE(SUBSTITUTE(SUBSTITUTE(Table1[[#This Row],[Price]],"$",""),",",""))</f>
        <v>1264468</v>
      </c>
      <c r="H2496" s="1">
        <f>Table1[[#This Row],[Price2]]/Table1[[#This Row],[Area]]</f>
        <v>379.49219687875149</v>
      </c>
      <c r="I2496">
        <v>3332</v>
      </c>
      <c r="J2496">
        <v>2017</v>
      </c>
      <c r="K2496">
        <v>96</v>
      </c>
      <c r="L2496" t="s">
        <v>40</v>
      </c>
      <c r="M2496" t="s">
        <v>2361</v>
      </c>
      <c r="N2496" s="2" t="s">
        <v>3033</v>
      </c>
      <c r="O2496" t="s">
        <v>3034</v>
      </c>
      <c r="P2496" t="s">
        <v>16</v>
      </c>
      <c r="Q2496">
        <v>379.49219687875149</v>
      </c>
      <c r="R2496">
        <f ca="1">YEAR(TODAY())-Table1[[#This Row],[Year Built]]</f>
        <v>9</v>
      </c>
      <c r="S2496" t="str">
        <f>IF(Table1[[#This Row],[Days on Market]] &lt; 30,"Fast",IF(Table1[[#This Row],[Days on Market]]&lt;= 90,"Average", "Slow"))</f>
        <v>Slow</v>
      </c>
      <c r="T2496" t="str">
        <f>IF(Table1[[#This Row],[Price2]]&lt;500000,"Affordable",IF(Table1[[#This Row],[Price2]]&lt;1000000,"Mid range","Luxury"))</f>
        <v>Luxury</v>
      </c>
    </row>
    <row r="2497" spans="1:20" x14ac:dyDescent="0.35">
      <c r="A2497" s="3">
        <v>1264833</v>
      </c>
      <c r="B2497" s="2" t="s">
        <v>17</v>
      </c>
      <c r="C2497">
        <v>49505</v>
      </c>
      <c r="D2497" s="2" t="s">
        <v>23</v>
      </c>
      <c r="E2497">
        <v>5</v>
      </c>
      <c r="F2497">
        <v>1</v>
      </c>
      <c r="G2497" s="4">
        <f>VALUE(SUBSTITUTE(SUBSTITUTE(Table1[[#This Row],[Price]],"$",""),",",""))</f>
        <v>1264833</v>
      </c>
      <c r="H2497" s="1">
        <f>Table1[[#This Row],[Price2]]/Table1[[#This Row],[Area]]</f>
        <v>492.15291828793772</v>
      </c>
      <c r="I2497">
        <v>2570</v>
      </c>
      <c r="J2497">
        <v>1981</v>
      </c>
      <c r="K2497">
        <v>96</v>
      </c>
      <c r="L2497" t="s">
        <v>40</v>
      </c>
      <c r="M2497" t="s">
        <v>1268</v>
      </c>
      <c r="N2497" s="2" t="s">
        <v>3027</v>
      </c>
      <c r="O2497" t="s">
        <v>3028</v>
      </c>
      <c r="P2497" t="s">
        <v>16</v>
      </c>
      <c r="Q2497">
        <v>492.15291828793772</v>
      </c>
      <c r="R2497">
        <f ca="1">YEAR(TODAY())-Table1[[#This Row],[Year Built]]</f>
        <v>45</v>
      </c>
      <c r="S2497" t="str">
        <f>IF(Table1[[#This Row],[Days on Market]] &lt; 30,"Fast",IF(Table1[[#This Row],[Days on Market]]&lt;= 90,"Average", "Slow"))</f>
        <v>Slow</v>
      </c>
      <c r="T2497" t="str">
        <f>IF(Table1[[#This Row],[Price2]]&lt;500000,"Affordable",IF(Table1[[#This Row],[Price2]]&lt;1000000,"Mid range","Luxury"))</f>
        <v>Luxury</v>
      </c>
    </row>
    <row r="2498" spans="1:20" x14ac:dyDescent="0.35">
      <c r="A2498" s="3">
        <v>1264926</v>
      </c>
      <c r="B2498" s="2" t="s">
        <v>17</v>
      </c>
      <c r="C2498">
        <v>57401</v>
      </c>
      <c r="D2498" s="2" t="s">
        <v>13</v>
      </c>
      <c r="E2498">
        <v>3</v>
      </c>
      <c r="F2498">
        <v>1</v>
      </c>
      <c r="G2498" s="4">
        <f>VALUE(SUBSTITUTE(SUBSTITUTE(Table1[[#This Row],[Price]],"$",""),",",""))</f>
        <v>1264926</v>
      </c>
      <c r="H2498" s="1">
        <f>Table1[[#This Row],[Price2]]/Table1[[#This Row],[Area]]</f>
        <v>525.51973410884921</v>
      </c>
      <c r="I2498">
        <v>2407</v>
      </c>
      <c r="J2498">
        <v>1989</v>
      </c>
      <c r="K2498">
        <v>79</v>
      </c>
      <c r="L2498" t="s">
        <v>19</v>
      </c>
      <c r="M2498" t="s">
        <v>39</v>
      </c>
      <c r="N2498" s="2" t="s">
        <v>3029</v>
      </c>
      <c r="O2498" t="s">
        <v>3030</v>
      </c>
      <c r="P2498" t="s">
        <v>21</v>
      </c>
      <c r="Q2498">
        <v>525.51973410884921</v>
      </c>
      <c r="R2498">
        <f ca="1">YEAR(TODAY())-Table1[[#This Row],[Year Built]]</f>
        <v>37</v>
      </c>
      <c r="S2498" t="str">
        <f>IF(Table1[[#This Row],[Days on Market]] &lt; 30,"Fast",IF(Table1[[#This Row],[Days on Market]]&lt;= 90,"Average", "Slow"))</f>
        <v>Average</v>
      </c>
      <c r="T2498" t="str">
        <f>IF(Table1[[#This Row],[Price2]]&lt;500000,"Affordable",IF(Table1[[#This Row],[Price2]]&lt;1000000,"Mid range","Luxury"))</f>
        <v>Luxury</v>
      </c>
    </row>
    <row r="2499" spans="1:20" x14ac:dyDescent="0.35">
      <c r="A2499" s="3">
        <v>1265663</v>
      </c>
      <c r="B2499" s="2" t="s">
        <v>12</v>
      </c>
      <c r="C2499">
        <v>44650</v>
      </c>
      <c r="D2499" s="2" t="s">
        <v>13</v>
      </c>
      <c r="E2499">
        <v>6</v>
      </c>
      <c r="F2499">
        <v>4</v>
      </c>
      <c r="G2499" s="4">
        <f>VALUE(SUBSTITUTE(SUBSTITUTE(Table1[[#This Row],[Price]],"$",""),",",""))</f>
        <v>1265663</v>
      </c>
      <c r="H2499" s="1">
        <f>Table1[[#This Row],[Price2]]/Table1[[#This Row],[Area]]</f>
        <v>651.06121399176959</v>
      </c>
      <c r="I2499">
        <v>1944</v>
      </c>
      <c r="J2499">
        <v>1951</v>
      </c>
      <c r="K2499">
        <v>51</v>
      </c>
      <c r="L2499" t="s">
        <v>30</v>
      </c>
      <c r="M2499" t="s">
        <v>384</v>
      </c>
      <c r="N2499" s="2" t="s">
        <v>3027</v>
      </c>
      <c r="O2499" t="s">
        <v>3028</v>
      </c>
      <c r="P2499" t="s">
        <v>21</v>
      </c>
      <c r="Q2499">
        <v>651.06121399176959</v>
      </c>
      <c r="R2499">
        <f ca="1">YEAR(TODAY())-Table1[[#This Row],[Year Built]]</f>
        <v>75</v>
      </c>
      <c r="S2499" t="str">
        <f>IF(Table1[[#This Row],[Days on Market]] &lt; 30,"Fast",IF(Table1[[#This Row],[Days on Market]]&lt;= 90,"Average", "Slow"))</f>
        <v>Average</v>
      </c>
      <c r="T2499" t="str">
        <f>IF(Table1[[#This Row],[Price2]]&lt;500000,"Affordable",IF(Table1[[#This Row],[Price2]]&lt;1000000,"Mid range","Luxury"))</f>
        <v>Luxury</v>
      </c>
    </row>
    <row r="2500" spans="1:20" x14ac:dyDescent="0.35">
      <c r="A2500" s="3">
        <v>1265734</v>
      </c>
      <c r="B2500" s="2" t="s">
        <v>17</v>
      </c>
      <c r="C2500">
        <v>99071</v>
      </c>
      <c r="D2500" s="2" t="s">
        <v>23</v>
      </c>
      <c r="E2500">
        <v>5</v>
      </c>
      <c r="F2500">
        <v>3</v>
      </c>
      <c r="G2500" s="4">
        <f>VALUE(SUBSTITUTE(SUBSTITUTE(Table1[[#This Row],[Price]],"$",""),",",""))</f>
        <v>1265734</v>
      </c>
      <c r="H2500" s="1">
        <f>Table1[[#This Row],[Price2]]/Table1[[#This Row],[Area]]</f>
        <v>337.34914712153517</v>
      </c>
      <c r="I2500">
        <v>3752</v>
      </c>
      <c r="J2500">
        <v>2023</v>
      </c>
      <c r="K2500">
        <v>45</v>
      </c>
      <c r="L2500" t="s">
        <v>19</v>
      </c>
      <c r="M2500" t="s">
        <v>2519</v>
      </c>
      <c r="N2500" s="2" t="s">
        <v>3027</v>
      </c>
      <c r="O2500" t="s">
        <v>3028</v>
      </c>
      <c r="P2500" t="s">
        <v>16</v>
      </c>
      <c r="Q2500">
        <v>337.34914712153517</v>
      </c>
      <c r="R2500">
        <f ca="1">YEAR(TODAY())-Table1[[#This Row],[Year Built]]</f>
        <v>3</v>
      </c>
      <c r="S2500" t="str">
        <f>IF(Table1[[#This Row],[Days on Market]] &lt; 30,"Fast",IF(Table1[[#This Row],[Days on Market]]&lt;= 90,"Average", "Slow"))</f>
        <v>Average</v>
      </c>
      <c r="T2500" t="str">
        <f>IF(Table1[[#This Row],[Price2]]&lt;500000,"Affordable",IF(Table1[[#This Row],[Price2]]&lt;1000000,"Mid range","Luxury"))</f>
        <v>Luxury</v>
      </c>
    </row>
    <row r="2501" spans="1:20" x14ac:dyDescent="0.35">
      <c r="A2501" s="3">
        <v>1265777</v>
      </c>
      <c r="B2501" s="2" t="s">
        <v>34</v>
      </c>
      <c r="C2501">
        <v>36428</v>
      </c>
      <c r="D2501" s="2" t="s">
        <v>29</v>
      </c>
      <c r="E2501">
        <v>1</v>
      </c>
      <c r="F2501">
        <v>4</v>
      </c>
      <c r="G2501" s="4">
        <f>VALUE(SUBSTITUTE(SUBSTITUTE(Table1[[#This Row],[Price]],"$",""),",",""))</f>
        <v>1265777</v>
      </c>
      <c r="H2501" s="1">
        <f>Table1[[#This Row],[Price2]]/Table1[[#This Row],[Area]]</f>
        <v>762.97588908981311</v>
      </c>
      <c r="I2501">
        <v>1659</v>
      </c>
      <c r="J2501">
        <v>1988</v>
      </c>
      <c r="K2501">
        <v>25</v>
      </c>
      <c r="L2501" t="s">
        <v>30</v>
      </c>
      <c r="M2501" t="s">
        <v>425</v>
      </c>
      <c r="N2501" s="2" t="s">
        <v>3027</v>
      </c>
      <c r="O2501" t="s">
        <v>3028</v>
      </c>
      <c r="P2501" t="s">
        <v>16</v>
      </c>
      <c r="Q2501">
        <v>762.97588908981311</v>
      </c>
      <c r="R2501">
        <f ca="1">YEAR(TODAY())-Table1[[#This Row],[Year Built]]</f>
        <v>38</v>
      </c>
      <c r="S2501" t="str">
        <f>IF(Table1[[#This Row],[Days on Market]] &lt; 30,"Fast",IF(Table1[[#This Row],[Days on Market]]&lt;= 90,"Average", "Slow"))</f>
        <v>Fast</v>
      </c>
      <c r="T2501" t="str">
        <f>IF(Table1[[#This Row],[Price2]]&lt;500000,"Affordable",IF(Table1[[#This Row],[Price2]]&lt;1000000,"Mid range","Luxury"))</f>
        <v>Luxury</v>
      </c>
    </row>
    <row r="2502" spans="1:20" x14ac:dyDescent="0.35">
      <c r="A2502" s="3">
        <v>1266256</v>
      </c>
      <c r="B2502" s="2" t="s">
        <v>34</v>
      </c>
      <c r="C2502">
        <v>89048</v>
      </c>
      <c r="D2502" s="2" t="s">
        <v>35</v>
      </c>
      <c r="E2502">
        <v>5</v>
      </c>
      <c r="F2502">
        <v>2</v>
      </c>
      <c r="G2502" s="4">
        <f>VALUE(SUBSTITUTE(SUBSTITUTE(Table1[[#This Row],[Price]],"$",""),",",""))</f>
        <v>1266256</v>
      </c>
      <c r="H2502" s="1">
        <f>Table1[[#This Row],[Price2]]/Table1[[#This Row],[Area]]</f>
        <v>335.60985952822688</v>
      </c>
      <c r="I2502">
        <v>3773</v>
      </c>
      <c r="J2502">
        <v>1986</v>
      </c>
      <c r="K2502">
        <v>99</v>
      </c>
      <c r="L2502" t="s">
        <v>30</v>
      </c>
      <c r="M2502" t="s">
        <v>2614</v>
      </c>
      <c r="N2502" s="2" t="s">
        <v>3035</v>
      </c>
      <c r="O2502" t="s">
        <v>3036</v>
      </c>
      <c r="P2502" t="s">
        <v>16</v>
      </c>
      <c r="Q2502">
        <v>335.60985952822688</v>
      </c>
      <c r="R2502">
        <f ca="1">YEAR(TODAY())-Table1[[#This Row],[Year Built]]</f>
        <v>40</v>
      </c>
      <c r="S2502" t="str">
        <f>IF(Table1[[#This Row],[Days on Market]] &lt; 30,"Fast",IF(Table1[[#This Row],[Days on Market]]&lt;= 90,"Average", "Slow"))</f>
        <v>Slow</v>
      </c>
      <c r="T2502" t="str">
        <f>IF(Table1[[#This Row],[Price2]]&lt;500000,"Affordable",IF(Table1[[#This Row],[Price2]]&lt;1000000,"Mid range","Luxury"))</f>
        <v>Luxury</v>
      </c>
    </row>
    <row r="2503" spans="1:20" x14ac:dyDescent="0.35">
      <c r="A2503" s="3">
        <v>1266372</v>
      </c>
      <c r="B2503" s="2" t="s">
        <v>27</v>
      </c>
      <c r="C2503">
        <v>66115</v>
      </c>
      <c r="D2503" s="2" t="s">
        <v>35</v>
      </c>
      <c r="E2503">
        <v>1</v>
      </c>
      <c r="F2503">
        <v>3</v>
      </c>
      <c r="G2503" s="4">
        <f>VALUE(SUBSTITUTE(SUBSTITUTE(Table1[[#This Row],[Price]],"$",""),",",""))</f>
        <v>1266372</v>
      </c>
      <c r="H2503" s="1">
        <f>Table1[[#This Row],[Price2]]/Table1[[#This Row],[Area]]</f>
        <v>381.32249322493226</v>
      </c>
      <c r="I2503">
        <v>3321</v>
      </c>
      <c r="J2503">
        <v>1997</v>
      </c>
      <c r="K2503">
        <v>9</v>
      </c>
      <c r="L2503" t="s">
        <v>52</v>
      </c>
      <c r="M2503" t="s">
        <v>822</v>
      </c>
      <c r="N2503" s="2" t="s">
        <v>3031</v>
      </c>
      <c r="O2503" t="s">
        <v>3032</v>
      </c>
      <c r="P2503" t="s">
        <v>21</v>
      </c>
      <c r="Q2503">
        <v>381.32249322493226</v>
      </c>
      <c r="R2503">
        <f ca="1">YEAR(TODAY())-Table1[[#This Row],[Year Built]]</f>
        <v>29</v>
      </c>
      <c r="S2503" t="str">
        <f>IF(Table1[[#This Row],[Days on Market]] &lt; 30,"Fast",IF(Table1[[#This Row],[Days on Market]]&lt;= 90,"Average", "Slow"))</f>
        <v>Fast</v>
      </c>
      <c r="T2503" t="str">
        <f>IF(Table1[[#This Row],[Price2]]&lt;500000,"Affordable",IF(Table1[[#This Row],[Price2]]&lt;1000000,"Mid range","Luxury"))</f>
        <v>Luxury</v>
      </c>
    </row>
    <row r="2504" spans="1:20" x14ac:dyDescent="0.35">
      <c r="A2504" s="3">
        <v>1266532</v>
      </c>
      <c r="B2504" s="2" t="s">
        <v>34</v>
      </c>
      <c r="C2504">
        <v>41775</v>
      </c>
      <c r="D2504" s="2" t="s">
        <v>13</v>
      </c>
      <c r="E2504">
        <v>4</v>
      </c>
      <c r="F2504">
        <v>4</v>
      </c>
      <c r="G2504" s="4">
        <f>VALUE(SUBSTITUTE(SUBSTITUTE(Table1[[#This Row],[Price]],"$",""),",",""))</f>
        <v>1266532</v>
      </c>
      <c r="H2504" s="1">
        <f>Table1[[#This Row],[Price2]]/Table1[[#This Row],[Area]]</f>
        <v>858.66576271186443</v>
      </c>
      <c r="I2504">
        <v>1475</v>
      </c>
      <c r="J2504">
        <v>1987</v>
      </c>
      <c r="K2504">
        <v>43</v>
      </c>
      <c r="L2504" t="s">
        <v>14</v>
      </c>
      <c r="M2504" t="s">
        <v>1812</v>
      </c>
      <c r="N2504" s="2" t="s">
        <v>3029</v>
      </c>
      <c r="O2504" t="s">
        <v>3030</v>
      </c>
      <c r="P2504" t="s">
        <v>16</v>
      </c>
      <c r="Q2504">
        <v>858.66576271186443</v>
      </c>
      <c r="R2504">
        <f ca="1">YEAR(TODAY())-Table1[[#This Row],[Year Built]]</f>
        <v>39</v>
      </c>
      <c r="S2504" t="str">
        <f>IF(Table1[[#This Row],[Days on Market]] &lt; 30,"Fast",IF(Table1[[#This Row],[Days on Market]]&lt;= 90,"Average", "Slow"))</f>
        <v>Average</v>
      </c>
      <c r="T2504" t="str">
        <f>IF(Table1[[#This Row],[Price2]]&lt;500000,"Affordable",IF(Table1[[#This Row],[Price2]]&lt;1000000,"Mid range","Luxury"))</f>
        <v>Luxury</v>
      </c>
    </row>
    <row r="2505" spans="1:20" x14ac:dyDescent="0.35">
      <c r="A2505" s="3">
        <v>1267990</v>
      </c>
      <c r="B2505" s="2" t="s">
        <v>27</v>
      </c>
      <c r="C2505">
        <v>73870</v>
      </c>
      <c r="D2505" s="2" t="s">
        <v>29</v>
      </c>
      <c r="E2505">
        <v>2</v>
      </c>
      <c r="F2505">
        <v>2</v>
      </c>
      <c r="G2505" s="4">
        <f>VALUE(SUBSTITUTE(SUBSTITUTE(Table1[[#This Row],[Price]],"$",""),",",""))</f>
        <v>1267990</v>
      </c>
      <c r="H2505" s="1">
        <f>Table1[[#This Row],[Price2]]/Table1[[#This Row],[Area]]</f>
        <v>775.05501222493888</v>
      </c>
      <c r="I2505">
        <v>1636</v>
      </c>
      <c r="J2505">
        <v>1994</v>
      </c>
      <c r="K2505">
        <v>36</v>
      </c>
      <c r="L2505" t="s">
        <v>19</v>
      </c>
      <c r="M2505" t="s">
        <v>1798</v>
      </c>
      <c r="N2505" s="2" t="s">
        <v>3027</v>
      </c>
      <c r="O2505" t="s">
        <v>3028</v>
      </c>
      <c r="P2505" t="s">
        <v>26</v>
      </c>
      <c r="Q2505">
        <v>775.05501222493888</v>
      </c>
      <c r="R2505">
        <f ca="1">YEAR(TODAY())-Table1[[#This Row],[Year Built]]</f>
        <v>32</v>
      </c>
      <c r="S2505" t="str">
        <f>IF(Table1[[#This Row],[Days on Market]] &lt; 30,"Fast",IF(Table1[[#This Row],[Days on Market]]&lt;= 90,"Average", "Slow"))</f>
        <v>Average</v>
      </c>
      <c r="T2505" t="str">
        <f>IF(Table1[[#This Row],[Price2]]&lt;500000,"Affordable",IF(Table1[[#This Row],[Price2]]&lt;1000000,"Mid range","Luxury"))</f>
        <v>Luxury</v>
      </c>
    </row>
    <row r="2506" spans="1:20" x14ac:dyDescent="0.35">
      <c r="A2506" s="3">
        <v>1268317</v>
      </c>
      <c r="B2506" s="2" t="s">
        <v>17</v>
      </c>
      <c r="C2506">
        <v>75950</v>
      </c>
      <c r="D2506" s="2" t="s">
        <v>23</v>
      </c>
      <c r="E2506">
        <v>4</v>
      </c>
      <c r="F2506">
        <v>4</v>
      </c>
      <c r="G2506" s="4">
        <f>VALUE(SUBSTITUTE(SUBSTITUTE(Table1[[#This Row],[Price]],"$",""),",",""))</f>
        <v>1268317</v>
      </c>
      <c r="H2506" s="1">
        <f>Table1[[#This Row],[Price2]]/Table1[[#This Row],[Area]]</f>
        <v>1177.6388115134632</v>
      </c>
      <c r="I2506">
        <v>1077</v>
      </c>
      <c r="J2506">
        <v>1980</v>
      </c>
      <c r="K2506">
        <v>77</v>
      </c>
      <c r="L2506" t="s">
        <v>30</v>
      </c>
      <c r="M2506" t="s">
        <v>1613</v>
      </c>
      <c r="N2506" s="2" t="s">
        <v>3029</v>
      </c>
      <c r="O2506" t="s">
        <v>3030</v>
      </c>
      <c r="P2506" t="s">
        <v>21</v>
      </c>
      <c r="Q2506">
        <v>1177.6388115134632</v>
      </c>
      <c r="R2506">
        <f ca="1">YEAR(TODAY())-Table1[[#This Row],[Year Built]]</f>
        <v>46</v>
      </c>
      <c r="S2506" t="str">
        <f>IF(Table1[[#This Row],[Days on Market]] &lt; 30,"Fast",IF(Table1[[#This Row],[Days on Market]]&lt;= 90,"Average", "Slow"))</f>
        <v>Average</v>
      </c>
      <c r="T2506" t="str">
        <f>IF(Table1[[#This Row],[Price2]]&lt;500000,"Affordable",IF(Table1[[#This Row],[Price2]]&lt;1000000,"Mid range","Luxury"))</f>
        <v>Luxury</v>
      </c>
    </row>
    <row r="2507" spans="1:20" x14ac:dyDescent="0.35">
      <c r="A2507" s="3">
        <v>1269682</v>
      </c>
      <c r="B2507" s="2" t="s">
        <v>17</v>
      </c>
      <c r="C2507">
        <v>49064</v>
      </c>
      <c r="D2507" s="2" t="s">
        <v>13</v>
      </c>
      <c r="E2507">
        <v>2</v>
      </c>
      <c r="F2507">
        <v>3</v>
      </c>
      <c r="G2507" s="4">
        <f>VALUE(SUBSTITUTE(SUBSTITUTE(Table1[[#This Row],[Price]],"$",""),",",""))</f>
        <v>1269682</v>
      </c>
      <c r="H2507" s="1">
        <f>Table1[[#This Row],[Price2]]/Table1[[#This Row],[Area]]</f>
        <v>784.72311495673671</v>
      </c>
      <c r="I2507">
        <v>1618</v>
      </c>
      <c r="J2507">
        <v>2006</v>
      </c>
      <c r="K2507">
        <v>40</v>
      </c>
      <c r="L2507" t="s">
        <v>40</v>
      </c>
      <c r="M2507" t="s">
        <v>1527</v>
      </c>
      <c r="N2507" s="2" t="s">
        <v>3035</v>
      </c>
      <c r="O2507" t="s">
        <v>3036</v>
      </c>
      <c r="P2507" t="s">
        <v>16</v>
      </c>
      <c r="Q2507">
        <v>784.72311495673671</v>
      </c>
      <c r="R2507">
        <f ca="1">YEAR(TODAY())-Table1[[#This Row],[Year Built]]</f>
        <v>20</v>
      </c>
      <c r="S2507" t="str">
        <f>IF(Table1[[#This Row],[Days on Market]] &lt; 30,"Fast",IF(Table1[[#This Row],[Days on Market]]&lt;= 90,"Average", "Slow"))</f>
        <v>Average</v>
      </c>
      <c r="T2507" t="str">
        <f>IF(Table1[[#This Row],[Price2]]&lt;500000,"Affordable",IF(Table1[[#This Row],[Price2]]&lt;1000000,"Mid range","Luxury"))</f>
        <v>Luxury</v>
      </c>
    </row>
    <row r="2508" spans="1:20" x14ac:dyDescent="0.35">
      <c r="A2508" s="3">
        <v>1270604</v>
      </c>
      <c r="B2508" s="2" t="s">
        <v>17</v>
      </c>
      <c r="C2508">
        <v>78518</v>
      </c>
      <c r="D2508" s="2" t="s">
        <v>29</v>
      </c>
      <c r="E2508">
        <v>5</v>
      </c>
      <c r="F2508">
        <v>3</v>
      </c>
      <c r="G2508" s="4">
        <f>VALUE(SUBSTITUTE(SUBSTITUTE(Table1[[#This Row],[Price]],"$",""),",",""))</f>
        <v>1270604</v>
      </c>
      <c r="H2508" s="1">
        <f>Table1[[#This Row],[Price2]]/Table1[[#This Row],[Area]]</f>
        <v>1057.955037468776</v>
      </c>
      <c r="I2508">
        <v>1201</v>
      </c>
      <c r="J2508">
        <v>1963</v>
      </c>
      <c r="K2508">
        <v>86</v>
      </c>
      <c r="L2508" t="s">
        <v>52</v>
      </c>
      <c r="M2508" t="s">
        <v>1969</v>
      </c>
      <c r="N2508" s="2" t="s">
        <v>3029</v>
      </c>
      <c r="O2508" t="s">
        <v>3030</v>
      </c>
      <c r="P2508" t="s">
        <v>21</v>
      </c>
      <c r="Q2508">
        <v>1057.955037468776</v>
      </c>
      <c r="R2508">
        <f ca="1">YEAR(TODAY())-Table1[[#This Row],[Year Built]]</f>
        <v>63</v>
      </c>
      <c r="S2508" t="str">
        <f>IF(Table1[[#This Row],[Days on Market]] &lt; 30,"Fast",IF(Table1[[#This Row],[Days on Market]]&lt;= 90,"Average", "Slow"))</f>
        <v>Average</v>
      </c>
      <c r="T2508" t="str">
        <f>IF(Table1[[#This Row],[Price2]]&lt;500000,"Affordable",IF(Table1[[#This Row],[Price2]]&lt;1000000,"Mid range","Luxury"))</f>
        <v>Luxury</v>
      </c>
    </row>
    <row r="2509" spans="1:20" x14ac:dyDescent="0.35">
      <c r="A2509" s="3">
        <v>1270993</v>
      </c>
      <c r="B2509" s="2" t="s">
        <v>22</v>
      </c>
      <c r="C2509">
        <v>25138</v>
      </c>
      <c r="D2509" s="2" t="s">
        <v>23</v>
      </c>
      <c r="E2509">
        <v>1</v>
      </c>
      <c r="F2509">
        <v>3</v>
      </c>
      <c r="G2509" s="4">
        <f>VALUE(SUBSTITUTE(SUBSTITUTE(Table1[[#This Row],[Price]],"$",""),",",""))</f>
        <v>1270993</v>
      </c>
      <c r="H2509" s="1">
        <f>Table1[[#This Row],[Price2]]/Table1[[#This Row],[Area]]</f>
        <v>630.14030738720874</v>
      </c>
      <c r="I2509">
        <v>2017</v>
      </c>
      <c r="J2509">
        <v>2022</v>
      </c>
      <c r="K2509">
        <v>59</v>
      </c>
      <c r="L2509" t="s">
        <v>19</v>
      </c>
      <c r="M2509" t="s">
        <v>2698</v>
      </c>
      <c r="N2509" s="2" t="s">
        <v>3031</v>
      </c>
      <c r="O2509" t="s">
        <v>3032</v>
      </c>
      <c r="P2509" t="s">
        <v>26</v>
      </c>
      <c r="Q2509">
        <v>630.14030738720874</v>
      </c>
      <c r="R2509">
        <f ca="1">YEAR(TODAY())-Table1[[#This Row],[Year Built]]</f>
        <v>4</v>
      </c>
      <c r="S2509" t="str">
        <f>IF(Table1[[#This Row],[Days on Market]] &lt; 30,"Fast",IF(Table1[[#This Row],[Days on Market]]&lt;= 90,"Average", "Slow"))</f>
        <v>Average</v>
      </c>
      <c r="T2509" t="str">
        <f>IF(Table1[[#This Row],[Price2]]&lt;500000,"Affordable",IF(Table1[[#This Row],[Price2]]&lt;1000000,"Mid range","Luxury"))</f>
        <v>Luxury</v>
      </c>
    </row>
    <row r="2510" spans="1:20" x14ac:dyDescent="0.35">
      <c r="A2510" s="3">
        <v>1271947</v>
      </c>
      <c r="B2510" s="2" t="s">
        <v>12</v>
      </c>
      <c r="C2510">
        <v>83265</v>
      </c>
      <c r="D2510" s="2" t="s">
        <v>35</v>
      </c>
      <c r="E2510">
        <v>6</v>
      </c>
      <c r="F2510">
        <v>1</v>
      </c>
      <c r="G2510" s="4">
        <f>VALUE(SUBSTITUTE(SUBSTITUTE(Table1[[#This Row],[Price]],"$",""),",",""))</f>
        <v>1271947</v>
      </c>
      <c r="H2510" s="1">
        <f>Table1[[#This Row],[Price2]]/Table1[[#This Row],[Area]]</f>
        <v>456.54953338119168</v>
      </c>
      <c r="I2510">
        <v>2786</v>
      </c>
      <c r="J2510">
        <v>1955</v>
      </c>
      <c r="K2510">
        <v>25</v>
      </c>
      <c r="L2510" t="s">
        <v>14</v>
      </c>
      <c r="M2510" t="s">
        <v>308</v>
      </c>
      <c r="N2510" s="2" t="s">
        <v>3031</v>
      </c>
      <c r="O2510" t="s">
        <v>3032</v>
      </c>
      <c r="P2510" t="s">
        <v>26</v>
      </c>
      <c r="Q2510">
        <v>456.54953338119168</v>
      </c>
      <c r="R2510">
        <f ca="1">YEAR(TODAY())-Table1[[#This Row],[Year Built]]</f>
        <v>71</v>
      </c>
      <c r="S2510" t="str">
        <f>IF(Table1[[#This Row],[Days on Market]] &lt; 30,"Fast",IF(Table1[[#This Row],[Days on Market]]&lt;= 90,"Average", "Slow"))</f>
        <v>Fast</v>
      </c>
      <c r="T2510" t="str">
        <f>IF(Table1[[#This Row],[Price2]]&lt;500000,"Affordable",IF(Table1[[#This Row],[Price2]]&lt;1000000,"Mid range","Luxury"))</f>
        <v>Luxury</v>
      </c>
    </row>
    <row r="2511" spans="1:20" x14ac:dyDescent="0.35">
      <c r="A2511" s="3">
        <v>1273089</v>
      </c>
      <c r="B2511" s="2" t="s">
        <v>12</v>
      </c>
      <c r="C2511">
        <v>78715</v>
      </c>
      <c r="D2511" s="2" t="s">
        <v>35</v>
      </c>
      <c r="E2511">
        <v>4</v>
      </c>
      <c r="F2511">
        <v>2</v>
      </c>
      <c r="G2511" s="4">
        <f>VALUE(SUBSTITUTE(SUBSTITUTE(Table1[[#This Row],[Price]],"$",""),",",""))</f>
        <v>1273089</v>
      </c>
      <c r="H2511" s="1">
        <f>Table1[[#This Row],[Price2]]/Table1[[#This Row],[Area]]</f>
        <v>506.80294585987264</v>
      </c>
      <c r="I2511">
        <v>2512</v>
      </c>
      <c r="J2511">
        <v>1994</v>
      </c>
      <c r="K2511">
        <v>117</v>
      </c>
      <c r="L2511" t="s">
        <v>19</v>
      </c>
      <c r="M2511" t="s">
        <v>2875</v>
      </c>
      <c r="N2511" s="2" t="s">
        <v>3027</v>
      </c>
      <c r="O2511" t="s">
        <v>3028</v>
      </c>
      <c r="P2511" t="s">
        <v>26</v>
      </c>
      <c r="Q2511">
        <v>506.80294585987264</v>
      </c>
      <c r="R2511">
        <f ca="1">YEAR(TODAY())-Table1[[#This Row],[Year Built]]</f>
        <v>32</v>
      </c>
      <c r="S2511" t="str">
        <f>IF(Table1[[#This Row],[Days on Market]] &lt; 30,"Fast",IF(Table1[[#This Row],[Days on Market]]&lt;= 90,"Average", "Slow"))</f>
        <v>Slow</v>
      </c>
      <c r="T2511" t="str">
        <f>IF(Table1[[#This Row],[Price2]]&lt;500000,"Affordable",IF(Table1[[#This Row],[Price2]]&lt;1000000,"Mid range","Luxury"))</f>
        <v>Luxury</v>
      </c>
    </row>
    <row r="2512" spans="1:20" x14ac:dyDescent="0.35">
      <c r="A2512" s="3">
        <v>1273467</v>
      </c>
      <c r="B2512" s="2" t="s">
        <v>12</v>
      </c>
      <c r="C2512">
        <v>65240</v>
      </c>
      <c r="D2512" s="2" t="s">
        <v>18</v>
      </c>
      <c r="E2512">
        <v>1</v>
      </c>
      <c r="F2512">
        <v>4</v>
      </c>
      <c r="G2512" s="4">
        <f>VALUE(SUBSTITUTE(SUBSTITUTE(Table1[[#This Row],[Price]],"$",""),",",""))</f>
        <v>1273467</v>
      </c>
      <c r="H2512" s="1">
        <f>Table1[[#This Row],[Price2]]/Table1[[#This Row],[Area]]</f>
        <v>353.05433878569448</v>
      </c>
      <c r="I2512">
        <v>3607</v>
      </c>
      <c r="J2512">
        <v>1959</v>
      </c>
      <c r="K2512">
        <v>81</v>
      </c>
      <c r="L2512" t="s">
        <v>19</v>
      </c>
      <c r="M2512" t="s">
        <v>2665</v>
      </c>
      <c r="N2512" s="2" t="s">
        <v>3027</v>
      </c>
      <c r="O2512" t="s">
        <v>3028</v>
      </c>
      <c r="P2512" t="s">
        <v>26</v>
      </c>
      <c r="Q2512">
        <v>353.05433878569448</v>
      </c>
      <c r="R2512">
        <f ca="1">YEAR(TODAY())-Table1[[#This Row],[Year Built]]</f>
        <v>67</v>
      </c>
      <c r="S2512" t="str">
        <f>IF(Table1[[#This Row],[Days on Market]] &lt; 30,"Fast",IF(Table1[[#This Row],[Days on Market]]&lt;= 90,"Average", "Slow"))</f>
        <v>Average</v>
      </c>
      <c r="T2512" t="str">
        <f>IF(Table1[[#This Row],[Price2]]&lt;500000,"Affordable",IF(Table1[[#This Row],[Price2]]&lt;1000000,"Mid range","Luxury"))</f>
        <v>Luxury</v>
      </c>
    </row>
    <row r="2513" spans="1:20" x14ac:dyDescent="0.35">
      <c r="A2513" s="3">
        <v>1273603</v>
      </c>
      <c r="B2513" s="2" t="s">
        <v>22</v>
      </c>
      <c r="C2513">
        <v>59720</v>
      </c>
      <c r="D2513" s="2" t="s">
        <v>35</v>
      </c>
      <c r="E2513">
        <v>1</v>
      </c>
      <c r="F2513">
        <v>4</v>
      </c>
      <c r="G2513" s="4">
        <f>VALUE(SUBSTITUTE(SUBSTITUTE(Table1[[#This Row],[Price]],"$",""),",",""))</f>
        <v>1273603</v>
      </c>
      <c r="H2513" s="1">
        <f>Table1[[#This Row],[Price2]]/Table1[[#This Row],[Area]]</f>
        <v>830.24967405475877</v>
      </c>
      <c r="I2513">
        <v>1534</v>
      </c>
      <c r="J2513">
        <v>1981</v>
      </c>
      <c r="K2513">
        <v>47</v>
      </c>
      <c r="L2513" t="s">
        <v>30</v>
      </c>
      <c r="M2513" t="s">
        <v>1088</v>
      </c>
      <c r="N2513" s="2" t="s">
        <v>3035</v>
      </c>
      <c r="O2513" t="s">
        <v>3036</v>
      </c>
      <c r="P2513" t="s">
        <v>26</v>
      </c>
      <c r="Q2513">
        <v>830.24967405475877</v>
      </c>
      <c r="R2513">
        <f ca="1">YEAR(TODAY())-Table1[[#This Row],[Year Built]]</f>
        <v>45</v>
      </c>
      <c r="S2513" t="str">
        <f>IF(Table1[[#This Row],[Days on Market]] &lt; 30,"Fast",IF(Table1[[#This Row],[Days on Market]]&lt;= 90,"Average", "Slow"))</f>
        <v>Average</v>
      </c>
      <c r="T2513" t="str">
        <f>IF(Table1[[#This Row],[Price2]]&lt;500000,"Affordable",IF(Table1[[#This Row],[Price2]]&lt;1000000,"Mid range","Luxury"))</f>
        <v>Luxury</v>
      </c>
    </row>
    <row r="2514" spans="1:20" x14ac:dyDescent="0.35">
      <c r="A2514" s="3">
        <v>1273944</v>
      </c>
      <c r="B2514" s="2" t="s">
        <v>27</v>
      </c>
      <c r="C2514">
        <v>54352</v>
      </c>
      <c r="D2514" s="2" t="s">
        <v>13</v>
      </c>
      <c r="E2514">
        <v>3</v>
      </c>
      <c r="F2514">
        <v>3</v>
      </c>
      <c r="G2514" s="4">
        <f>VALUE(SUBSTITUTE(SUBSTITUTE(Table1[[#This Row],[Price]],"$",""),",",""))</f>
        <v>1273944</v>
      </c>
      <c r="H2514" s="1">
        <f>Table1[[#This Row],[Price2]]/Table1[[#This Row],[Area]]</f>
        <v>516.8129817444219</v>
      </c>
      <c r="I2514">
        <v>2465</v>
      </c>
      <c r="J2514">
        <v>1993</v>
      </c>
      <c r="K2514">
        <v>31</v>
      </c>
      <c r="L2514" t="s">
        <v>19</v>
      </c>
      <c r="M2514" t="s">
        <v>266</v>
      </c>
      <c r="N2514" s="2" t="s">
        <v>3035</v>
      </c>
      <c r="O2514" t="s">
        <v>3036</v>
      </c>
      <c r="P2514" t="s">
        <v>16</v>
      </c>
      <c r="Q2514">
        <v>516.8129817444219</v>
      </c>
      <c r="R2514">
        <f ca="1">YEAR(TODAY())-Table1[[#This Row],[Year Built]]</f>
        <v>33</v>
      </c>
      <c r="S2514" t="str">
        <f>IF(Table1[[#This Row],[Days on Market]] &lt; 30,"Fast",IF(Table1[[#This Row],[Days on Market]]&lt;= 90,"Average", "Slow"))</f>
        <v>Average</v>
      </c>
      <c r="T2514" t="str">
        <f>IF(Table1[[#This Row],[Price2]]&lt;500000,"Affordable",IF(Table1[[#This Row],[Price2]]&lt;1000000,"Mid range","Luxury"))</f>
        <v>Luxury</v>
      </c>
    </row>
    <row r="2515" spans="1:20" x14ac:dyDescent="0.35">
      <c r="A2515" s="3">
        <v>1274393</v>
      </c>
      <c r="B2515" s="2" t="s">
        <v>12</v>
      </c>
      <c r="C2515">
        <v>74415</v>
      </c>
      <c r="D2515" s="2" t="s">
        <v>18</v>
      </c>
      <c r="E2515">
        <v>3</v>
      </c>
      <c r="F2515">
        <v>4</v>
      </c>
      <c r="G2515" s="4">
        <f>VALUE(SUBSTITUTE(SUBSTITUTE(Table1[[#This Row],[Price]],"$",""),",",""))</f>
        <v>1274393</v>
      </c>
      <c r="H2515" s="1">
        <f>Table1[[#This Row],[Price2]]/Table1[[#This Row],[Area]]</f>
        <v>421.56566324842873</v>
      </c>
      <c r="I2515">
        <v>3023</v>
      </c>
      <c r="J2515">
        <v>1983</v>
      </c>
      <c r="K2515">
        <v>85</v>
      </c>
      <c r="L2515" t="s">
        <v>14</v>
      </c>
      <c r="M2515" t="s">
        <v>552</v>
      </c>
      <c r="N2515" s="2" t="s">
        <v>3031</v>
      </c>
      <c r="O2515" t="s">
        <v>3032</v>
      </c>
      <c r="P2515" t="s">
        <v>16</v>
      </c>
      <c r="Q2515">
        <v>421.56566324842873</v>
      </c>
      <c r="R2515">
        <f ca="1">YEAR(TODAY())-Table1[[#This Row],[Year Built]]</f>
        <v>43</v>
      </c>
      <c r="S2515" t="str">
        <f>IF(Table1[[#This Row],[Days on Market]] &lt; 30,"Fast",IF(Table1[[#This Row],[Days on Market]]&lt;= 90,"Average", "Slow"))</f>
        <v>Average</v>
      </c>
      <c r="T2515" t="str">
        <f>IF(Table1[[#This Row],[Price2]]&lt;500000,"Affordable",IF(Table1[[#This Row],[Price2]]&lt;1000000,"Mid range","Luxury"))</f>
        <v>Luxury</v>
      </c>
    </row>
    <row r="2516" spans="1:20" x14ac:dyDescent="0.35">
      <c r="A2516" s="3">
        <v>1274693</v>
      </c>
      <c r="B2516" s="2" t="s">
        <v>12</v>
      </c>
      <c r="C2516">
        <v>27746</v>
      </c>
      <c r="D2516" s="2" t="s">
        <v>18</v>
      </c>
      <c r="E2516">
        <v>3</v>
      </c>
      <c r="F2516">
        <v>3</v>
      </c>
      <c r="G2516" s="4">
        <f>VALUE(SUBSTITUTE(SUBSTITUTE(Table1[[#This Row],[Price]],"$",""),",",""))</f>
        <v>1274693</v>
      </c>
      <c r="H2516" s="1">
        <f>Table1[[#This Row],[Price2]]/Table1[[#This Row],[Area]]</f>
        <v>1316.831611570248</v>
      </c>
      <c r="I2516">
        <v>968</v>
      </c>
      <c r="J2516">
        <v>1988</v>
      </c>
      <c r="K2516">
        <v>16</v>
      </c>
      <c r="L2516" t="s">
        <v>52</v>
      </c>
      <c r="M2516" t="s">
        <v>1499</v>
      </c>
      <c r="N2516" s="2" t="s">
        <v>3029</v>
      </c>
      <c r="O2516" t="s">
        <v>3030</v>
      </c>
      <c r="P2516" t="s">
        <v>26</v>
      </c>
      <c r="Q2516">
        <v>1316.831611570248</v>
      </c>
      <c r="R2516">
        <f ca="1">YEAR(TODAY())-Table1[[#This Row],[Year Built]]</f>
        <v>38</v>
      </c>
      <c r="S2516" t="str">
        <f>IF(Table1[[#This Row],[Days on Market]] &lt; 30,"Fast",IF(Table1[[#This Row],[Days on Market]]&lt;= 90,"Average", "Slow"))</f>
        <v>Fast</v>
      </c>
      <c r="T2516" t="str">
        <f>IF(Table1[[#This Row],[Price2]]&lt;500000,"Affordable",IF(Table1[[#This Row],[Price2]]&lt;1000000,"Mid range","Luxury"))</f>
        <v>Luxury</v>
      </c>
    </row>
    <row r="2517" spans="1:20" x14ac:dyDescent="0.35">
      <c r="A2517" s="3">
        <v>1275120</v>
      </c>
      <c r="B2517" s="2" t="s">
        <v>34</v>
      </c>
      <c r="C2517">
        <v>16675</v>
      </c>
      <c r="D2517" s="2" t="s">
        <v>13</v>
      </c>
      <c r="E2517">
        <v>6</v>
      </c>
      <c r="F2517">
        <v>2</v>
      </c>
      <c r="G2517" s="4">
        <f>VALUE(SUBSTITUTE(SUBSTITUTE(Table1[[#This Row],[Price]],"$",""),",",""))</f>
        <v>1275120</v>
      </c>
      <c r="H2517" s="1">
        <f>Table1[[#This Row],[Price2]]/Table1[[#This Row],[Area]]</f>
        <v>815.29411764705878</v>
      </c>
      <c r="I2517">
        <v>1564</v>
      </c>
      <c r="J2517">
        <v>1976</v>
      </c>
      <c r="K2517">
        <v>85</v>
      </c>
      <c r="L2517" t="s">
        <v>40</v>
      </c>
      <c r="M2517" t="s">
        <v>2482</v>
      </c>
      <c r="N2517" s="2" t="s">
        <v>3033</v>
      </c>
      <c r="O2517" t="s">
        <v>3034</v>
      </c>
      <c r="P2517" t="s">
        <v>16</v>
      </c>
      <c r="Q2517">
        <v>815.29411764705878</v>
      </c>
      <c r="R2517">
        <f ca="1">YEAR(TODAY())-Table1[[#This Row],[Year Built]]</f>
        <v>50</v>
      </c>
      <c r="S2517" t="str">
        <f>IF(Table1[[#This Row],[Days on Market]] &lt; 30,"Fast",IF(Table1[[#This Row],[Days on Market]]&lt;= 90,"Average", "Slow"))</f>
        <v>Average</v>
      </c>
      <c r="T2517" t="str">
        <f>IF(Table1[[#This Row],[Price2]]&lt;500000,"Affordable",IF(Table1[[#This Row],[Price2]]&lt;1000000,"Mid range","Luxury"))</f>
        <v>Luxury</v>
      </c>
    </row>
    <row r="2518" spans="1:20" x14ac:dyDescent="0.35">
      <c r="A2518" s="3">
        <v>1275867</v>
      </c>
      <c r="B2518" s="2" t="s">
        <v>22</v>
      </c>
      <c r="C2518">
        <v>58637</v>
      </c>
      <c r="D2518" s="2" t="s">
        <v>13</v>
      </c>
      <c r="E2518">
        <v>2</v>
      </c>
      <c r="F2518">
        <v>2</v>
      </c>
      <c r="G2518" s="4">
        <f>VALUE(SUBSTITUTE(SUBSTITUTE(Table1[[#This Row],[Price]],"$",""),",",""))</f>
        <v>1275867</v>
      </c>
      <c r="H2518" s="1">
        <f>Table1[[#This Row],[Price2]]/Table1[[#This Row],[Area]]</f>
        <v>1398.9769736842106</v>
      </c>
      <c r="I2518">
        <v>912</v>
      </c>
      <c r="J2518">
        <v>1977</v>
      </c>
      <c r="K2518">
        <v>103</v>
      </c>
      <c r="L2518" t="s">
        <v>19</v>
      </c>
      <c r="M2518" t="s">
        <v>2775</v>
      </c>
      <c r="N2518" s="2" t="s">
        <v>3027</v>
      </c>
      <c r="O2518" t="s">
        <v>3028</v>
      </c>
      <c r="P2518" t="s">
        <v>16</v>
      </c>
      <c r="Q2518">
        <v>1398.9769736842106</v>
      </c>
      <c r="R2518">
        <f ca="1">YEAR(TODAY())-Table1[[#This Row],[Year Built]]</f>
        <v>49</v>
      </c>
      <c r="S2518" t="str">
        <f>IF(Table1[[#This Row],[Days on Market]] &lt; 30,"Fast",IF(Table1[[#This Row],[Days on Market]]&lt;= 90,"Average", "Slow"))</f>
        <v>Slow</v>
      </c>
      <c r="T2518" t="str">
        <f>IF(Table1[[#This Row],[Price2]]&lt;500000,"Affordable",IF(Table1[[#This Row],[Price2]]&lt;1000000,"Mid range","Luxury"))</f>
        <v>Luxury</v>
      </c>
    </row>
    <row r="2519" spans="1:20" x14ac:dyDescent="0.35">
      <c r="A2519" s="3">
        <v>1275945</v>
      </c>
      <c r="B2519" s="2" t="s">
        <v>12</v>
      </c>
      <c r="C2519">
        <v>47565</v>
      </c>
      <c r="D2519" s="2" t="s">
        <v>13</v>
      </c>
      <c r="E2519">
        <v>6</v>
      </c>
      <c r="F2519">
        <v>3</v>
      </c>
      <c r="G2519" s="4">
        <f>VALUE(SUBSTITUTE(SUBSTITUTE(Table1[[#This Row],[Price]],"$",""),",",""))</f>
        <v>1275945</v>
      </c>
      <c r="H2519" s="1">
        <f>Table1[[#This Row],[Price2]]/Table1[[#This Row],[Area]]</f>
        <v>460.46373150487187</v>
      </c>
      <c r="I2519">
        <v>2771</v>
      </c>
      <c r="J2519">
        <v>1973</v>
      </c>
      <c r="K2519">
        <v>106</v>
      </c>
      <c r="L2519" t="s">
        <v>14</v>
      </c>
      <c r="M2519" t="s">
        <v>2942</v>
      </c>
      <c r="N2519" s="2" t="s">
        <v>3029</v>
      </c>
      <c r="O2519" t="s">
        <v>3030</v>
      </c>
      <c r="P2519" t="s">
        <v>26</v>
      </c>
      <c r="Q2519">
        <v>460.46373150487187</v>
      </c>
      <c r="R2519">
        <f ca="1">YEAR(TODAY())-Table1[[#This Row],[Year Built]]</f>
        <v>53</v>
      </c>
      <c r="S2519" t="str">
        <f>IF(Table1[[#This Row],[Days on Market]] &lt; 30,"Fast",IF(Table1[[#This Row],[Days on Market]]&lt;= 90,"Average", "Slow"))</f>
        <v>Slow</v>
      </c>
      <c r="T2519" t="str">
        <f>IF(Table1[[#This Row],[Price2]]&lt;500000,"Affordable",IF(Table1[[#This Row],[Price2]]&lt;1000000,"Mid range","Luxury"))</f>
        <v>Luxury</v>
      </c>
    </row>
    <row r="2520" spans="1:20" x14ac:dyDescent="0.35">
      <c r="A2520" s="3">
        <v>1276290</v>
      </c>
      <c r="B2520" s="2" t="s">
        <v>27</v>
      </c>
      <c r="C2520">
        <v>70285</v>
      </c>
      <c r="D2520" s="2" t="s">
        <v>35</v>
      </c>
      <c r="E2520">
        <v>1</v>
      </c>
      <c r="F2520">
        <v>2</v>
      </c>
      <c r="G2520" s="4">
        <f>VALUE(SUBSTITUTE(SUBSTITUTE(Table1[[#This Row],[Price]],"$",""),",",""))</f>
        <v>1276290</v>
      </c>
      <c r="H2520" s="1">
        <f>Table1[[#This Row],[Price2]]/Table1[[#This Row],[Area]]</f>
        <v>923.50940665701876</v>
      </c>
      <c r="I2520">
        <v>1382</v>
      </c>
      <c r="J2520">
        <v>1981</v>
      </c>
      <c r="K2520">
        <v>42</v>
      </c>
      <c r="L2520" t="s">
        <v>30</v>
      </c>
      <c r="M2520" t="s">
        <v>1062</v>
      </c>
      <c r="N2520" s="2" t="s">
        <v>3027</v>
      </c>
      <c r="O2520" t="s">
        <v>3028</v>
      </c>
      <c r="P2520" t="s">
        <v>26</v>
      </c>
      <c r="Q2520">
        <v>923.50940665701876</v>
      </c>
      <c r="R2520">
        <f ca="1">YEAR(TODAY())-Table1[[#This Row],[Year Built]]</f>
        <v>45</v>
      </c>
      <c r="S2520" t="str">
        <f>IF(Table1[[#This Row],[Days on Market]] &lt; 30,"Fast",IF(Table1[[#This Row],[Days on Market]]&lt;= 90,"Average", "Slow"))</f>
        <v>Average</v>
      </c>
      <c r="T2520" t="str">
        <f>IF(Table1[[#This Row],[Price2]]&lt;500000,"Affordable",IF(Table1[[#This Row],[Price2]]&lt;1000000,"Mid range","Luxury"))</f>
        <v>Luxury</v>
      </c>
    </row>
    <row r="2521" spans="1:20" x14ac:dyDescent="0.35">
      <c r="A2521" s="3">
        <v>1276754</v>
      </c>
      <c r="B2521" s="2" t="s">
        <v>27</v>
      </c>
      <c r="C2521">
        <v>14869</v>
      </c>
      <c r="D2521" s="2" t="s">
        <v>13</v>
      </c>
      <c r="E2521">
        <v>5</v>
      </c>
      <c r="F2521">
        <v>2</v>
      </c>
      <c r="G2521" s="4">
        <f>VALUE(SUBSTITUTE(SUBSTITUTE(Table1[[#This Row],[Price]],"$",""),",",""))</f>
        <v>1276754</v>
      </c>
      <c r="H2521" s="1">
        <f>Table1[[#This Row],[Price2]]/Table1[[#This Row],[Area]]</f>
        <v>996.68540202966437</v>
      </c>
      <c r="I2521">
        <v>1281</v>
      </c>
      <c r="J2521">
        <v>2012</v>
      </c>
      <c r="K2521">
        <v>100</v>
      </c>
      <c r="L2521" t="s">
        <v>19</v>
      </c>
      <c r="M2521" t="s">
        <v>1818</v>
      </c>
      <c r="N2521" s="2" t="s">
        <v>3035</v>
      </c>
      <c r="O2521" t="s">
        <v>3036</v>
      </c>
      <c r="P2521" t="s">
        <v>26</v>
      </c>
      <c r="Q2521">
        <v>996.68540202966437</v>
      </c>
      <c r="R2521">
        <f ca="1">YEAR(TODAY())-Table1[[#This Row],[Year Built]]</f>
        <v>14</v>
      </c>
      <c r="S2521" t="str">
        <f>IF(Table1[[#This Row],[Days on Market]] &lt; 30,"Fast",IF(Table1[[#This Row],[Days on Market]]&lt;= 90,"Average", "Slow"))</f>
        <v>Slow</v>
      </c>
      <c r="T2521" t="str">
        <f>IF(Table1[[#This Row],[Price2]]&lt;500000,"Affordable",IF(Table1[[#This Row],[Price2]]&lt;1000000,"Mid range","Luxury"))</f>
        <v>Luxury</v>
      </c>
    </row>
    <row r="2522" spans="1:20" x14ac:dyDescent="0.35">
      <c r="A2522" s="3">
        <v>1277005</v>
      </c>
      <c r="B2522" s="2" t="s">
        <v>17</v>
      </c>
      <c r="C2522">
        <v>69229</v>
      </c>
      <c r="D2522" s="2" t="s">
        <v>18</v>
      </c>
      <c r="E2522">
        <v>5</v>
      </c>
      <c r="F2522">
        <v>3</v>
      </c>
      <c r="G2522" s="4">
        <f>VALUE(SUBSTITUTE(SUBSTITUTE(Table1[[#This Row],[Price]],"$",""),",",""))</f>
        <v>1277005</v>
      </c>
      <c r="H2522" s="1">
        <f>Table1[[#This Row],[Price2]]/Table1[[#This Row],[Area]]</f>
        <v>362.99175667993177</v>
      </c>
      <c r="I2522">
        <v>3518</v>
      </c>
      <c r="J2522">
        <v>2002</v>
      </c>
      <c r="K2522">
        <v>12</v>
      </c>
      <c r="L2522" t="s">
        <v>14</v>
      </c>
      <c r="M2522" t="s">
        <v>149</v>
      </c>
      <c r="N2522" s="2" t="s">
        <v>3027</v>
      </c>
      <c r="O2522" t="s">
        <v>3028</v>
      </c>
      <c r="P2522" t="s">
        <v>26</v>
      </c>
      <c r="Q2522">
        <v>362.99175667993177</v>
      </c>
      <c r="R2522">
        <f ca="1">YEAR(TODAY())-Table1[[#This Row],[Year Built]]</f>
        <v>24</v>
      </c>
      <c r="S2522" t="str">
        <f>IF(Table1[[#This Row],[Days on Market]] &lt; 30,"Fast",IF(Table1[[#This Row],[Days on Market]]&lt;= 90,"Average", "Slow"))</f>
        <v>Fast</v>
      </c>
      <c r="T2522" t="str">
        <f>IF(Table1[[#This Row],[Price2]]&lt;500000,"Affordable",IF(Table1[[#This Row],[Price2]]&lt;1000000,"Mid range","Luxury"))</f>
        <v>Luxury</v>
      </c>
    </row>
    <row r="2523" spans="1:20" x14ac:dyDescent="0.35">
      <c r="A2523" s="3">
        <v>1277550</v>
      </c>
      <c r="B2523" s="2" t="s">
        <v>22</v>
      </c>
      <c r="C2523">
        <v>87329</v>
      </c>
      <c r="D2523" s="2" t="s">
        <v>18</v>
      </c>
      <c r="E2523">
        <v>4</v>
      </c>
      <c r="F2523">
        <v>4</v>
      </c>
      <c r="G2523" s="4">
        <f>VALUE(SUBSTITUTE(SUBSTITUTE(Table1[[#This Row],[Price]],"$",""),",",""))</f>
        <v>1277550</v>
      </c>
      <c r="H2523" s="1">
        <f>Table1[[#This Row],[Price2]]/Table1[[#This Row],[Area]]</f>
        <v>336.46299710297603</v>
      </c>
      <c r="I2523">
        <v>3797</v>
      </c>
      <c r="J2523">
        <v>1962</v>
      </c>
      <c r="K2523">
        <v>89</v>
      </c>
      <c r="L2523" t="s">
        <v>52</v>
      </c>
      <c r="M2523" t="s">
        <v>2366</v>
      </c>
      <c r="N2523" s="2" t="s">
        <v>3031</v>
      </c>
      <c r="O2523" t="s">
        <v>3032</v>
      </c>
      <c r="P2523" t="s">
        <v>21</v>
      </c>
      <c r="Q2523">
        <v>336.46299710297603</v>
      </c>
      <c r="R2523">
        <f ca="1">YEAR(TODAY())-Table1[[#This Row],[Year Built]]</f>
        <v>64</v>
      </c>
      <c r="S2523" t="str">
        <f>IF(Table1[[#This Row],[Days on Market]] &lt; 30,"Fast",IF(Table1[[#This Row],[Days on Market]]&lt;= 90,"Average", "Slow"))</f>
        <v>Average</v>
      </c>
      <c r="T2523" t="str">
        <f>IF(Table1[[#This Row],[Price2]]&lt;500000,"Affordable",IF(Table1[[#This Row],[Price2]]&lt;1000000,"Mid range","Luxury"))</f>
        <v>Luxury</v>
      </c>
    </row>
    <row r="2524" spans="1:20" x14ac:dyDescent="0.35">
      <c r="A2524" s="3">
        <v>1277609</v>
      </c>
      <c r="B2524" s="2" t="s">
        <v>12</v>
      </c>
      <c r="C2524">
        <v>14783</v>
      </c>
      <c r="D2524" s="2" t="s">
        <v>18</v>
      </c>
      <c r="E2524">
        <v>4</v>
      </c>
      <c r="F2524">
        <v>4</v>
      </c>
      <c r="G2524" s="4">
        <f>VALUE(SUBSTITUTE(SUBSTITUTE(Table1[[#This Row],[Price]],"$",""),",",""))</f>
        <v>1277609</v>
      </c>
      <c r="H2524" s="1">
        <f>Table1[[#This Row],[Price2]]/Table1[[#This Row],[Area]]</f>
        <v>323.28162955465586</v>
      </c>
      <c r="I2524">
        <v>3952</v>
      </c>
      <c r="J2524">
        <v>1994</v>
      </c>
      <c r="K2524">
        <v>84</v>
      </c>
      <c r="L2524" t="s">
        <v>14</v>
      </c>
      <c r="M2524" t="s">
        <v>2473</v>
      </c>
      <c r="N2524" s="2" t="s">
        <v>3035</v>
      </c>
      <c r="O2524" t="s">
        <v>3036</v>
      </c>
      <c r="P2524" t="s">
        <v>16</v>
      </c>
      <c r="Q2524">
        <v>323.28162955465586</v>
      </c>
      <c r="R2524">
        <f ca="1">YEAR(TODAY())-Table1[[#This Row],[Year Built]]</f>
        <v>32</v>
      </c>
      <c r="S2524" t="str">
        <f>IF(Table1[[#This Row],[Days on Market]] &lt; 30,"Fast",IF(Table1[[#This Row],[Days on Market]]&lt;= 90,"Average", "Slow"))</f>
        <v>Average</v>
      </c>
      <c r="T2524" t="str">
        <f>IF(Table1[[#This Row],[Price2]]&lt;500000,"Affordable",IF(Table1[[#This Row],[Price2]]&lt;1000000,"Mid range","Luxury"))</f>
        <v>Luxury</v>
      </c>
    </row>
    <row r="2525" spans="1:20" x14ac:dyDescent="0.35">
      <c r="A2525" s="3">
        <v>1279191</v>
      </c>
      <c r="B2525" s="2" t="s">
        <v>22</v>
      </c>
      <c r="C2525">
        <v>49155</v>
      </c>
      <c r="D2525" s="2" t="s">
        <v>13</v>
      </c>
      <c r="E2525">
        <v>5</v>
      </c>
      <c r="F2525">
        <v>2</v>
      </c>
      <c r="G2525" s="4">
        <f>VALUE(SUBSTITUTE(SUBSTITUTE(Table1[[#This Row],[Price]],"$",""),",",""))</f>
        <v>1279191</v>
      </c>
      <c r="H2525" s="1">
        <f>Table1[[#This Row],[Price2]]/Table1[[#This Row],[Area]]</f>
        <v>416.6745928338762</v>
      </c>
      <c r="I2525">
        <v>3070</v>
      </c>
      <c r="J2525">
        <v>1957</v>
      </c>
      <c r="K2525">
        <v>11</v>
      </c>
      <c r="L2525" t="s">
        <v>14</v>
      </c>
      <c r="M2525" t="s">
        <v>1906</v>
      </c>
      <c r="N2525" s="2" t="s">
        <v>3029</v>
      </c>
      <c r="O2525" t="s">
        <v>3030</v>
      </c>
      <c r="P2525" t="s">
        <v>16</v>
      </c>
      <c r="Q2525">
        <v>416.6745928338762</v>
      </c>
      <c r="R2525">
        <f ca="1">YEAR(TODAY())-Table1[[#This Row],[Year Built]]</f>
        <v>69</v>
      </c>
      <c r="S2525" t="str">
        <f>IF(Table1[[#This Row],[Days on Market]] &lt; 30,"Fast",IF(Table1[[#This Row],[Days on Market]]&lt;= 90,"Average", "Slow"))</f>
        <v>Fast</v>
      </c>
      <c r="T2525" t="str">
        <f>IF(Table1[[#This Row],[Price2]]&lt;500000,"Affordable",IF(Table1[[#This Row],[Price2]]&lt;1000000,"Mid range","Luxury"))</f>
        <v>Luxury</v>
      </c>
    </row>
    <row r="2526" spans="1:20" x14ac:dyDescent="0.35">
      <c r="A2526" s="3">
        <v>1280219</v>
      </c>
      <c r="B2526" s="2" t="s">
        <v>34</v>
      </c>
      <c r="C2526">
        <v>77562</v>
      </c>
      <c r="D2526" s="2" t="s">
        <v>23</v>
      </c>
      <c r="E2526">
        <v>1</v>
      </c>
      <c r="F2526">
        <v>3</v>
      </c>
      <c r="G2526" s="4">
        <f>VALUE(SUBSTITUTE(SUBSTITUTE(Table1[[#This Row],[Price]],"$",""),",",""))</f>
        <v>1280219</v>
      </c>
      <c r="H2526" s="1">
        <f>Table1[[#This Row],[Price2]]/Table1[[#This Row],[Area]]</f>
        <v>699.1911523757509</v>
      </c>
      <c r="I2526">
        <v>1831</v>
      </c>
      <c r="J2526">
        <v>1990</v>
      </c>
      <c r="K2526">
        <v>7</v>
      </c>
      <c r="L2526" t="s">
        <v>30</v>
      </c>
      <c r="M2526" t="s">
        <v>495</v>
      </c>
      <c r="N2526" s="2" t="s">
        <v>3035</v>
      </c>
      <c r="O2526" t="s">
        <v>3036</v>
      </c>
      <c r="P2526" t="s">
        <v>16</v>
      </c>
      <c r="Q2526">
        <v>699.1911523757509</v>
      </c>
      <c r="R2526">
        <f ca="1">YEAR(TODAY())-Table1[[#This Row],[Year Built]]</f>
        <v>36</v>
      </c>
      <c r="S2526" t="str">
        <f>IF(Table1[[#This Row],[Days on Market]] &lt; 30,"Fast",IF(Table1[[#This Row],[Days on Market]]&lt;= 90,"Average", "Slow"))</f>
        <v>Fast</v>
      </c>
      <c r="T2526" t="str">
        <f>IF(Table1[[#This Row],[Price2]]&lt;500000,"Affordable",IF(Table1[[#This Row],[Price2]]&lt;1000000,"Mid range","Luxury"))</f>
        <v>Luxury</v>
      </c>
    </row>
    <row r="2527" spans="1:20" x14ac:dyDescent="0.35">
      <c r="A2527" s="3">
        <v>1280322</v>
      </c>
      <c r="B2527" s="2" t="s">
        <v>17</v>
      </c>
      <c r="C2527">
        <v>41512</v>
      </c>
      <c r="D2527" s="2" t="s">
        <v>23</v>
      </c>
      <c r="E2527">
        <v>1</v>
      </c>
      <c r="F2527">
        <v>3</v>
      </c>
      <c r="G2527" s="4">
        <f>VALUE(SUBSTITUTE(SUBSTITUTE(Table1[[#This Row],[Price]],"$",""),",",""))</f>
        <v>1280322</v>
      </c>
      <c r="H2527" s="1">
        <f>Table1[[#This Row],[Price2]]/Table1[[#This Row],[Area]]</f>
        <v>555.21335646140506</v>
      </c>
      <c r="I2527">
        <v>2306</v>
      </c>
      <c r="J2527">
        <v>1968</v>
      </c>
      <c r="K2527">
        <v>71</v>
      </c>
      <c r="L2527" t="s">
        <v>14</v>
      </c>
      <c r="M2527" t="s">
        <v>1454</v>
      </c>
      <c r="N2527" s="2" t="s">
        <v>3031</v>
      </c>
      <c r="O2527" t="s">
        <v>3032</v>
      </c>
      <c r="P2527" t="s">
        <v>16</v>
      </c>
      <c r="Q2527">
        <v>555.21335646140506</v>
      </c>
      <c r="R2527">
        <f ca="1">YEAR(TODAY())-Table1[[#This Row],[Year Built]]</f>
        <v>58</v>
      </c>
      <c r="S2527" t="str">
        <f>IF(Table1[[#This Row],[Days on Market]] &lt; 30,"Fast",IF(Table1[[#This Row],[Days on Market]]&lt;= 90,"Average", "Slow"))</f>
        <v>Average</v>
      </c>
      <c r="T2527" t="str">
        <f>IF(Table1[[#This Row],[Price2]]&lt;500000,"Affordable",IF(Table1[[#This Row],[Price2]]&lt;1000000,"Mid range","Luxury"))</f>
        <v>Luxury</v>
      </c>
    </row>
    <row r="2528" spans="1:20" x14ac:dyDescent="0.35">
      <c r="A2528" s="3">
        <v>1280348</v>
      </c>
      <c r="B2528" s="2" t="s">
        <v>12</v>
      </c>
      <c r="C2528">
        <v>49271</v>
      </c>
      <c r="D2528" s="2" t="s">
        <v>13</v>
      </c>
      <c r="E2528">
        <v>3</v>
      </c>
      <c r="F2528">
        <v>1</v>
      </c>
      <c r="G2528" s="4">
        <f>VALUE(SUBSTITUTE(SUBSTITUTE(Table1[[#This Row],[Price]],"$",""),",",""))</f>
        <v>1280348</v>
      </c>
      <c r="H2528" s="1">
        <f>Table1[[#This Row],[Price2]]/Table1[[#This Row],[Area]]</f>
        <v>690.58683926645097</v>
      </c>
      <c r="I2528">
        <v>1854</v>
      </c>
      <c r="J2528">
        <v>1958</v>
      </c>
      <c r="K2528">
        <v>12</v>
      </c>
      <c r="L2528" t="s">
        <v>19</v>
      </c>
      <c r="M2528" t="s">
        <v>1321</v>
      </c>
      <c r="N2528" s="2" t="s">
        <v>3033</v>
      </c>
      <c r="O2528" t="s">
        <v>3034</v>
      </c>
      <c r="P2528" t="s">
        <v>26</v>
      </c>
      <c r="Q2528">
        <v>690.58683926645097</v>
      </c>
      <c r="R2528">
        <f ca="1">YEAR(TODAY())-Table1[[#This Row],[Year Built]]</f>
        <v>68</v>
      </c>
      <c r="S2528" t="str">
        <f>IF(Table1[[#This Row],[Days on Market]] &lt; 30,"Fast",IF(Table1[[#This Row],[Days on Market]]&lt;= 90,"Average", "Slow"))</f>
        <v>Fast</v>
      </c>
      <c r="T2528" t="str">
        <f>IF(Table1[[#This Row],[Price2]]&lt;500000,"Affordable",IF(Table1[[#This Row],[Price2]]&lt;1000000,"Mid range","Luxury"))</f>
        <v>Luxury</v>
      </c>
    </row>
    <row r="2529" spans="1:20" x14ac:dyDescent="0.35">
      <c r="A2529" s="3">
        <v>1280680</v>
      </c>
      <c r="B2529" s="2" t="s">
        <v>12</v>
      </c>
      <c r="C2529">
        <v>18928</v>
      </c>
      <c r="D2529" s="2" t="s">
        <v>13</v>
      </c>
      <c r="E2529">
        <v>1</v>
      </c>
      <c r="F2529">
        <v>4</v>
      </c>
      <c r="G2529" s="4">
        <f>VALUE(SUBSTITUTE(SUBSTITUTE(Table1[[#This Row],[Price]],"$",""),",",""))</f>
        <v>1280680</v>
      </c>
      <c r="H2529" s="1">
        <f>Table1[[#This Row],[Price2]]/Table1[[#This Row],[Area]]</f>
        <v>711.48888888888894</v>
      </c>
      <c r="I2529">
        <v>1800</v>
      </c>
      <c r="J2529">
        <v>1969</v>
      </c>
      <c r="K2529">
        <v>117</v>
      </c>
      <c r="L2529" t="s">
        <v>52</v>
      </c>
      <c r="M2529" t="s">
        <v>369</v>
      </c>
      <c r="N2529" s="2" t="s">
        <v>3029</v>
      </c>
      <c r="O2529" t="s">
        <v>3030</v>
      </c>
      <c r="P2529" t="s">
        <v>21</v>
      </c>
      <c r="Q2529">
        <v>711.48888888888894</v>
      </c>
      <c r="R2529">
        <f ca="1">YEAR(TODAY())-Table1[[#This Row],[Year Built]]</f>
        <v>57</v>
      </c>
      <c r="S2529" t="str">
        <f>IF(Table1[[#This Row],[Days on Market]] &lt; 30,"Fast",IF(Table1[[#This Row],[Days on Market]]&lt;= 90,"Average", "Slow"))</f>
        <v>Slow</v>
      </c>
      <c r="T2529" t="str">
        <f>IF(Table1[[#This Row],[Price2]]&lt;500000,"Affordable",IF(Table1[[#This Row],[Price2]]&lt;1000000,"Mid range","Luxury"))</f>
        <v>Luxury</v>
      </c>
    </row>
    <row r="2530" spans="1:20" x14ac:dyDescent="0.35">
      <c r="A2530" s="3">
        <v>1280680</v>
      </c>
      <c r="B2530" s="2" t="s">
        <v>22</v>
      </c>
      <c r="C2530">
        <v>52052</v>
      </c>
      <c r="D2530" s="2" t="s">
        <v>23</v>
      </c>
      <c r="E2530">
        <v>1</v>
      </c>
      <c r="F2530">
        <v>3</v>
      </c>
      <c r="G2530" s="4">
        <f>VALUE(SUBSTITUTE(SUBSTITUTE(Table1[[#This Row],[Price]],"$",""),",",""))</f>
        <v>1280680</v>
      </c>
      <c r="H2530" s="1">
        <f>Table1[[#This Row],[Price2]]/Table1[[#This Row],[Area]]</f>
        <v>449.04628330995791</v>
      </c>
      <c r="I2530">
        <v>2852</v>
      </c>
      <c r="J2530">
        <v>2015</v>
      </c>
      <c r="K2530">
        <v>5</v>
      </c>
      <c r="L2530" t="s">
        <v>40</v>
      </c>
      <c r="M2530" t="s">
        <v>617</v>
      </c>
      <c r="N2530" s="2" t="s">
        <v>3033</v>
      </c>
      <c r="O2530" t="s">
        <v>3034</v>
      </c>
      <c r="P2530" t="s">
        <v>21</v>
      </c>
      <c r="Q2530">
        <v>449.04628330995791</v>
      </c>
      <c r="R2530">
        <f ca="1">YEAR(TODAY())-Table1[[#This Row],[Year Built]]</f>
        <v>11</v>
      </c>
      <c r="S2530" t="str">
        <f>IF(Table1[[#This Row],[Days on Market]] &lt; 30,"Fast",IF(Table1[[#This Row],[Days on Market]]&lt;= 90,"Average", "Slow"))</f>
        <v>Fast</v>
      </c>
      <c r="T2530" t="str">
        <f>IF(Table1[[#This Row],[Price2]]&lt;500000,"Affordable",IF(Table1[[#This Row],[Price2]]&lt;1000000,"Mid range","Luxury"))</f>
        <v>Luxury</v>
      </c>
    </row>
    <row r="2531" spans="1:20" x14ac:dyDescent="0.35">
      <c r="A2531" s="3">
        <v>1281515</v>
      </c>
      <c r="B2531" s="2" t="s">
        <v>34</v>
      </c>
      <c r="C2531">
        <v>30227</v>
      </c>
      <c r="D2531" s="2" t="s">
        <v>35</v>
      </c>
      <c r="E2531">
        <v>5</v>
      </c>
      <c r="F2531">
        <v>4</v>
      </c>
      <c r="G2531" s="4">
        <f>VALUE(SUBSTITUTE(SUBSTITUTE(Table1[[#This Row],[Price]],"$",""),",",""))</f>
        <v>1281515</v>
      </c>
      <c r="H2531" s="1">
        <f>Table1[[#This Row],[Price2]]/Table1[[#This Row],[Area]]</f>
        <v>424.62392312789927</v>
      </c>
      <c r="I2531">
        <v>3018</v>
      </c>
      <c r="J2531">
        <v>1983</v>
      </c>
      <c r="K2531">
        <v>1</v>
      </c>
      <c r="L2531" t="s">
        <v>40</v>
      </c>
      <c r="M2531" t="s">
        <v>720</v>
      </c>
      <c r="N2531" s="2" t="s">
        <v>3035</v>
      </c>
      <c r="O2531" t="s">
        <v>3036</v>
      </c>
      <c r="P2531" t="s">
        <v>21</v>
      </c>
      <c r="Q2531">
        <v>424.62392312789927</v>
      </c>
      <c r="R2531">
        <f ca="1">YEAR(TODAY())-Table1[[#This Row],[Year Built]]</f>
        <v>43</v>
      </c>
      <c r="S2531" t="str">
        <f>IF(Table1[[#This Row],[Days on Market]] &lt; 30,"Fast",IF(Table1[[#This Row],[Days on Market]]&lt;= 90,"Average", "Slow"))</f>
        <v>Fast</v>
      </c>
      <c r="T2531" t="str">
        <f>IF(Table1[[#This Row],[Price2]]&lt;500000,"Affordable",IF(Table1[[#This Row],[Price2]]&lt;1000000,"Mid range","Luxury"))</f>
        <v>Luxury</v>
      </c>
    </row>
    <row r="2532" spans="1:20" x14ac:dyDescent="0.35">
      <c r="A2532" s="3">
        <v>1282414</v>
      </c>
      <c r="B2532" s="2" t="s">
        <v>12</v>
      </c>
      <c r="C2532">
        <v>70133</v>
      </c>
      <c r="D2532" s="2" t="s">
        <v>18</v>
      </c>
      <c r="E2532">
        <v>4</v>
      </c>
      <c r="F2532">
        <v>2</v>
      </c>
      <c r="G2532" s="4">
        <f>VALUE(SUBSTITUTE(SUBSTITUTE(Table1[[#This Row],[Price]],"$",""),",",""))</f>
        <v>1282414</v>
      </c>
      <c r="H2532" s="1">
        <f>Table1[[#This Row],[Price2]]/Table1[[#This Row],[Area]]</f>
        <v>1205.2763157894738</v>
      </c>
      <c r="I2532">
        <v>1064</v>
      </c>
      <c r="J2532">
        <v>2015</v>
      </c>
      <c r="K2532">
        <v>41</v>
      </c>
      <c r="L2532" t="s">
        <v>40</v>
      </c>
      <c r="M2532" t="s">
        <v>1530</v>
      </c>
      <c r="N2532" s="2" t="s">
        <v>3027</v>
      </c>
      <c r="O2532" t="s">
        <v>3028</v>
      </c>
      <c r="P2532" t="s">
        <v>16</v>
      </c>
      <c r="Q2532">
        <v>1205.2763157894738</v>
      </c>
      <c r="R2532">
        <f ca="1">YEAR(TODAY())-Table1[[#This Row],[Year Built]]</f>
        <v>11</v>
      </c>
      <c r="S2532" t="str">
        <f>IF(Table1[[#This Row],[Days on Market]] &lt; 30,"Fast",IF(Table1[[#This Row],[Days on Market]]&lt;= 90,"Average", "Slow"))</f>
        <v>Average</v>
      </c>
      <c r="T2532" t="str">
        <f>IF(Table1[[#This Row],[Price2]]&lt;500000,"Affordable",IF(Table1[[#This Row],[Price2]]&lt;1000000,"Mid range","Luxury"))</f>
        <v>Luxury</v>
      </c>
    </row>
    <row r="2533" spans="1:20" x14ac:dyDescent="0.35">
      <c r="A2533" s="3">
        <v>1283155</v>
      </c>
      <c r="B2533" s="2" t="s">
        <v>27</v>
      </c>
      <c r="C2533">
        <v>35889</v>
      </c>
      <c r="D2533" s="2" t="s">
        <v>35</v>
      </c>
      <c r="E2533">
        <v>2</v>
      </c>
      <c r="F2533">
        <v>1</v>
      </c>
      <c r="G2533" s="4">
        <f>VALUE(SUBSTITUTE(SUBSTITUTE(Table1[[#This Row],[Price]],"$",""),",",""))</f>
        <v>1283155</v>
      </c>
      <c r="H2533" s="1">
        <f>Table1[[#This Row],[Price2]]/Table1[[#This Row],[Area]]</f>
        <v>703.09863013698634</v>
      </c>
      <c r="I2533">
        <v>1825</v>
      </c>
      <c r="J2533">
        <v>1969</v>
      </c>
      <c r="K2533">
        <v>62</v>
      </c>
      <c r="L2533" t="s">
        <v>14</v>
      </c>
      <c r="M2533" t="s">
        <v>1001</v>
      </c>
      <c r="N2533" s="2" t="s">
        <v>3029</v>
      </c>
      <c r="O2533" t="s">
        <v>3030</v>
      </c>
      <c r="P2533" t="s">
        <v>16</v>
      </c>
      <c r="Q2533">
        <v>703.09863013698634</v>
      </c>
      <c r="R2533">
        <f ca="1">YEAR(TODAY())-Table1[[#This Row],[Year Built]]</f>
        <v>57</v>
      </c>
      <c r="S2533" t="str">
        <f>IF(Table1[[#This Row],[Days on Market]] &lt; 30,"Fast",IF(Table1[[#This Row],[Days on Market]]&lt;= 90,"Average", "Slow"))</f>
        <v>Average</v>
      </c>
      <c r="T2533" t="str">
        <f>IF(Table1[[#This Row],[Price2]]&lt;500000,"Affordable",IF(Table1[[#This Row],[Price2]]&lt;1000000,"Mid range","Luxury"))</f>
        <v>Luxury</v>
      </c>
    </row>
    <row r="2534" spans="1:20" x14ac:dyDescent="0.35">
      <c r="A2534" s="3">
        <v>1283223</v>
      </c>
      <c r="B2534" s="2" t="s">
        <v>17</v>
      </c>
      <c r="C2534">
        <v>44519</v>
      </c>
      <c r="D2534" s="2" t="s">
        <v>18</v>
      </c>
      <c r="E2534">
        <v>1</v>
      </c>
      <c r="F2534">
        <v>2</v>
      </c>
      <c r="G2534" s="4">
        <f>VALUE(SUBSTITUTE(SUBSTITUTE(Table1[[#This Row],[Price]],"$",""),",",""))</f>
        <v>1283223</v>
      </c>
      <c r="H2534" s="1">
        <f>Table1[[#This Row],[Price2]]/Table1[[#This Row],[Area]]</f>
        <v>1772.407458563536</v>
      </c>
      <c r="I2534">
        <v>724</v>
      </c>
      <c r="J2534">
        <v>1961</v>
      </c>
      <c r="K2534">
        <v>106</v>
      </c>
      <c r="L2534" t="s">
        <v>30</v>
      </c>
      <c r="M2534" t="s">
        <v>437</v>
      </c>
      <c r="N2534" s="2" t="s">
        <v>3029</v>
      </c>
      <c r="O2534" t="s">
        <v>3030</v>
      </c>
      <c r="P2534" t="s">
        <v>21</v>
      </c>
      <c r="Q2534">
        <v>1772.407458563536</v>
      </c>
      <c r="R2534">
        <f ca="1">YEAR(TODAY())-Table1[[#This Row],[Year Built]]</f>
        <v>65</v>
      </c>
      <c r="S2534" t="str">
        <f>IF(Table1[[#This Row],[Days on Market]] &lt; 30,"Fast",IF(Table1[[#This Row],[Days on Market]]&lt;= 90,"Average", "Slow"))</f>
        <v>Slow</v>
      </c>
      <c r="T2534" t="str">
        <f>IF(Table1[[#This Row],[Price2]]&lt;500000,"Affordable",IF(Table1[[#This Row],[Price2]]&lt;1000000,"Mid range","Luxury"))</f>
        <v>Luxury</v>
      </c>
    </row>
    <row r="2535" spans="1:20" x14ac:dyDescent="0.35">
      <c r="A2535" s="3">
        <v>1283669</v>
      </c>
      <c r="B2535" s="2" t="s">
        <v>12</v>
      </c>
      <c r="C2535">
        <v>27529</v>
      </c>
      <c r="D2535" s="2" t="s">
        <v>13</v>
      </c>
      <c r="E2535">
        <v>5</v>
      </c>
      <c r="F2535">
        <v>4</v>
      </c>
      <c r="G2535" s="4">
        <f>VALUE(SUBSTITUTE(SUBSTITUTE(Table1[[#This Row],[Price]],"$",""),",",""))</f>
        <v>1283669</v>
      </c>
      <c r="H2535" s="1">
        <f>Table1[[#This Row],[Price2]]/Table1[[#This Row],[Area]]</f>
        <v>934.25691411935952</v>
      </c>
      <c r="I2535">
        <v>1374</v>
      </c>
      <c r="J2535">
        <v>1993</v>
      </c>
      <c r="K2535">
        <v>38</v>
      </c>
      <c r="L2535" t="s">
        <v>30</v>
      </c>
      <c r="M2535" t="s">
        <v>1272</v>
      </c>
      <c r="N2535" s="2" t="s">
        <v>3031</v>
      </c>
      <c r="O2535" t="s">
        <v>3032</v>
      </c>
      <c r="P2535" t="s">
        <v>16</v>
      </c>
      <c r="Q2535">
        <v>934.25691411935952</v>
      </c>
      <c r="R2535">
        <f ca="1">YEAR(TODAY())-Table1[[#This Row],[Year Built]]</f>
        <v>33</v>
      </c>
      <c r="S2535" t="str">
        <f>IF(Table1[[#This Row],[Days on Market]] &lt; 30,"Fast",IF(Table1[[#This Row],[Days on Market]]&lt;= 90,"Average", "Slow"))</f>
        <v>Average</v>
      </c>
      <c r="T2535" t="str">
        <f>IF(Table1[[#This Row],[Price2]]&lt;500000,"Affordable",IF(Table1[[#This Row],[Price2]]&lt;1000000,"Mid range","Luxury"))</f>
        <v>Luxury</v>
      </c>
    </row>
    <row r="2536" spans="1:20" x14ac:dyDescent="0.35">
      <c r="A2536" s="3">
        <v>1284963</v>
      </c>
      <c r="B2536" s="2" t="s">
        <v>27</v>
      </c>
      <c r="C2536">
        <v>78338</v>
      </c>
      <c r="D2536" s="2" t="s">
        <v>18</v>
      </c>
      <c r="E2536">
        <v>1</v>
      </c>
      <c r="F2536">
        <v>3</v>
      </c>
      <c r="G2536" s="4">
        <f>VALUE(SUBSTITUTE(SUBSTITUTE(Table1[[#This Row],[Price]],"$",""),",",""))</f>
        <v>1284963</v>
      </c>
      <c r="H2536" s="1">
        <f>Table1[[#This Row],[Price2]]/Table1[[#This Row],[Area]]</f>
        <v>520.8605593838671</v>
      </c>
      <c r="I2536">
        <v>2467</v>
      </c>
      <c r="J2536">
        <v>1971</v>
      </c>
      <c r="K2536">
        <v>42</v>
      </c>
      <c r="L2536" t="s">
        <v>40</v>
      </c>
      <c r="M2536" t="s">
        <v>2010</v>
      </c>
      <c r="N2536" s="2" t="s">
        <v>3033</v>
      </c>
      <c r="O2536" t="s">
        <v>3034</v>
      </c>
      <c r="P2536" t="s">
        <v>26</v>
      </c>
      <c r="Q2536">
        <v>520.8605593838671</v>
      </c>
      <c r="R2536">
        <f ca="1">YEAR(TODAY())-Table1[[#This Row],[Year Built]]</f>
        <v>55</v>
      </c>
      <c r="S2536" t="str">
        <f>IF(Table1[[#This Row],[Days on Market]] &lt; 30,"Fast",IF(Table1[[#This Row],[Days on Market]]&lt;= 90,"Average", "Slow"))</f>
        <v>Average</v>
      </c>
      <c r="T2536" t="str">
        <f>IF(Table1[[#This Row],[Price2]]&lt;500000,"Affordable",IF(Table1[[#This Row],[Price2]]&lt;1000000,"Mid range","Luxury"))</f>
        <v>Luxury</v>
      </c>
    </row>
    <row r="2537" spans="1:20" x14ac:dyDescent="0.35">
      <c r="A2537" s="3">
        <v>1285395</v>
      </c>
      <c r="B2537" s="2" t="s">
        <v>27</v>
      </c>
      <c r="C2537">
        <v>23857</v>
      </c>
      <c r="D2537" s="2" t="s">
        <v>35</v>
      </c>
      <c r="E2537">
        <v>5</v>
      </c>
      <c r="F2537">
        <v>1</v>
      </c>
      <c r="G2537" s="4">
        <f>VALUE(SUBSTITUTE(SUBSTITUTE(Table1[[#This Row],[Price]],"$",""),",",""))</f>
        <v>1285395</v>
      </c>
      <c r="H2537" s="1">
        <f>Table1[[#This Row],[Price2]]/Table1[[#This Row],[Area]]</f>
        <v>616.49640287769785</v>
      </c>
      <c r="I2537">
        <v>2085</v>
      </c>
      <c r="J2537">
        <v>1974</v>
      </c>
      <c r="K2537">
        <v>7</v>
      </c>
      <c r="L2537" t="s">
        <v>14</v>
      </c>
      <c r="M2537" t="s">
        <v>1597</v>
      </c>
      <c r="N2537" s="2" t="s">
        <v>3027</v>
      </c>
      <c r="O2537" t="s">
        <v>3028</v>
      </c>
      <c r="P2537" t="s">
        <v>26</v>
      </c>
      <c r="Q2537">
        <v>616.49640287769785</v>
      </c>
      <c r="R2537">
        <f ca="1">YEAR(TODAY())-Table1[[#This Row],[Year Built]]</f>
        <v>52</v>
      </c>
      <c r="S2537" t="str">
        <f>IF(Table1[[#This Row],[Days on Market]] &lt; 30,"Fast",IF(Table1[[#This Row],[Days on Market]]&lt;= 90,"Average", "Slow"))</f>
        <v>Fast</v>
      </c>
      <c r="T2537" t="str">
        <f>IF(Table1[[#This Row],[Price2]]&lt;500000,"Affordable",IF(Table1[[#This Row],[Price2]]&lt;1000000,"Mid range","Luxury"))</f>
        <v>Luxury</v>
      </c>
    </row>
    <row r="2538" spans="1:20" x14ac:dyDescent="0.35">
      <c r="A2538" s="3">
        <v>1285850</v>
      </c>
      <c r="B2538" s="2" t="s">
        <v>17</v>
      </c>
      <c r="C2538">
        <v>19568</v>
      </c>
      <c r="D2538" s="2" t="s">
        <v>23</v>
      </c>
      <c r="E2538">
        <v>5</v>
      </c>
      <c r="F2538">
        <v>3</v>
      </c>
      <c r="G2538" s="4">
        <f>VALUE(SUBSTITUTE(SUBSTITUTE(Table1[[#This Row],[Price]],"$",""),",",""))</f>
        <v>1285850</v>
      </c>
      <c r="H2538" s="1">
        <f>Table1[[#This Row],[Price2]]/Table1[[#This Row],[Area]]</f>
        <v>1117.1589921807124</v>
      </c>
      <c r="I2538">
        <v>1151</v>
      </c>
      <c r="J2538">
        <v>2016</v>
      </c>
      <c r="K2538">
        <v>56</v>
      </c>
      <c r="L2538" t="s">
        <v>19</v>
      </c>
      <c r="M2538" t="s">
        <v>1979</v>
      </c>
      <c r="N2538" s="2" t="s">
        <v>3027</v>
      </c>
      <c r="O2538" t="s">
        <v>3028</v>
      </c>
      <c r="P2538" t="s">
        <v>16</v>
      </c>
      <c r="Q2538">
        <v>1117.1589921807124</v>
      </c>
      <c r="R2538">
        <f ca="1">YEAR(TODAY())-Table1[[#This Row],[Year Built]]</f>
        <v>10</v>
      </c>
      <c r="S2538" t="str">
        <f>IF(Table1[[#This Row],[Days on Market]] &lt; 30,"Fast",IF(Table1[[#This Row],[Days on Market]]&lt;= 90,"Average", "Slow"))</f>
        <v>Average</v>
      </c>
      <c r="T2538" t="str">
        <f>IF(Table1[[#This Row],[Price2]]&lt;500000,"Affordable",IF(Table1[[#This Row],[Price2]]&lt;1000000,"Mid range","Luxury"))</f>
        <v>Luxury</v>
      </c>
    </row>
    <row r="2539" spans="1:20" x14ac:dyDescent="0.35">
      <c r="A2539" s="3">
        <v>1286048</v>
      </c>
      <c r="B2539" s="2" t="s">
        <v>27</v>
      </c>
      <c r="C2539">
        <v>54147</v>
      </c>
      <c r="D2539" s="2" t="s">
        <v>23</v>
      </c>
      <c r="E2539">
        <v>4</v>
      </c>
      <c r="F2539">
        <v>4</v>
      </c>
      <c r="G2539" s="4">
        <f>VALUE(SUBSTITUTE(SUBSTITUTE(Table1[[#This Row],[Price]],"$",""),",",""))</f>
        <v>1286048</v>
      </c>
      <c r="H2539" s="1">
        <f>Table1[[#This Row],[Price2]]/Table1[[#This Row],[Area]]</f>
        <v>328.24093925472181</v>
      </c>
      <c r="I2539">
        <v>3918</v>
      </c>
      <c r="J2539">
        <v>1965</v>
      </c>
      <c r="K2539">
        <v>23</v>
      </c>
      <c r="L2539" t="s">
        <v>19</v>
      </c>
      <c r="M2539" t="s">
        <v>890</v>
      </c>
      <c r="N2539" s="2" t="s">
        <v>3031</v>
      </c>
      <c r="O2539" t="s">
        <v>3032</v>
      </c>
      <c r="P2539" t="s">
        <v>16</v>
      </c>
      <c r="Q2539">
        <v>328.24093925472181</v>
      </c>
      <c r="R2539">
        <f ca="1">YEAR(TODAY())-Table1[[#This Row],[Year Built]]</f>
        <v>61</v>
      </c>
      <c r="S2539" t="str">
        <f>IF(Table1[[#This Row],[Days on Market]] &lt; 30,"Fast",IF(Table1[[#This Row],[Days on Market]]&lt;= 90,"Average", "Slow"))</f>
        <v>Fast</v>
      </c>
      <c r="T2539" t="str">
        <f>IF(Table1[[#This Row],[Price2]]&lt;500000,"Affordable",IF(Table1[[#This Row],[Price2]]&lt;1000000,"Mid range","Luxury"))</f>
        <v>Luxury</v>
      </c>
    </row>
    <row r="2540" spans="1:20" x14ac:dyDescent="0.35">
      <c r="A2540" s="3">
        <v>1286157</v>
      </c>
      <c r="B2540" s="2" t="s">
        <v>12</v>
      </c>
      <c r="C2540">
        <v>66947</v>
      </c>
      <c r="D2540" s="2" t="s">
        <v>13</v>
      </c>
      <c r="E2540">
        <v>2</v>
      </c>
      <c r="F2540">
        <v>1</v>
      </c>
      <c r="G2540" s="4">
        <f>VALUE(SUBSTITUTE(SUBSTITUTE(Table1[[#This Row],[Price]],"$",""),",",""))</f>
        <v>1286157</v>
      </c>
      <c r="H2540" s="1">
        <f>Table1[[#This Row],[Price2]]/Table1[[#This Row],[Area]]</f>
        <v>1138.19203539823</v>
      </c>
      <c r="I2540">
        <v>1130</v>
      </c>
      <c r="J2540">
        <v>2008</v>
      </c>
      <c r="K2540">
        <v>15</v>
      </c>
      <c r="L2540" t="s">
        <v>19</v>
      </c>
      <c r="M2540" t="s">
        <v>72</v>
      </c>
      <c r="N2540" s="2" t="s">
        <v>3029</v>
      </c>
      <c r="O2540" t="s">
        <v>3030</v>
      </c>
      <c r="P2540" t="s">
        <v>26</v>
      </c>
      <c r="Q2540">
        <v>1138.19203539823</v>
      </c>
      <c r="R2540">
        <f ca="1">YEAR(TODAY())-Table1[[#This Row],[Year Built]]</f>
        <v>18</v>
      </c>
      <c r="S2540" t="str">
        <f>IF(Table1[[#This Row],[Days on Market]] &lt; 30,"Fast",IF(Table1[[#This Row],[Days on Market]]&lt;= 90,"Average", "Slow"))</f>
        <v>Fast</v>
      </c>
      <c r="T2540" t="str">
        <f>IF(Table1[[#This Row],[Price2]]&lt;500000,"Affordable",IF(Table1[[#This Row],[Price2]]&lt;1000000,"Mid range","Luxury"))</f>
        <v>Luxury</v>
      </c>
    </row>
    <row r="2541" spans="1:20" x14ac:dyDescent="0.35">
      <c r="A2541" s="3">
        <v>1286329</v>
      </c>
      <c r="B2541" s="2" t="s">
        <v>27</v>
      </c>
      <c r="C2541">
        <v>35510</v>
      </c>
      <c r="D2541" s="2" t="s">
        <v>13</v>
      </c>
      <c r="E2541">
        <v>1</v>
      </c>
      <c r="F2541">
        <v>2</v>
      </c>
      <c r="G2541" s="4">
        <f>VALUE(SUBSTITUTE(SUBSTITUTE(Table1[[#This Row],[Price]],"$",""),",",""))</f>
        <v>1286329</v>
      </c>
      <c r="H2541" s="1">
        <f>Table1[[#This Row],[Price2]]/Table1[[#This Row],[Area]]</f>
        <v>505.23527101335429</v>
      </c>
      <c r="I2541">
        <v>2546</v>
      </c>
      <c r="J2541">
        <v>2020</v>
      </c>
      <c r="K2541">
        <v>93</v>
      </c>
      <c r="L2541" t="s">
        <v>40</v>
      </c>
      <c r="M2541" t="s">
        <v>2770</v>
      </c>
      <c r="N2541" s="2" t="s">
        <v>3035</v>
      </c>
      <c r="O2541" t="s">
        <v>3036</v>
      </c>
      <c r="P2541" t="s">
        <v>21</v>
      </c>
      <c r="Q2541">
        <v>505.23527101335429</v>
      </c>
      <c r="R2541">
        <f ca="1">YEAR(TODAY())-Table1[[#This Row],[Year Built]]</f>
        <v>6</v>
      </c>
      <c r="S2541" t="str">
        <f>IF(Table1[[#This Row],[Days on Market]] &lt; 30,"Fast",IF(Table1[[#This Row],[Days on Market]]&lt;= 90,"Average", "Slow"))</f>
        <v>Slow</v>
      </c>
      <c r="T2541" t="str">
        <f>IF(Table1[[#This Row],[Price2]]&lt;500000,"Affordable",IF(Table1[[#This Row],[Price2]]&lt;1000000,"Mid range","Luxury"))</f>
        <v>Luxury</v>
      </c>
    </row>
    <row r="2542" spans="1:20" x14ac:dyDescent="0.35">
      <c r="A2542" s="3">
        <v>1287048</v>
      </c>
      <c r="B2542" s="2" t="s">
        <v>12</v>
      </c>
      <c r="C2542">
        <v>62025</v>
      </c>
      <c r="D2542" s="2" t="s">
        <v>35</v>
      </c>
      <c r="E2542">
        <v>5</v>
      </c>
      <c r="F2542">
        <v>2</v>
      </c>
      <c r="G2542" s="4">
        <f>VALUE(SUBSTITUTE(SUBSTITUTE(Table1[[#This Row],[Price]],"$",""),",",""))</f>
        <v>1287048</v>
      </c>
      <c r="H2542" s="1">
        <f>Table1[[#This Row],[Price2]]/Table1[[#This Row],[Area]]</f>
        <v>520.22958771220692</v>
      </c>
      <c r="I2542">
        <v>2474</v>
      </c>
      <c r="J2542">
        <v>1989</v>
      </c>
      <c r="K2542">
        <v>57</v>
      </c>
      <c r="L2542" t="s">
        <v>52</v>
      </c>
      <c r="M2542" t="s">
        <v>1079</v>
      </c>
      <c r="N2542" s="2" t="s">
        <v>3035</v>
      </c>
      <c r="O2542" t="s">
        <v>3036</v>
      </c>
      <c r="P2542" t="s">
        <v>21</v>
      </c>
      <c r="Q2542">
        <v>520.22958771220692</v>
      </c>
      <c r="R2542">
        <f ca="1">YEAR(TODAY())-Table1[[#This Row],[Year Built]]</f>
        <v>37</v>
      </c>
      <c r="S2542" t="str">
        <f>IF(Table1[[#This Row],[Days on Market]] &lt; 30,"Fast",IF(Table1[[#This Row],[Days on Market]]&lt;= 90,"Average", "Slow"))</f>
        <v>Average</v>
      </c>
      <c r="T2542" t="str">
        <f>IF(Table1[[#This Row],[Price2]]&lt;500000,"Affordable",IF(Table1[[#This Row],[Price2]]&lt;1000000,"Mid range","Luxury"))</f>
        <v>Luxury</v>
      </c>
    </row>
    <row r="2543" spans="1:20" x14ac:dyDescent="0.35">
      <c r="A2543" s="3">
        <v>1288078</v>
      </c>
      <c r="B2543" s="2" t="s">
        <v>12</v>
      </c>
      <c r="C2543">
        <v>29707</v>
      </c>
      <c r="D2543" s="2" t="s">
        <v>13</v>
      </c>
      <c r="E2543">
        <v>5</v>
      </c>
      <c r="F2543">
        <v>3</v>
      </c>
      <c r="G2543" s="4">
        <f>VALUE(SUBSTITUTE(SUBSTITUTE(Table1[[#This Row],[Price]],"$",""),",",""))</f>
        <v>1288078</v>
      </c>
      <c r="H2543" s="1">
        <f>Table1[[#This Row],[Price2]]/Table1[[#This Row],[Area]]</f>
        <v>626.80194647201949</v>
      </c>
      <c r="I2543">
        <v>2055</v>
      </c>
      <c r="J2543">
        <v>1970</v>
      </c>
      <c r="K2543">
        <v>25</v>
      </c>
      <c r="L2543" t="s">
        <v>52</v>
      </c>
      <c r="M2543" t="s">
        <v>2012</v>
      </c>
      <c r="N2543" s="2" t="s">
        <v>3033</v>
      </c>
      <c r="O2543" t="s">
        <v>3034</v>
      </c>
      <c r="P2543" t="s">
        <v>21</v>
      </c>
      <c r="Q2543">
        <v>626.80194647201949</v>
      </c>
      <c r="R2543">
        <f ca="1">YEAR(TODAY())-Table1[[#This Row],[Year Built]]</f>
        <v>56</v>
      </c>
      <c r="S2543" t="str">
        <f>IF(Table1[[#This Row],[Days on Market]] &lt; 30,"Fast",IF(Table1[[#This Row],[Days on Market]]&lt;= 90,"Average", "Slow"))</f>
        <v>Fast</v>
      </c>
      <c r="T2543" t="str">
        <f>IF(Table1[[#This Row],[Price2]]&lt;500000,"Affordable",IF(Table1[[#This Row],[Price2]]&lt;1000000,"Mid range","Luxury"))</f>
        <v>Luxury</v>
      </c>
    </row>
    <row r="2544" spans="1:20" x14ac:dyDescent="0.35">
      <c r="A2544" s="3">
        <v>1288394</v>
      </c>
      <c r="B2544" s="2" t="s">
        <v>34</v>
      </c>
      <c r="C2544">
        <v>14524</v>
      </c>
      <c r="D2544" s="2" t="s">
        <v>18</v>
      </c>
      <c r="E2544">
        <v>1</v>
      </c>
      <c r="F2544">
        <v>2</v>
      </c>
      <c r="G2544" s="4">
        <f>VALUE(SUBSTITUTE(SUBSTITUTE(Table1[[#This Row],[Price]],"$",""),",",""))</f>
        <v>1288394</v>
      </c>
      <c r="H2544" s="1">
        <f>Table1[[#This Row],[Price2]]/Table1[[#This Row],[Area]]</f>
        <v>425.91537190082647</v>
      </c>
      <c r="I2544">
        <v>3025</v>
      </c>
      <c r="J2544">
        <v>1988</v>
      </c>
      <c r="K2544">
        <v>61</v>
      </c>
      <c r="L2544" t="s">
        <v>14</v>
      </c>
      <c r="M2544" t="s">
        <v>2631</v>
      </c>
      <c r="N2544" s="2" t="s">
        <v>3033</v>
      </c>
      <c r="O2544" t="s">
        <v>3034</v>
      </c>
      <c r="P2544" t="s">
        <v>21</v>
      </c>
      <c r="Q2544">
        <v>425.91537190082647</v>
      </c>
      <c r="R2544">
        <f ca="1">YEAR(TODAY())-Table1[[#This Row],[Year Built]]</f>
        <v>38</v>
      </c>
      <c r="S2544" t="str">
        <f>IF(Table1[[#This Row],[Days on Market]] &lt; 30,"Fast",IF(Table1[[#This Row],[Days on Market]]&lt;= 90,"Average", "Slow"))</f>
        <v>Average</v>
      </c>
      <c r="T2544" t="str">
        <f>IF(Table1[[#This Row],[Price2]]&lt;500000,"Affordable",IF(Table1[[#This Row],[Price2]]&lt;1000000,"Mid range","Luxury"))</f>
        <v>Luxury</v>
      </c>
    </row>
    <row r="2545" spans="1:20" x14ac:dyDescent="0.35">
      <c r="A2545" s="3">
        <v>1288890</v>
      </c>
      <c r="B2545" s="2" t="s">
        <v>27</v>
      </c>
      <c r="C2545">
        <v>72493</v>
      </c>
      <c r="D2545" s="2" t="s">
        <v>23</v>
      </c>
      <c r="E2545">
        <v>6</v>
      </c>
      <c r="F2545">
        <v>2</v>
      </c>
      <c r="G2545" s="4">
        <f>VALUE(SUBSTITUTE(SUBSTITUTE(Table1[[#This Row],[Price]],"$",""),",",""))</f>
        <v>1288890</v>
      </c>
      <c r="H2545" s="1">
        <f>Table1[[#This Row],[Price2]]/Table1[[#This Row],[Area]]</f>
        <v>923.93548387096769</v>
      </c>
      <c r="I2545">
        <v>1395</v>
      </c>
      <c r="J2545">
        <v>1956</v>
      </c>
      <c r="K2545">
        <v>74</v>
      </c>
      <c r="L2545" t="s">
        <v>14</v>
      </c>
      <c r="M2545" t="s">
        <v>1474</v>
      </c>
      <c r="N2545" s="2" t="s">
        <v>3027</v>
      </c>
      <c r="O2545" t="s">
        <v>3028</v>
      </c>
      <c r="P2545" t="s">
        <v>26</v>
      </c>
      <c r="Q2545">
        <v>923.93548387096769</v>
      </c>
      <c r="R2545">
        <f ca="1">YEAR(TODAY())-Table1[[#This Row],[Year Built]]</f>
        <v>70</v>
      </c>
      <c r="S2545" t="str">
        <f>IF(Table1[[#This Row],[Days on Market]] &lt; 30,"Fast",IF(Table1[[#This Row],[Days on Market]]&lt;= 90,"Average", "Slow"))</f>
        <v>Average</v>
      </c>
      <c r="T2545" t="str">
        <f>IF(Table1[[#This Row],[Price2]]&lt;500000,"Affordable",IF(Table1[[#This Row],[Price2]]&lt;1000000,"Mid range","Luxury"))</f>
        <v>Luxury</v>
      </c>
    </row>
    <row r="2546" spans="1:20" x14ac:dyDescent="0.35">
      <c r="A2546" s="3">
        <v>1289111</v>
      </c>
      <c r="B2546" s="2" t="s">
        <v>17</v>
      </c>
      <c r="C2546">
        <v>59825</v>
      </c>
      <c r="D2546" s="2" t="s">
        <v>35</v>
      </c>
      <c r="E2546">
        <v>3</v>
      </c>
      <c r="F2546">
        <v>3</v>
      </c>
      <c r="G2546" s="4">
        <f>VALUE(SUBSTITUTE(SUBSTITUTE(Table1[[#This Row],[Price]],"$",""),",",""))</f>
        <v>1289111</v>
      </c>
      <c r="H2546" s="1">
        <f>Table1[[#This Row],[Price2]]/Table1[[#This Row],[Area]]</f>
        <v>1176.1961678832117</v>
      </c>
      <c r="I2546">
        <v>1096</v>
      </c>
      <c r="J2546">
        <v>2006</v>
      </c>
      <c r="K2546">
        <v>109</v>
      </c>
      <c r="L2546" t="s">
        <v>30</v>
      </c>
      <c r="M2546" t="s">
        <v>2272</v>
      </c>
      <c r="N2546" s="2" t="s">
        <v>3027</v>
      </c>
      <c r="O2546" t="s">
        <v>3028</v>
      </c>
      <c r="P2546" t="s">
        <v>21</v>
      </c>
      <c r="Q2546">
        <v>1176.1961678832117</v>
      </c>
      <c r="R2546">
        <f ca="1">YEAR(TODAY())-Table1[[#This Row],[Year Built]]</f>
        <v>20</v>
      </c>
      <c r="S2546" t="str">
        <f>IF(Table1[[#This Row],[Days on Market]] &lt; 30,"Fast",IF(Table1[[#This Row],[Days on Market]]&lt;= 90,"Average", "Slow"))</f>
        <v>Slow</v>
      </c>
      <c r="T2546" t="str">
        <f>IF(Table1[[#This Row],[Price2]]&lt;500000,"Affordable",IF(Table1[[#This Row],[Price2]]&lt;1000000,"Mid range","Luxury"))</f>
        <v>Luxury</v>
      </c>
    </row>
    <row r="2547" spans="1:20" x14ac:dyDescent="0.35">
      <c r="A2547" s="3">
        <v>1289517</v>
      </c>
      <c r="B2547" s="2" t="s">
        <v>12</v>
      </c>
      <c r="C2547">
        <v>44148</v>
      </c>
      <c r="D2547" s="2" t="s">
        <v>29</v>
      </c>
      <c r="E2547">
        <v>1</v>
      </c>
      <c r="F2547">
        <v>4</v>
      </c>
      <c r="G2547" s="4">
        <f>VALUE(SUBSTITUTE(SUBSTITUTE(Table1[[#This Row],[Price]],"$",""),",",""))</f>
        <v>1289517</v>
      </c>
      <c r="H2547" s="1">
        <f>Table1[[#This Row],[Price2]]/Table1[[#This Row],[Area]]</f>
        <v>1816.2211267605635</v>
      </c>
      <c r="I2547">
        <v>710</v>
      </c>
      <c r="J2547">
        <v>1976</v>
      </c>
      <c r="K2547">
        <v>7</v>
      </c>
      <c r="L2547" t="s">
        <v>30</v>
      </c>
      <c r="M2547" t="s">
        <v>1027</v>
      </c>
      <c r="N2547" s="2" t="s">
        <v>3029</v>
      </c>
      <c r="O2547" t="s">
        <v>3030</v>
      </c>
      <c r="P2547" t="s">
        <v>26</v>
      </c>
      <c r="Q2547">
        <v>1816.2211267605635</v>
      </c>
      <c r="R2547">
        <f ca="1">YEAR(TODAY())-Table1[[#This Row],[Year Built]]</f>
        <v>50</v>
      </c>
      <c r="S2547" t="str">
        <f>IF(Table1[[#This Row],[Days on Market]] &lt; 30,"Fast",IF(Table1[[#This Row],[Days on Market]]&lt;= 90,"Average", "Slow"))</f>
        <v>Fast</v>
      </c>
      <c r="T2547" t="str">
        <f>IF(Table1[[#This Row],[Price2]]&lt;500000,"Affordable",IF(Table1[[#This Row],[Price2]]&lt;1000000,"Mid range","Luxury"))</f>
        <v>Luxury</v>
      </c>
    </row>
    <row r="2548" spans="1:20" x14ac:dyDescent="0.35">
      <c r="A2548" s="3">
        <v>1289770</v>
      </c>
      <c r="B2548" s="2" t="s">
        <v>27</v>
      </c>
      <c r="C2548">
        <v>83301</v>
      </c>
      <c r="D2548" s="2" t="s">
        <v>18</v>
      </c>
      <c r="E2548">
        <v>3</v>
      </c>
      <c r="F2548">
        <v>2</v>
      </c>
      <c r="G2548" s="4">
        <f>VALUE(SUBSTITUTE(SUBSTITUTE(Table1[[#This Row],[Price]],"$",""),",",""))</f>
        <v>1289770</v>
      </c>
      <c r="H2548" s="1">
        <f>Table1[[#This Row],[Price2]]/Table1[[#This Row],[Area]]</f>
        <v>345.96834763948499</v>
      </c>
      <c r="I2548">
        <v>3728</v>
      </c>
      <c r="J2548">
        <v>1980</v>
      </c>
      <c r="K2548">
        <v>50</v>
      </c>
      <c r="L2548" t="s">
        <v>40</v>
      </c>
      <c r="M2548" t="s">
        <v>182</v>
      </c>
      <c r="N2548" s="2" t="s">
        <v>3035</v>
      </c>
      <c r="O2548" t="s">
        <v>3036</v>
      </c>
      <c r="P2548" t="s">
        <v>16</v>
      </c>
      <c r="Q2548">
        <v>345.96834763948499</v>
      </c>
      <c r="R2548">
        <f ca="1">YEAR(TODAY())-Table1[[#This Row],[Year Built]]</f>
        <v>46</v>
      </c>
      <c r="S2548" t="str">
        <f>IF(Table1[[#This Row],[Days on Market]] &lt; 30,"Fast",IF(Table1[[#This Row],[Days on Market]]&lt;= 90,"Average", "Slow"))</f>
        <v>Average</v>
      </c>
      <c r="T2548" t="str">
        <f>IF(Table1[[#This Row],[Price2]]&lt;500000,"Affordable",IF(Table1[[#This Row],[Price2]]&lt;1000000,"Mid range","Luxury"))</f>
        <v>Luxury</v>
      </c>
    </row>
    <row r="2549" spans="1:20" x14ac:dyDescent="0.35">
      <c r="A2549" s="3">
        <v>1291690</v>
      </c>
      <c r="B2549" s="2" t="s">
        <v>12</v>
      </c>
      <c r="C2549">
        <v>19349</v>
      </c>
      <c r="D2549" s="2" t="s">
        <v>35</v>
      </c>
      <c r="E2549">
        <v>6</v>
      </c>
      <c r="F2549">
        <v>4</v>
      </c>
      <c r="G2549" s="4">
        <f>VALUE(SUBSTITUTE(SUBSTITUTE(Table1[[#This Row],[Price]],"$",""),",",""))</f>
        <v>1291690</v>
      </c>
      <c r="H2549" s="1">
        <f>Table1[[#This Row],[Price2]]/Table1[[#This Row],[Area]]</f>
        <v>956.09918578830491</v>
      </c>
      <c r="I2549">
        <v>1351</v>
      </c>
      <c r="J2549">
        <v>1961</v>
      </c>
      <c r="K2549">
        <v>88</v>
      </c>
      <c r="L2549" t="s">
        <v>40</v>
      </c>
      <c r="M2549" t="s">
        <v>2085</v>
      </c>
      <c r="N2549" s="2" t="s">
        <v>3027</v>
      </c>
      <c r="O2549" t="s">
        <v>3028</v>
      </c>
      <c r="P2549" t="s">
        <v>21</v>
      </c>
      <c r="Q2549">
        <v>956.09918578830491</v>
      </c>
      <c r="R2549">
        <f ca="1">YEAR(TODAY())-Table1[[#This Row],[Year Built]]</f>
        <v>65</v>
      </c>
      <c r="S2549" t="str">
        <f>IF(Table1[[#This Row],[Days on Market]] &lt; 30,"Fast",IF(Table1[[#This Row],[Days on Market]]&lt;= 90,"Average", "Slow"))</f>
        <v>Average</v>
      </c>
      <c r="T2549" t="str">
        <f>IF(Table1[[#This Row],[Price2]]&lt;500000,"Affordable",IF(Table1[[#This Row],[Price2]]&lt;1000000,"Mid range","Luxury"))</f>
        <v>Luxury</v>
      </c>
    </row>
    <row r="2550" spans="1:20" x14ac:dyDescent="0.35">
      <c r="A2550" s="3">
        <v>1292371</v>
      </c>
      <c r="B2550" s="2" t="s">
        <v>17</v>
      </c>
      <c r="C2550">
        <v>35646</v>
      </c>
      <c r="D2550" s="2" t="s">
        <v>23</v>
      </c>
      <c r="E2550">
        <v>2</v>
      </c>
      <c r="F2550">
        <v>2</v>
      </c>
      <c r="G2550" s="4">
        <f>VALUE(SUBSTITUTE(SUBSTITUTE(Table1[[#This Row],[Price]],"$",""),",",""))</f>
        <v>1292371</v>
      </c>
      <c r="H2550" s="1">
        <f>Table1[[#This Row],[Price2]]/Table1[[#This Row],[Area]]</f>
        <v>374.60028985507245</v>
      </c>
      <c r="I2550">
        <v>3450</v>
      </c>
      <c r="J2550">
        <v>1968</v>
      </c>
      <c r="K2550">
        <v>110</v>
      </c>
      <c r="L2550" t="s">
        <v>19</v>
      </c>
      <c r="M2550" t="s">
        <v>2074</v>
      </c>
      <c r="N2550" s="2" t="s">
        <v>3027</v>
      </c>
      <c r="O2550" t="s">
        <v>3028</v>
      </c>
      <c r="P2550" t="s">
        <v>16</v>
      </c>
      <c r="Q2550">
        <v>374.60028985507245</v>
      </c>
      <c r="R2550">
        <f ca="1">YEAR(TODAY())-Table1[[#This Row],[Year Built]]</f>
        <v>58</v>
      </c>
      <c r="S2550" t="str">
        <f>IF(Table1[[#This Row],[Days on Market]] &lt; 30,"Fast",IF(Table1[[#This Row],[Days on Market]]&lt;= 90,"Average", "Slow"))</f>
        <v>Slow</v>
      </c>
      <c r="T2550" t="str">
        <f>IF(Table1[[#This Row],[Price2]]&lt;500000,"Affordable",IF(Table1[[#This Row],[Price2]]&lt;1000000,"Mid range","Luxury"))</f>
        <v>Luxury</v>
      </c>
    </row>
    <row r="2551" spans="1:20" x14ac:dyDescent="0.35">
      <c r="A2551" s="3">
        <v>1292907</v>
      </c>
      <c r="B2551" s="2" t="s">
        <v>17</v>
      </c>
      <c r="C2551">
        <v>42023</v>
      </c>
      <c r="D2551" s="2" t="s">
        <v>13</v>
      </c>
      <c r="E2551">
        <v>6</v>
      </c>
      <c r="F2551">
        <v>2</v>
      </c>
      <c r="G2551" s="4">
        <f>VALUE(SUBSTITUTE(SUBSTITUTE(Table1[[#This Row],[Price]],"$",""),",",""))</f>
        <v>1292907</v>
      </c>
      <c r="H2551" s="1">
        <f>Table1[[#This Row],[Price2]]/Table1[[#This Row],[Area]]</f>
        <v>587.41799182189914</v>
      </c>
      <c r="I2551">
        <v>2201</v>
      </c>
      <c r="J2551">
        <v>1954</v>
      </c>
      <c r="K2551">
        <v>25</v>
      </c>
      <c r="L2551" t="s">
        <v>52</v>
      </c>
      <c r="M2551" t="s">
        <v>1420</v>
      </c>
      <c r="N2551" s="2" t="s">
        <v>3027</v>
      </c>
      <c r="O2551" t="s">
        <v>3028</v>
      </c>
      <c r="P2551" t="s">
        <v>21</v>
      </c>
      <c r="Q2551">
        <v>587.41799182189914</v>
      </c>
      <c r="R2551">
        <f ca="1">YEAR(TODAY())-Table1[[#This Row],[Year Built]]</f>
        <v>72</v>
      </c>
      <c r="S2551" t="str">
        <f>IF(Table1[[#This Row],[Days on Market]] &lt; 30,"Fast",IF(Table1[[#This Row],[Days on Market]]&lt;= 90,"Average", "Slow"))</f>
        <v>Fast</v>
      </c>
      <c r="T2551" t="str">
        <f>IF(Table1[[#This Row],[Price2]]&lt;500000,"Affordable",IF(Table1[[#This Row],[Price2]]&lt;1000000,"Mid range","Luxury"))</f>
        <v>Luxury</v>
      </c>
    </row>
    <row r="2552" spans="1:20" x14ac:dyDescent="0.35">
      <c r="A2552" s="3">
        <v>1293272</v>
      </c>
      <c r="B2552" s="2" t="s">
        <v>12</v>
      </c>
      <c r="C2552">
        <v>91305</v>
      </c>
      <c r="D2552" s="2" t="s">
        <v>23</v>
      </c>
      <c r="E2552">
        <v>1</v>
      </c>
      <c r="F2552">
        <v>3</v>
      </c>
      <c r="G2552" s="4">
        <f>VALUE(SUBSTITUTE(SUBSTITUTE(Table1[[#This Row],[Price]],"$",""),",",""))</f>
        <v>1293272</v>
      </c>
      <c r="H2552" s="1">
        <f>Table1[[#This Row],[Price2]]/Table1[[#This Row],[Area]]</f>
        <v>1288.1195219123506</v>
      </c>
      <c r="I2552">
        <v>1004</v>
      </c>
      <c r="J2552">
        <v>1982</v>
      </c>
      <c r="K2552">
        <v>28</v>
      </c>
      <c r="L2552" t="s">
        <v>19</v>
      </c>
      <c r="M2552" t="s">
        <v>83</v>
      </c>
      <c r="N2552" s="2" t="s">
        <v>3031</v>
      </c>
      <c r="O2552" t="s">
        <v>3032</v>
      </c>
      <c r="P2552" t="s">
        <v>26</v>
      </c>
      <c r="Q2552">
        <v>1288.1195219123506</v>
      </c>
      <c r="R2552">
        <f ca="1">YEAR(TODAY())-Table1[[#This Row],[Year Built]]</f>
        <v>44</v>
      </c>
      <c r="S2552" t="str">
        <f>IF(Table1[[#This Row],[Days on Market]] &lt; 30,"Fast",IF(Table1[[#This Row],[Days on Market]]&lt;= 90,"Average", "Slow"))</f>
        <v>Fast</v>
      </c>
      <c r="T2552" t="str">
        <f>IF(Table1[[#This Row],[Price2]]&lt;500000,"Affordable",IF(Table1[[#This Row],[Price2]]&lt;1000000,"Mid range","Luxury"))</f>
        <v>Luxury</v>
      </c>
    </row>
    <row r="2553" spans="1:20" x14ac:dyDescent="0.35">
      <c r="A2553" s="3">
        <v>1293478</v>
      </c>
      <c r="B2553" s="2" t="s">
        <v>17</v>
      </c>
      <c r="C2553">
        <v>36565</v>
      </c>
      <c r="D2553" s="2" t="s">
        <v>29</v>
      </c>
      <c r="E2553">
        <v>2</v>
      </c>
      <c r="F2553">
        <v>1</v>
      </c>
      <c r="G2553" s="4">
        <f>VALUE(SUBSTITUTE(SUBSTITUTE(Table1[[#This Row],[Price]],"$",""),",",""))</f>
        <v>1293478</v>
      </c>
      <c r="H2553" s="1">
        <f>Table1[[#This Row],[Price2]]/Table1[[#This Row],[Area]]</f>
        <v>562.62635928664633</v>
      </c>
      <c r="I2553">
        <v>2299</v>
      </c>
      <c r="J2553">
        <v>2009</v>
      </c>
      <c r="K2553">
        <v>66</v>
      </c>
      <c r="L2553" t="s">
        <v>52</v>
      </c>
      <c r="M2553" t="s">
        <v>1785</v>
      </c>
      <c r="N2553" s="2" t="s">
        <v>3029</v>
      </c>
      <c r="O2553" t="s">
        <v>3030</v>
      </c>
      <c r="P2553" t="s">
        <v>26</v>
      </c>
      <c r="Q2553">
        <v>562.62635928664633</v>
      </c>
      <c r="R2553">
        <f ca="1">YEAR(TODAY())-Table1[[#This Row],[Year Built]]</f>
        <v>17</v>
      </c>
      <c r="S2553" t="str">
        <f>IF(Table1[[#This Row],[Days on Market]] &lt; 30,"Fast",IF(Table1[[#This Row],[Days on Market]]&lt;= 90,"Average", "Slow"))</f>
        <v>Average</v>
      </c>
      <c r="T2553" t="str">
        <f>IF(Table1[[#This Row],[Price2]]&lt;500000,"Affordable",IF(Table1[[#This Row],[Price2]]&lt;1000000,"Mid range","Luxury"))</f>
        <v>Luxury</v>
      </c>
    </row>
    <row r="2554" spans="1:20" x14ac:dyDescent="0.35">
      <c r="A2554" s="3">
        <v>1294331</v>
      </c>
      <c r="B2554" s="2" t="s">
        <v>27</v>
      </c>
      <c r="C2554">
        <v>67228</v>
      </c>
      <c r="D2554" s="2" t="s">
        <v>13</v>
      </c>
      <c r="E2554">
        <v>1</v>
      </c>
      <c r="F2554">
        <v>2</v>
      </c>
      <c r="G2554" s="4">
        <f>VALUE(SUBSTITUTE(SUBSTITUTE(Table1[[#This Row],[Price]],"$",""),",",""))</f>
        <v>1294331</v>
      </c>
      <c r="H2554" s="1">
        <f>Table1[[#This Row],[Price2]]/Table1[[#This Row],[Area]]</f>
        <v>344.87903010924595</v>
      </c>
      <c r="I2554">
        <v>3753</v>
      </c>
      <c r="J2554">
        <v>2003</v>
      </c>
      <c r="K2554">
        <v>118</v>
      </c>
      <c r="L2554" t="s">
        <v>19</v>
      </c>
      <c r="M2554" t="s">
        <v>2047</v>
      </c>
      <c r="N2554" s="2" t="s">
        <v>3035</v>
      </c>
      <c r="O2554" t="s">
        <v>3036</v>
      </c>
      <c r="P2554" t="s">
        <v>26</v>
      </c>
      <c r="Q2554">
        <v>344.87903010924595</v>
      </c>
      <c r="R2554">
        <f ca="1">YEAR(TODAY())-Table1[[#This Row],[Year Built]]</f>
        <v>23</v>
      </c>
      <c r="S2554" t="str">
        <f>IF(Table1[[#This Row],[Days on Market]] &lt; 30,"Fast",IF(Table1[[#This Row],[Days on Market]]&lt;= 90,"Average", "Slow"))</f>
        <v>Slow</v>
      </c>
      <c r="T2554" t="str">
        <f>IF(Table1[[#This Row],[Price2]]&lt;500000,"Affordable",IF(Table1[[#This Row],[Price2]]&lt;1000000,"Mid range","Luxury"))</f>
        <v>Luxury</v>
      </c>
    </row>
    <row r="2555" spans="1:20" x14ac:dyDescent="0.35">
      <c r="A2555" s="3">
        <v>1295690</v>
      </c>
      <c r="B2555" s="2" t="s">
        <v>27</v>
      </c>
      <c r="C2555">
        <v>35374</v>
      </c>
      <c r="D2555" s="2" t="s">
        <v>29</v>
      </c>
      <c r="E2555">
        <v>2</v>
      </c>
      <c r="F2555">
        <v>1</v>
      </c>
      <c r="G2555" s="4">
        <f>VALUE(SUBSTITUTE(SUBSTITUTE(Table1[[#This Row],[Price]],"$",""),",",""))</f>
        <v>1295690</v>
      </c>
      <c r="H2555" s="1">
        <f>Table1[[#This Row],[Price2]]/Table1[[#This Row],[Area]]</f>
        <v>655.7135627530364</v>
      </c>
      <c r="I2555">
        <v>1976</v>
      </c>
      <c r="J2555">
        <v>1966</v>
      </c>
      <c r="K2555">
        <v>102</v>
      </c>
      <c r="L2555" t="s">
        <v>14</v>
      </c>
      <c r="M2555" t="s">
        <v>2681</v>
      </c>
      <c r="N2555" s="2" t="s">
        <v>3029</v>
      </c>
      <c r="O2555" t="s">
        <v>3030</v>
      </c>
      <c r="P2555" t="s">
        <v>26</v>
      </c>
      <c r="Q2555">
        <v>655.7135627530364</v>
      </c>
      <c r="R2555">
        <f ca="1">YEAR(TODAY())-Table1[[#This Row],[Year Built]]</f>
        <v>60</v>
      </c>
      <c r="S2555" t="str">
        <f>IF(Table1[[#This Row],[Days on Market]] &lt; 30,"Fast",IF(Table1[[#This Row],[Days on Market]]&lt;= 90,"Average", "Slow"))</f>
        <v>Slow</v>
      </c>
      <c r="T2555" t="str">
        <f>IF(Table1[[#This Row],[Price2]]&lt;500000,"Affordable",IF(Table1[[#This Row],[Price2]]&lt;1000000,"Mid range","Luxury"))</f>
        <v>Luxury</v>
      </c>
    </row>
    <row r="2556" spans="1:20" x14ac:dyDescent="0.35">
      <c r="A2556" s="3">
        <v>1296346</v>
      </c>
      <c r="B2556" s="2" t="s">
        <v>27</v>
      </c>
      <c r="C2556">
        <v>24352</v>
      </c>
      <c r="D2556" s="2" t="s">
        <v>35</v>
      </c>
      <c r="E2556">
        <v>5</v>
      </c>
      <c r="F2556">
        <v>1</v>
      </c>
      <c r="G2556" s="4">
        <f>VALUE(SUBSTITUTE(SUBSTITUTE(Table1[[#This Row],[Price]],"$",""),",",""))</f>
        <v>1296346</v>
      </c>
      <c r="H2556" s="1">
        <f>Table1[[#This Row],[Price2]]/Table1[[#This Row],[Area]]</f>
        <v>401.09715346534654</v>
      </c>
      <c r="I2556">
        <v>3232</v>
      </c>
      <c r="J2556">
        <v>2019</v>
      </c>
      <c r="K2556">
        <v>43</v>
      </c>
      <c r="L2556" t="s">
        <v>30</v>
      </c>
      <c r="M2556" t="s">
        <v>167</v>
      </c>
      <c r="N2556" s="2" t="s">
        <v>3029</v>
      </c>
      <c r="O2556" t="s">
        <v>3030</v>
      </c>
      <c r="P2556" t="s">
        <v>16</v>
      </c>
      <c r="Q2556">
        <v>401.09715346534654</v>
      </c>
      <c r="R2556">
        <f ca="1">YEAR(TODAY())-Table1[[#This Row],[Year Built]]</f>
        <v>7</v>
      </c>
      <c r="S2556" t="str">
        <f>IF(Table1[[#This Row],[Days on Market]] &lt; 30,"Fast",IF(Table1[[#This Row],[Days on Market]]&lt;= 90,"Average", "Slow"))</f>
        <v>Average</v>
      </c>
      <c r="T2556" t="str">
        <f>IF(Table1[[#This Row],[Price2]]&lt;500000,"Affordable",IF(Table1[[#This Row],[Price2]]&lt;1000000,"Mid range","Luxury"))</f>
        <v>Luxury</v>
      </c>
    </row>
    <row r="2557" spans="1:20" x14ac:dyDescent="0.35">
      <c r="A2557" s="3">
        <v>1297513</v>
      </c>
      <c r="B2557" s="2" t="s">
        <v>17</v>
      </c>
      <c r="C2557">
        <v>17469</v>
      </c>
      <c r="D2557" s="2" t="s">
        <v>13</v>
      </c>
      <c r="E2557">
        <v>6</v>
      </c>
      <c r="F2557">
        <v>1</v>
      </c>
      <c r="G2557" s="4">
        <f>VALUE(SUBSTITUTE(SUBSTITUTE(Table1[[#This Row],[Price]],"$",""),",",""))</f>
        <v>1297513</v>
      </c>
      <c r="H2557" s="1">
        <f>Table1[[#This Row],[Price2]]/Table1[[#This Row],[Area]]</f>
        <v>667.78847143592384</v>
      </c>
      <c r="I2557">
        <v>1943</v>
      </c>
      <c r="J2557">
        <v>2015</v>
      </c>
      <c r="K2557">
        <v>31</v>
      </c>
      <c r="L2557" t="s">
        <v>52</v>
      </c>
      <c r="M2557" t="s">
        <v>2926</v>
      </c>
      <c r="N2557" s="2" t="s">
        <v>3031</v>
      </c>
      <c r="O2557" t="s">
        <v>3032</v>
      </c>
      <c r="P2557" t="s">
        <v>26</v>
      </c>
      <c r="Q2557">
        <v>667.78847143592384</v>
      </c>
      <c r="R2557">
        <f ca="1">YEAR(TODAY())-Table1[[#This Row],[Year Built]]</f>
        <v>11</v>
      </c>
      <c r="S2557" t="str">
        <f>IF(Table1[[#This Row],[Days on Market]] &lt; 30,"Fast",IF(Table1[[#This Row],[Days on Market]]&lt;= 90,"Average", "Slow"))</f>
        <v>Average</v>
      </c>
      <c r="T2557" t="str">
        <f>IF(Table1[[#This Row],[Price2]]&lt;500000,"Affordable",IF(Table1[[#This Row],[Price2]]&lt;1000000,"Mid range","Luxury"))</f>
        <v>Luxury</v>
      </c>
    </row>
    <row r="2558" spans="1:20" x14ac:dyDescent="0.35">
      <c r="A2558" s="3">
        <v>1300809</v>
      </c>
      <c r="B2558" s="2" t="s">
        <v>34</v>
      </c>
      <c r="C2558">
        <v>84532</v>
      </c>
      <c r="D2558" s="2" t="s">
        <v>13</v>
      </c>
      <c r="E2558">
        <v>5</v>
      </c>
      <c r="F2558">
        <v>4</v>
      </c>
      <c r="G2558" s="4">
        <f>VALUE(SUBSTITUTE(SUBSTITUTE(Table1[[#This Row],[Price]],"$",""),",",""))</f>
        <v>1300809</v>
      </c>
      <c r="H2558" s="1">
        <f>Table1[[#This Row],[Price2]]/Table1[[#This Row],[Area]]</f>
        <v>511.52536374360989</v>
      </c>
      <c r="I2558">
        <v>2543</v>
      </c>
      <c r="J2558">
        <v>2001</v>
      </c>
      <c r="K2558">
        <v>108</v>
      </c>
      <c r="L2558" t="s">
        <v>30</v>
      </c>
      <c r="M2558" t="s">
        <v>129</v>
      </c>
      <c r="N2558" s="2" t="s">
        <v>3031</v>
      </c>
      <c r="O2558" t="s">
        <v>3032</v>
      </c>
      <c r="P2558" t="s">
        <v>16</v>
      </c>
      <c r="Q2558">
        <v>511.52536374360989</v>
      </c>
      <c r="R2558">
        <f ca="1">YEAR(TODAY())-Table1[[#This Row],[Year Built]]</f>
        <v>25</v>
      </c>
      <c r="S2558" t="str">
        <f>IF(Table1[[#This Row],[Days on Market]] &lt; 30,"Fast",IF(Table1[[#This Row],[Days on Market]]&lt;= 90,"Average", "Slow"))</f>
        <v>Slow</v>
      </c>
      <c r="T2558" t="str">
        <f>IF(Table1[[#This Row],[Price2]]&lt;500000,"Affordable",IF(Table1[[#This Row],[Price2]]&lt;1000000,"Mid range","Luxury"))</f>
        <v>Luxury</v>
      </c>
    </row>
    <row r="2559" spans="1:20" x14ac:dyDescent="0.35">
      <c r="A2559" s="3">
        <v>1300827</v>
      </c>
      <c r="B2559" s="2" t="s">
        <v>22</v>
      </c>
      <c r="C2559">
        <v>75928</v>
      </c>
      <c r="D2559" s="2" t="s">
        <v>35</v>
      </c>
      <c r="E2559">
        <v>1</v>
      </c>
      <c r="F2559">
        <v>3</v>
      </c>
      <c r="G2559" s="4">
        <f>VALUE(SUBSTITUTE(SUBSTITUTE(Table1[[#This Row],[Price]],"$",""),",",""))</f>
        <v>1300827</v>
      </c>
      <c r="H2559" s="1">
        <f>Table1[[#This Row],[Price2]]/Table1[[#This Row],[Area]]</f>
        <v>520.33079999999995</v>
      </c>
      <c r="I2559">
        <v>2500</v>
      </c>
      <c r="J2559">
        <v>1950</v>
      </c>
      <c r="K2559">
        <v>94</v>
      </c>
      <c r="L2559" t="s">
        <v>19</v>
      </c>
      <c r="M2559" t="s">
        <v>379</v>
      </c>
      <c r="N2559" s="2" t="s">
        <v>3029</v>
      </c>
      <c r="O2559" t="s">
        <v>3030</v>
      </c>
      <c r="P2559" t="s">
        <v>26</v>
      </c>
      <c r="Q2559">
        <v>520.33079999999995</v>
      </c>
      <c r="R2559">
        <f ca="1">YEAR(TODAY())-Table1[[#This Row],[Year Built]]</f>
        <v>76</v>
      </c>
      <c r="S2559" t="str">
        <f>IF(Table1[[#This Row],[Days on Market]] &lt; 30,"Fast",IF(Table1[[#This Row],[Days on Market]]&lt;= 90,"Average", "Slow"))</f>
        <v>Slow</v>
      </c>
      <c r="T2559" t="str">
        <f>IF(Table1[[#This Row],[Price2]]&lt;500000,"Affordable",IF(Table1[[#This Row],[Price2]]&lt;1000000,"Mid range","Luxury"))</f>
        <v>Luxury</v>
      </c>
    </row>
    <row r="2560" spans="1:20" x14ac:dyDescent="0.35">
      <c r="A2560" s="3">
        <v>1301207</v>
      </c>
      <c r="B2560" s="2" t="s">
        <v>22</v>
      </c>
      <c r="C2560">
        <v>97624</v>
      </c>
      <c r="D2560" s="2" t="s">
        <v>23</v>
      </c>
      <c r="E2560">
        <v>5</v>
      </c>
      <c r="F2560">
        <v>4</v>
      </c>
      <c r="G2560" s="4">
        <f>VALUE(SUBSTITUTE(SUBSTITUTE(Table1[[#This Row],[Price]],"$",""),",",""))</f>
        <v>1301207</v>
      </c>
      <c r="H2560" s="1">
        <f>Table1[[#This Row],[Price2]]/Table1[[#This Row],[Area]]</f>
        <v>1974.5174506828528</v>
      </c>
      <c r="I2560">
        <v>659</v>
      </c>
      <c r="J2560">
        <v>1985</v>
      </c>
      <c r="K2560">
        <v>46</v>
      </c>
      <c r="L2560" t="s">
        <v>52</v>
      </c>
      <c r="M2560" t="s">
        <v>87</v>
      </c>
      <c r="N2560" s="2" t="s">
        <v>3035</v>
      </c>
      <c r="O2560" t="s">
        <v>3036</v>
      </c>
      <c r="P2560" t="s">
        <v>16</v>
      </c>
      <c r="Q2560">
        <v>1974.5174506828528</v>
      </c>
      <c r="R2560">
        <f ca="1">YEAR(TODAY())-Table1[[#This Row],[Year Built]]</f>
        <v>41</v>
      </c>
      <c r="S2560" t="str">
        <f>IF(Table1[[#This Row],[Days on Market]] &lt; 30,"Fast",IF(Table1[[#This Row],[Days on Market]]&lt;= 90,"Average", "Slow"))</f>
        <v>Average</v>
      </c>
      <c r="T2560" t="str">
        <f>IF(Table1[[#This Row],[Price2]]&lt;500000,"Affordable",IF(Table1[[#This Row],[Price2]]&lt;1000000,"Mid range","Luxury"))</f>
        <v>Luxury</v>
      </c>
    </row>
    <row r="2561" spans="1:20" x14ac:dyDescent="0.35">
      <c r="A2561" s="3">
        <v>1301461</v>
      </c>
      <c r="B2561" s="2" t="s">
        <v>27</v>
      </c>
      <c r="C2561">
        <v>73076</v>
      </c>
      <c r="D2561" s="2" t="s">
        <v>18</v>
      </c>
      <c r="E2561">
        <v>1</v>
      </c>
      <c r="F2561">
        <v>2</v>
      </c>
      <c r="G2561" s="4">
        <f>VALUE(SUBSTITUTE(SUBSTITUTE(Table1[[#This Row],[Price]],"$",""),",",""))</f>
        <v>1301461</v>
      </c>
      <c r="H2561" s="1">
        <f>Table1[[#This Row],[Price2]]/Table1[[#This Row],[Area]]</f>
        <v>1261.1056201550387</v>
      </c>
      <c r="I2561">
        <v>1032</v>
      </c>
      <c r="J2561">
        <v>2011</v>
      </c>
      <c r="K2561">
        <v>97</v>
      </c>
      <c r="L2561" t="s">
        <v>30</v>
      </c>
      <c r="M2561" t="s">
        <v>1421</v>
      </c>
      <c r="N2561" s="2" t="s">
        <v>3035</v>
      </c>
      <c r="O2561" t="s">
        <v>3036</v>
      </c>
      <c r="P2561" t="s">
        <v>16</v>
      </c>
      <c r="Q2561">
        <v>1261.1056201550387</v>
      </c>
      <c r="R2561">
        <f ca="1">YEAR(TODAY())-Table1[[#This Row],[Year Built]]</f>
        <v>15</v>
      </c>
      <c r="S2561" t="str">
        <f>IF(Table1[[#This Row],[Days on Market]] &lt; 30,"Fast",IF(Table1[[#This Row],[Days on Market]]&lt;= 90,"Average", "Slow"))</f>
        <v>Slow</v>
      </c>
      <c r="T2561" t="str">
        <f>IF(Table1[[#This Row],[Price2]]&lt;500000,"Affordable",IF(Table1[[#This Row],[Price2]]&lt;1000000,"Mid range","Luxury"))</f>
        <v>Luxury</v>
      </c>
    </row>
    <row r="2562" spans="1:20" x14ac:dyDescent="0.35">
      <c r="A2562" s="3">
        <v>1303467</v>
      </c>
      <c r="B2562" s="2" t="s">
        <v>22</v>
      </c>
      <c r="C2562">
        <v>44806</v>
      </c>
      <c r="D2562" s="2" t="s">
        <v>13</v>
      </c>
      <c r="E2562">
        <v>1</v>
      </c>
      <c r="F2562">
        <v>2</v>
      </c>
      <c r="G2562" s="4">
        <f>VALUE(SUBSTITUTE(SUBSTITUTE(Table1[[#This Row],[Price]],"$",""),",",""))</f>
        <v>1303467</v>
      </c>
      <c r="H2562" s="1">
        <f>Table1[[#This Row],[Price2]]/Table1[[#This Row],[Area]]</f>
        <v>387.13008613008611</v>
      </c>
      <c r="I2562">
        <v>3367</v>
      </c>
      <c r="J2562">
        <v>1969</v>
      </c>
      <c r="K2562">
        <v>6</v>
      </c>
      <c r="L2562" t="s">
        <v>19</v>
      </c>
      <c r="M2562" t="s">
        <v>722</v>
      </c>
      <c r="N2562" s="2" t="s">
        <v>3029</v>
      </c>
      <c r="O2562" t="s">
        <v>3030</v>
      </c>
      <c r="P2562" t="s">
        <v>26</v>
      </c>
      <c r="Q2562">
        <v>387.13008613008611</v>
      </c>
      <c r="R2562">
        <f ca="1">YEAR(TODAY())-Table1[[#This Row],[Year Built]]</f>
        <v>57</v>
      </c>
      <c r="S2562" t="str">
        <f>IF(Table1[[#This Row],[Days on Market]] &lt; 30,"Fast",IF(Table1[[#This Row],[Days on Market]]&lt;= 90,"Average", "Slow"))</f>
        <v>Fast</v>
      </c>
      <c r="T2562" t="str">
        <f>IF(Table1[[#This Row],[Price2]]&lt;500000,"Affordable",IF(Table1[[#This Row],[Price2]]&lt;1000000,"Mid range","Luxury"))</f>
        <v>Luxury</v>
      </c>
    </row>
    <row r="2563" spans="1:20" x14ac:dyDescent="0.35">
      <c r="A2563" s="3">
        <v>1303490</v>
      </c>
      <c r="B2563" s="2" t="s">
        <v>22</v>
      </c>
      <c r="C2563">
        <v>96802</v>
      </c>
      <c r="D2563" s="2" t="s">
        <v>29</v>
      </c>
      <c r="E2563">
        <v>4</v>
      </c>
      <c r="F2563">
        <v>3</v>
      </c>
      <c r="G2563" s="4">
        <f>VALUE(SUBSTITUTE(SUBSTITUTE(Table1[[#This Row],[Price]],"$",""),",",""))</f>
        <v>1303490</v>
      </c>
      <c r="H2563" s="1">
        <f>Table1[[#This Row],[Price2]]/Table1[[#This Row],[Area]]</f>
        <v>372.7452101801544</v>
      </c>
      <c r="I2563">
        <v>3497</v>
      </c>
      <c r="J2563">
        <v>2015</v>
      </c>
      <c r="K2563">
        <v>109</v>
      </c>
      <c r="L2563" t="s">
        <v>40</v>
      </c>
      <c r="M2563" t="s">
        <v>2294</v>
      </c>
      <c r="N2563" s="2" t="s">
        <v>3027</v>
      </c>
      <c r="O2563" t="s">
        <v>3028</v>
      </c>
      <c r="P2563" t="s">
        <v>26</v>
      </c>
      <c r="Q2563">
        <v>372.7452101801544</v>
      </c>
      <c r="R2563">
        <f ca="1">YEAR(TODAY())-Table1[[#This Row],[Year Built]]</f>
        <v>11</v>
      </c>
      <c r="S2563" t="str">
        <f>IF(Table1[[#This Row],[Days on Market]] &lt; 30,"Fast",IF(Table1[[#This Row],[Days on Market]]&lt;= 90,"Average", "Slow"))</f>
        <v>Slow</v>
      </c>
      <c r="T2563" t="str">
        <f>IF(Table1[[#This Row],[Price2]]&lt;500000,"Affordable",IF(Table1[[#This Row],[Price2]]&lt;1000000,"Mid range","Luxury"))</f>
        <v>Luxury</v>
      </c>
    </row>
    <row r="2564" spans="1:20" x14ac:dyDescent="0.35">
      <c r="A2564" s="3">
        <v>1304257</v>
      </c>
      <c r="B2564" s="2" t="s">
        <v>17</v>
      </c>
      <c r="C2564">
        <v>52305</v>
      </c>
      <c r="D2564" s="2" t="s">
        <v>13</v>
      </c>
      <c r="E2564">
        <v>4</v>
      </c>
      <c r="F2564">
        <v>3</v>
      </c>
      <c r="G2564" s="4">
        <f>VALUE(SUBSTITUTE(SUBSTITUTE(Table1[[#This Row],[Price]],"$",""),",",""))</f>
        <v>1304257</v>
      </c>
      <c r="H2564" s="1">
        <f>Table1[[#This Row],[Price2]]/Table1[[#This Row],[Area]]</f>
        <v>811.10509950248752</v>
      </c>
      <c r="I2564">
        <v>1608</v>
      </c>
      <c r="J2564">
        <v>1975</v>
      </c>
      <c r="K2564">
        <v>88</v>
      </c>
      <c r="L2564" t="s">
        <v>19</v>
      </c>
      <c r="M2564" t="s">
        <v>1934</v>
      </c>
      <c r="N2564" s="2" t="s">
        <v>3035</v>
      </c>
      <c r="O2564" t="s">
        <v>3036</v>
      </c>
      <c r="P2564" t="s">
        <v>16</v>
      </c>
      <c r="Q2564">
        <v>811.10509950248752</v>
      </c>
      <c r="R2564">
        <f ca="1">YEAR(TODAY())-Table1[[#This Row],[Year Built]]</f>
        <v>51</v>
      </c>
      <c r="S2564" t="str">
        <f>IF(Table1[[#This Row],[Days on Market]] &lt; 30,"Fast",IF(Table1[[#This Row],[Days on Market]]&lt;= 90,"Average", "Slow"))</f>
        <v>Average</v>
      </c>
      <c r="T2564" t="str">
        <f>IF(Table1[[#This Row],[Price2]]&lt;500000,"Affordable",IF(Table1[[#This Row],[Price2]]&lt;1000000,"Mid range","Luxury"))</f>
        <v>Luxury</v>
      </c>
    </row>
    <row r="2565" spans="1:20" x14ac:dyDescent="0.35">
      <c r="A2565" s="3">
        <v>1304385</v>
      </c>
      <c r="B2565" s="2" t="s">
        <v>27</v>
      </c>
      <c r="C2565">
        <v>66352</v>
      </c>
      <c r="D2565" s="2" t="s">
        <v>29</v>
      </c>
      <c r="E2565">
        <v>4</v>
      </c>
      <c r="F2565">
        <v>3</v>
      </c>
      <c r="G2565" s="4">
        <f>VALUE(SUBSTITUTE(SUBSTITUTE(Table1[[#This Row],[Price]],"$",""),",",""))</f>
        <v>1304385</v>
      </c>
      <c r="H2565" s="1">
        <f>Table1[[#This Row],[Price2]]/Table1[[#This Row],[Area]]</f>
        <v>1485.632118451025</v>
      </c>
      <c r="I2565">
        <v>878</v>
      </c>
      <c r="J2565">
        <v>2004</v>
      </c>
      <c r="K2565">
        <v>41</v>
      </c>
      <c r="L2565" t="s">
        <v>40</v>
      </c>
      <c r="M2565" t="s">
        <v>235</v>
      </c>
      <c r="N2565" s="2" t="s">
        <v>3027</v>
      </c>
      <c r="O2565" t="s">
        <v>3028</v>
      </c>
      <c r="P2565" t="s">
        <v>16</v>
      </c>
      <c r="Q2565">
        <v>1485.632118451025</v>
      </c>
      <c r="R2565">
        <f ca="1">YEAR(TODAY())-Table1[[#This Row],[Year Built]]</f>
        <v>22</v>
      </c>
      <c r="S2565" t="str">
        <f>IF(Table1[[#This Row],[Days on Market]] &lt; 30,"Fast",IF(Table1[[#This Row],[Days on Market]]&lt;= 90,"Average", "Slow"))</f>
        <v>Average</v>
      </c>
      <c r="T2565" t="str">
        <f>IF(Table1[[#This Row],[Price2]]&lt;500000,"Affordable",IF(Table1[[#This Row],[Price2]]&lt;1000000,"Mid range","Luxury"))</f>
        <v>Luxury</v>
      </c>
    </row>
    <row r="2566" spans="1:20" x14ac:dyDescent="0.35">
      <c r="A2566" s="3">
        <v>1304944</v>
      </c>
      <c r="B2566" s="2" t="s">
        <v>27</v>
      </c>
      <c r="C2566">
        <v>77333</v>
      </c>
      <c r="D2566" s="2" t="s">
        <v>13</v>
      </c>
      <c r="E2566">
        <v>4</v>
      </c>
      <c r="F2566">
        <v>3</v>
      </c>
      <c r="G2566" s="4">
        <f>VALUE(SUBSTITUTE(SUBSTITUTE(Table1[[#This Row],[Price]],"$",""),",",""))</f>
        <v>1304944</v>
      </c>
      <c r="H2566" s="1">
        <f>Table1[[#This Row],[Price2]]/Table1[[#This Row],[Area]]</f>
        <v>560.30227565478742</v>
      </c>
      <c r="I2566">
        <v>2329</v>
      </c>
      <c r="J2566">
        <v>1965</v>
      </c>
      <c r="K2566">
        <v>50</v>
      </c>
      <c r="L2566" t="s">
        <v>14</v>
      </c>
      <c r="M2566" t="s">
        <v>690</v>
      </c>
      <c r="N2566" s="2" t="s">
        <v>3035</v>
      </c>
      <c r="O2566" t="s">
        <v>3036</v>
      </c>
      <c r="P2566" t="s">
        <v>21</v>
      </c>
      <c r="Q2566">
        <v>560.30227565478742</v>
      </c>
      <c r="R2566">
        <f ca="1">YEAR(TODAY())-Table1[[#This Row],[Year Built]]</f>
        <v>61</v>
      </c>
      <c r="S2566" t="str">
        <f>IF(Table1[[#This Row],[Days on Market]] &lt; 30,"Fast",IF(Table1[[#This Row],[Days on Market]]&lt;= 90,"Average", "Slow"))</f>
        <v>Average</v>
      </c>
      <c r="T2566" t="str">
        <f>IF(Table1[[#This Row],[Price2]]&lt;500000,"Affordable",IF(Table1[[#This Row],[Price2]]&lt;1000000,"Mid range","Luxury"))</f>
        <v>Luxury</v>
      </c>
    </row>
    <row r="2567" spans="1:20" x14ac:dyDescent="0.35">
      <c r="A2567" s="3">
        <v>1305625</v>
      </c>
      <c r="B2567" s="2" t="s">
        <v>34</v>
      </c>
      <c r="C2567">
        <v>71220</v>
      </c>
      <c r="D2567" s="2" t="s">
        <v>29</v>
      </c>
      <c r="E2567">
        <v>2</v>
      </c>
      <c r="F2567">
        <v>2</v>
      </c>
      <c r="G2567" s="4">
        <f>VALUE(SUBSTITUTE(SUBSTITUTE(Table1[[#This Row],[Price]],"$",""),",",""))</f>
        <v>1305625</v>
      </c>
      <c r="H2567" s="1">
        <f>Table1[[#This Row],[Price2]]/Table1[[#This Row],[Area]]</f>
        <v>362.27108768035515</v>
      </c>
      <c r="I2567">
        <v>3604</v>
      </c>
      <c r="J2567">
        <v>1992</v>
      </c>
      <c r="K2567">
        <v>9</v>
      </c>
      <c r="L2567" t="s">
        <v>19</v>
      </c>
      <c r="M2567" t="s">
        <v>2097</v>
      </c>
      <c r="N2567" s="2" t="s">
        <v>3029</v>
      </c>
      <c r="O2567" t="s">
        <v>3030</v>
      </c>
      <c r="P2567" t="s">
        <v>26</v>
      </c>
      <c r="Q2567">
        <v>362.27108768035515</v>
      </c>
      <c r="R2567">
        <f ca="1">YEAR(TODAY())-Table1[[#This Row],[Year Built]]</f>
        <v>34</v>
      </c>
      <c r="S2567" t="str">
        <f>IF(Table1[[#This Row],[Days on Market]] &lt; 30,"Fast",IF(Table1[[#This Row],[Days on Market]]&lt;= 90,"Average", "Slow"))</f>
        <v>Fast</v>
      </c>
      <c r="T2567" t="str">
        <f>IF(Table1[[#This Row],[Price2]]&lt;500000,"Affordable",IF(Table1[[#This Row],[Price2]]&lt;1000000,"Mid range","Luxury"))</f>
        <v>Luxury</v>
      </c>
    </row>
    <row r="2568" spans="1:20" x14ac:dyDescent="0.35">
      <c r="A2568" s="3">
        <v>1305797</v>
      </c>
      <c r="B2568" s="2" t="s">
        <v>22</v>
      </c>
      <c r="C2568">
        <v>47603</v>
      </c>
      <c r="D2568" s="2" t="s">
        <v>23</v>
      </c>
      <c r="E2568">
        <v>5</v>
      </c>
      <c r="F2568">
        <v>2</v>
      </c>
      <c r="G2568" s="4">
        <f>VALUE(SUBSTITUTE(SUBSTITUTE(Table1[[#This Row],[Price]],"$",""),",",""))</f>
        <v>1305797</v>
      </c>
      <c r="H2568" s="1">
        <f>Table1[[#This Row],[Price2]]/Table1[[#This Row],[Area]]</f>
        <v>473.80152394775035</v>
      </c>
      <c r="I2568">
        <v>2756</v>
      </c>
      <c r="J2568">
        <v>1950</v>
      </c>
      <c r="K2568">
        <v>113</v>
      </c>
      <c r="L2568" t="s">
        <v>19</v>
      </c>
      <c r="M2568" t="s">
        <v>2752</v>
      </c>
      <c r="N2568" s="2" t="s">
        <v>3035</v>
      </c>
      <c r="O2568" t="s">
        <v>3036</v>
      </c>
      <c r="P2568" t="s">
        <v>21</v>
      </c>
      <c r="Q2568">
        <v>473.80152394775035</v>
      </c>
      <c r="R2568">
        <f ca="1">YEAR(TODAY())-Table1[[#This Row],[Year Built]]</f>
        <v>76</v>
      </c>
      <c r="S2568" t="str">
        <f>IF(Table1[[#This Row],[Days on Market]] &lt; 30,"Fast",IF(Table1[[#This Row],[Days on Market]]&lt;= 90,"Average", "Slow"))</f>
        <v>Slow</v>
      </c>
      <c r="T2568" t="str">
        <f>IF(Table1[[#This Row],[Price2]]&lt;500000,"Affordable",IF(Table1[[#This Row],[Price2]]&lt;1000000,"Mid range","Luxury"))</f>
        <v>Luxury</v>
      </c>
    </row>
    <row r="2569" spans="1:20" x14ac:dyDescent="0.35">
      <c r="A2569" s="3">
        <v>1306410</v>
      </c>
      <c r="B2569" s="2" t="s">
        <v>27</v>
      </c>
      <c r="C2569">
        <v>70574</v>
      </c>
      <c r="D2569" s="2" t="s">
        <v>13</v>
      </c>
      <c r="E2569">
        <v>2</v>
      </c>
      <c r="F2569">
        <v>2</v>
      </c>
      <c r="G2569" s="4">
        <f>VALUE(SUBSTITUTE(SUBSTITUTE(Table1[[#This Row],[Price]],"$",""),",",""))</f>
        <v>1306410</v>
      </c>
      <c r="H2569" s="1">
        <f>Table1[[#This Row],[Price2]]/Table1[[#This Row],[Area]]</f>
        <v>1085.0581395348838</v>
      </c>
      <c r="I2569">
        <v>1204</v>
      </c>
      <c r="J2569">
        <v>2003</v>
      </c>
      <c r="K2569">
        <v>23</v>
      </c>
      <c r="L2569" t="s">
        <v>30</v>
      </c>
      <c r="M2569" t="s">
        <v>2546</v>
      </c>
      <c r="N2569" s="2" t="s">
        <v>3033</v>
      </c>
      <c r="O2569" t="s">
        <v>3034</v>
      </c>
      <c r="P2569" t="s">
        <v>16</v>
      </c>
      <c r="Q2569">
        <v>1085.0581395348838</v>
      </c>
      <c r="R2569">
        <f ca="1">YEAR(TODAY())-Table1[[#This Row],[Year Built]]</f>
        <v>23</v>
      </c>
      <c r="S2569" t="str">
        <f>IF(Table1[[#This Row],[Days on Market]] &lt; 30,"Fast",IF(Table1[[#This Row],[Days on Market]]&lt;= 90,"Average", "Slow"))</f>
        <v>Fast</v>
      </c>
      <c r="T2569" t="str">
        <f>IF(Table1[[#This Row],[Price2]]&lt;500000,"Affordable",IF(Table1[[#This Row],[Price2]]&lt;1000000,"Mid range","Luxury"))</f>
        <v>Luxury</v>
      </c>
    </row>
    <row r="2570" spans="1:20" x14ac:dyDescent="0.35">
      <c r="A2570" s="3">
        <v>1306432</v>
      </c>
      <c r="B2570" s="2" t="s">
        <v>22</v>
      </c>
      <c r="C2570">
        <v>65559</v>
      </c>
      <c r="D2570" s="2" t="s">
        <v>35</v>
      </c>
      <c r="E2570">
        <v>6</v>
      </c>
      <c r="F2570">
        <v>4</v>
      </c>
      <c r="G2570" s="4">
        <f>VALUE(SUBSTITUTE(SUBSTITUTE(Table1[[#This Row],[Price]],"$",""),",",""))</f>
        <v>1306432</v>
      </c>
      <c r="H2570" s="1">
        <f>Table1[[#This Row],[Price2]]/Table1[[#This Row],[Area]]</f>
        <v>2124.2796747967482</v>
      </c>
      <c r="I2570">
        <v>615</v>
      </c>
      <c r="J2570">
        <v>2014</v>
      </c>
      <c r="K2570">
        <v>100</v>
      </c>
      <c r="L2570" t="s">
        <v>30</v>
      </c>
      <c r="M2570" t="s">
        <v>1188</v>
      </c>
      <c r="N2570" s="2" t="s">
        <v>3031</v>
      </c>
      <c r="O2570" t="s">
        <v>3032</v>
      </c>
      <c r="P2570" t="s">
        <v>16</v>
      </c>
      <c r="Q2570">
        <v>2124.2796747967482</v>
      </c>
      <c r="R2570">
        <f ca="1">YEAR(TODAY())-Table1[[#This Row],[Year Built]]</f>
        <v>12</v>
      </c>
      <c r="S2570" t="str">
        <f>IF(Table1[[#This Row],[Days on Market]] &lt; 30,"Fast",IF(Table1[[#This Row],[Days on Market]]&lt;= 90,"Average", "Slow"))</f>
        <v>Slow</v>
      </c>
      <c r="T2570" t="str">
        <f>IF(Table1[[#This Row],[Price2]]&lt;500000,"Affordable",IF(Table1[[#This Row],[Price2]]&lt;1000000,"Mid range","Luxury"))</f>
        <v>Luxury</v>
      </c>
    </row>
    <row r="2571" spans="1:20" x14ac:dyDescent="0.35">
      <c r="A2571" s="3">
        <v>1306875</v>
      </c>
      <c r="B2571" s="2" t="s">
        <v>17</v>
      </c>
      <c r="C2571">
        <v>95831</v>
      </c>
      <c r="D2571" s="2" t="s">
        <v>35</v>
      </c>
      <c r="E2571">
        <v>3</v>
      </c>
      <c r="F2571">
        <v>1</v>
      </c>
      <c r="G2571" s="4">
        <f>VALUE(SUBSTITUTE(SUBSTITUTE(Table1[[#This Row],[Price]],"$",""),",",""))</f>
        <v>1306875</v>
      </c>
      <c r="H2571" s="1">
        <f>Table1[[#This Row],[Price2]]/Table1[[#This Row],[Area]]</f>
        <v>705.27522935779814</v>
      </c>
      <c r="I2571">
        <v>1853</v>
      </c>
      <c r="J2571">
        <v>2009</v>
      </c>
      <c r="K2571">
        <v>80</v>
      </c>
      <c r="L2571" t="s">
        <v>19</v>
      </c>
      <c r="M2571" t="s">
        <v>1459</v>
      </c>
      <c r="N2571" s="2" t="s">
        <v>3029</v>
      </c>
      <c r="O2571" t="s">
        <v>3030</v>
      </c>
      <c r="P2571" t="s">
        <v>21</v>
      </c>
      <c r="Q2571">
        <v>705.27522935779814</v>
      </c>
      <c r="R2571">
        <f ca="1">YEAR(TODAY())-Table1[[#This Row],[Year Built]]</f>
        <v>17</v>
      </c>
      <c r="S2571" t="str">
        <f>IF(Table1[[#This Row],[Days on Market]] &lt; 30,"Fast",IF(Table1[[#This Row],[Days on Market]]&lt;= 90,"Average", "Slow"))</f>
        <v>Average</v>
      </c>
      <c r="T2571" t="str">
        <f>IF(Table1[[#This Row],[Price2]]&lt;500000,"Affordable",IF(Table1[[#This Row],[Price2]]&lt;1000000,"Mid range","Luxury"))</f>
        <v>Luxury</v>
      </c>
    </row>
    <row r="2572" spans="1:20" x14ac:dyDescent="0.35">
      <c r="A2572" s="3">
        <v>1307358</v>
      </c>
      <c r="B2572" s="2" t="s">
        <v>22</v>
      </c>
      <c r="C2572">
        <v>19411</v>
      </c>
      <c r="D2572" s="2" t="s">
        <v>35</v>
      </c>
      <c r="E2572">
        <v>3</v>
      </c>
      <c r="F2572">
        <v>3</v>
      </c>
      <c r="G2572" s="4">
        <f>VALUE(SUBSTITUTE(SUBSTITUTE(Table1[[#This Row],[Price]],"$",""),",",""))</f>
        <v>1307358</v>
      </c>
      <c r="H2572" s="1">
        <f>Table1[[#This Row],[Price2]]/Table1[[#This Row],[Area]]</f>
        <v>1075.1299342105262</v>
      </c>
      <c r="I2572">
        <v>1216</v>
      </c>
      <c r="J2572">
        <v>2011</v>
      </c>
      <c r="K2572">
        <v>87</v>
      </c>
      <c r="L2572" t="s">
        <v>30</v>
      </c>
      <c r="M2572" t="s">
        <v>731</v>
      </c>
      <c r="N2572" s="2" t="s">
        <v>3033</v>
      </c>
      <c r="O2572" t="s">
        <v>3034</v>
      </c>
      <c r="P2572" t="s">
        <v>21</v>
      </c>
      <c r="Q2572">
        <v>1075.1299342105262</v>
      </c>
      <c r="R2572">
        <f ca="1">YEAR(TODAY())-Table1[[#This Row],[Year Built]]</f>
        <v>15</v>
      </c>
      <c r="S2572" t="str">
        <f>IF(Table1[[#This Row],[Days on Market]] &lt; 30,"Fast",IF(Table1[[#This Row],[Days on Market]]&lt;= 90,"Average", "Slow"))</f>
        <v>Average</v>
      </c>
      <c r="T2572" t="str">
        <f>IF(Table1[[#This Row],[Price2]]&lt;500000,"Affordable",IF(Table1[[#This Row],[Price2]]&lt;1000000,"Mid range","Luxury"))</f>
        <v>Luxury</v>
      </c>
    </row>
    <row r="2573" spans="1:20" x14ac:dyDescent="0.35">
      <c r="A2573" s="3">
        <v>1308064</v>
      </c>
      <c r="B2573" s="2" t="s">
        <v>17</v>
      </c>
      <c r="C2573">
        <v>86282</v>
      </c>
      <c r="D2573" s="2" t="s">
        <v>35</v>
      </c>
      <c r="E2573">
        <v>4</v>
      </c>
      <c r="F2573">
        <v>3</v>
      </c>
      <c r="G2573" s="4">
        <f>VALUE(SUBSTITUTE(SUBSTITUTE(Table1[[#This Row],[Price]],"$",""),",",""))</f>
        <v>1308064</v>
      </c>
      <c r="H2573" s="1">
        <f>Table1[[#This Row],[Price2]]/Table1[[#This Row],[Area]]</f>
        <v>1709.8875816993464</v>
      </c>
      <c r="I2573">
        <v>765</v>
      </c>
      <c r="J2573">
        <v>1995</v>
      </c>
      <c r="K2573">
        <v>99</v>
      </c>
      <c r="L2573" t="s">
        <v>40</v>
      </c>
      <c r="M2573" t="s">
        <v>2746</v>
      </c>
      <c r="N2573" s="2" t="s">
        <v>3033</v>
      </c>
      <c r="O2573" t="s">
        <v>3034</v>
      </c>
      <c r="P2573" t="s">
        <v>26</v>
      </c>
      <c r="Q2573">
        <v>1709.8875816993464</v>
      </c>
      <c r="R2573">
        <f ca="1">YEAR(TODAY())-Table1[[#This Row],[Year Built]]</f>
        <v>31</v>
      </c>
      <c r="S2573" t="str">
        <f>IF(Table1[[#This Row],[Days on Market]] &lt; 30,"Fast",IF(Table1[[#This Row],[Days on Market]]&lt;= 90,"Average", "Slow"))</f>
        <v>Slow</v>
      </c>
      <c r="T2573" t="str">
        <f>IF(Table1[[#This Row],[Price2]]&lt;500000,"Affordable",IF(Table1[[#This Row],[Price2]]&lt;1000000,"Mid range","Luxury"))</f>
        <v>Luxury</v>
      </c>
    </row>
    <row r="2574" spans="1:20" x14ac:dyDescent="0.35">
      <c r="A2574" s="3">
        <v>1309159</v>
      </c>
      <c r="B2574" s="2" t="s">
        <v>27</v>
      </c>
      <c r="C2574">
        <v>16982</v>
      </c>
      <c r="D2574" s="2" t="s">
        <v>35</v>
      </c>
      <c r="E2574">
        <v>3</v>
      </c>
      <c r="F2574">
        <v>3</v>
      </c>
      <c r="G2574" s="4">
        <f>VALUE(SUBSTITUTE(SUBSTITUTE(Table1[[#This Row],[Price]],"$",""),",",""))</f>
        <v>1309159</v>
      </c>
      <c r="H2574" s="1">
        <f>Table1[[#This Row],[Price2]]/Table1[[#This Row],[Area]]</f>
        <v>332.86524281718789</v>
      </c>
      <c r="I2574">
        <v>3933</v>
      </c>
      <c r="J2574">
        <v>1981</v>
      </c>
      <c r="K2574">
        <v>28</v>
      </c>
      <c r="L2574" t="s">
        <v>30</v>
      </c>
      <c r="M2574" t="s">
        <v>2205</v>
      </c>
      <c r="N2574" s="2" t="s">
        <v>3027</v>
      </c>
      <c r="O2574" t="s">
        <v>3028</v>
      </c>
      <c r="P2574" t="s">
        <v>21</v>
      </c>
      <c r="Q2574">
        <v>332.86524281718789</v>
      </c>
      <c r="R2574">
        <f ca="1">YEAR(TODAY())-Table1[[#This Row],[Year Built]]</f>
        <v>45</v>
      </c>
      <c r="S2574" t="str">
        <f>IF(Table1[[#This Row],[Days on Market]] &lt; 30,"Fast",IF(Table1[[#This Row],[Days on Market]]&lt;= 90,"Average", "Slow"))</f>
        <v>Fast</v>
      </c>
      <c r="T2574" t="str">
        <f>IF(Table1[[#This Row],[Price2]]&lt;500000,"Affordable",IF(Table1[[#This Row],[Price2]]&lt;1000000,"Mid range","Luxury"))</f>
        <v>Luxury</v>
      </c>
    </row>
    <row r="2575" spans="1:20" x14ac:dyDescent="0.35">
      <c r="A2575" s="3">
        <v>1309279</v>
      </c>
      <c r="B2575" s="2" t="s">
        <v>12</v>
      </c>
      <c r="C2575">
        <v>65593</v>
      </c>
      <c r="D2575" s="2" t="s">
        <v>35</v>
      </c>
      <c r="E2575">
        <v>5</v>
      </c>
      <c r="F2575">
        <v>2</v>
      </c>
      <c r="G2575" s="4">
        <f>VALUE(SUBSTITUTE(SUBSTITUTE(Table1[[#This Row],[Price]],"$",""),",",""))</f>
        <v>1309279</v>
      </c>
      <c r="H2575" s="1">
        <f>Table1[[#This Row],[Price2]]/Table1[[#This Row],[Area]]</f>
        <v>477.14249271137027</v>
      </c>
      <c r="I2575">
        <v>2744</v>
      </c>
      <c r="J2575">
        <v>1962</v>
      </c>
      <c r="K2575">
        <v>54</v>
      </c>
      <c r="L2575" t="s">
        <v>52</v>
      </c>
      <c r="M2575" t="s">
        <v>451</v>
      </c>
      <c r="N2575" s="2" t="s">
        <v>3035</v>
      </c>
      <c r="O2575" t="s">
        <v>3036</v>
      </c>
      <c r="P2575" t="s">
        <v>26</v>
      </c>
      <c r="Q2575">
        <v>477.14249271137027</v>
      </c>
      <c r="R2575">
        <f ca="1">YEAR(TODAY())-Table1[[#This Row],[Year Built]]</f>
        <v>64</v>
      </c>
      <c r="S2575" t="str">
        <f>IF(Table1[[#This Row],[Days on Market]] &lt; 30,"Fast",IF(Table1[[#This Row],[Days on Market]]&lt;= 90,"Average", "Slow"))</f>
        <v>Average</v>
      </c>
      <c r="T2575" t="str">
        <f>IF(Table1[[#This Row],[Price2]]&lt;500000,"Affordable",IF(Table1[[#This Row],[Price2]]&lt;1000000,"Mid range","Luxury"))</f>
        <v>Luxury</v>
      </c>
    </row>
    <row r="2576" spans="1:20" x14ac:dyDescent="0.35">
      <c r="A2576" s="3">
        <v>1309732</v>
      </c>
      <c r="B2576" s="2" t="s">
        <v>34</v>
      </c>
      <c r="C2576">
        <v>13360</v>
      </c>
      <c r="D2576" s="2" t="s">
        <v>35</v>
      </c>
      <c r="E2576">
        <v>6</v>
      </c>
      <c r="F2576">
        <v>1</v>
      </c>
      <c r="G2576" s="4">
        <f>VALUE(SUBSTITUTE(SUBSTITUTE(Table1[[#This Row],[Price]],"$",""),",",""))</f>
        <v>1309732</v>
      </c>
      <c r="H2576" s="1">
        <f>Table1[[#This Row],[Price2]]/Table1[[#This Row],[Area]]</f>
        <v>369.87630612821238</v>
      </c>
      <c r="I2576">
        <v>3541</v>
      </c>
      <c r="J2576">
        <v>1959</v>
      </c>
      <c r="K2576">
        <v>11</v>
      </c>
      <c r="L2576" t="s">
        <v>30</v>
      </c>
      <c r="M2576" t="s">
        <v>2412</v>
      </c>
      <c r="N2576" s="2" t="s">
        <v>3027</v>
      </c>
      <c r="O2576" t="s">
        <v>3028</v>
      </c>
      <c r="P2576" t="s">
        <v>21</v>
      </c>
      <c r="Q2576">
        <v>369.87630612821238</v>
      </c>
      <c r="R2576">
        <f ca="1">YEAR(TODAY())-Table1[[#This Row],[Year Built]]</f>
        <v>67</v>
      </c>
      <c r="S2576" t="str">
        <f>IF(Table1[[#This Row],[Days on Market]] &lt; 30,"Fast",IF(Table1[[#This Row],[Days on Market]]&lt;= 90,"Average", "Slow"))</f>
        <v>Fast</v>
      </c>
      <c r="T2576" t="str">
        <f>IF(Table1[[#This Row],[Price2]]&lt;500000,"Affordable",IF(Table1[[#This Row],[Price2]]&lt;1000000,"Mid range","Luxury"))</f>
        <v>Luxury</v>
      </c>
    </row>
    <row r="2577" spans="1:20" x14ac:dyDescent="0.35">
      <c r="A2577" s="3">
        <v>1310763</v>
      </c>
      <c r="B2577" s="2" t="s">
        <v>27</v>
      </c>
      <c r="C2577">
        <v>77095</v>
      </c>
      <c r="D2577" s="2" t="s">
        <v>18</v>
      </c>
      <c r="E2577">
        <v>5</v>
      </c>
      <c r="F2577">
        <v>3</v>
      </c>
      <c r="G2577" s="4">
        <f>VALUE(SUBSTITUTE(SUBSTITUTE(Table1[[#This Row],[Price]],"$",""),",",""))</f>
        <v>1310763</v>
      </c>
      <c r="H2577" s="1">
        <f>Table1[[#This Row],[Price2]]/Table1[[#This Row],[Area]]</f>
        <v>1356.8975155279504</v>
      </c>
      <c r="I2577">
        <v>966</v>
      </c>
      <c r="J2577">
        <v>1964</v>
      </c>
      <c r="K2577">
        <v>86</v>
      </c>
      <c r="L2577" t="s">
        <v>19</v>
      </c>
      <c r="M2577" t="s">
        <v>1693</v>
      </c>
      <c r="N2577" s="2" t="s">
        <v>3035</v>
      </c>
      <c r="O2577" t="s">
        <v>3036</v>
      </c>
      <c r="P2577" t="s">
        <v>21</v>
      </c>
      <c r="Q2577">
        <v>1356.8975155279504</v>
      </c>
      <c r="R2577">
        <f ca="1">YEAR(TODAY())-Table1[[#This Row],[Year Built]]</f>
        <v>62</v>
      </c>
      <c r="S2577" t="str">
        <f>IF(Table1[[#This Row],[Days on Market]] &lt; 30,"Fast",IF(Table1[[#This Row],[Days on Market]]&lt;= 90,"Average", "Slow"))</f>
        <v>Average</v>
      </c>
      <c r="T2577" t="str">
        <f>IF(Table1[[#This Row],[Price2]]&lt;500000,"Affordable",IF(Table1[[#This Row],[Price2]]&lt;1000000,"Mid range","Luxury"))</f>
        <v>Luxury</v>
      </c>
    </row>
    <row r="2578" spans="1:20" x14ac:dyDescent="0.35">
      <c r="A2578" s="3">
        <v>1310805</v>
      </c>
      <c r="B2578" s="2" t="s">
        <v>12</v>
      </c>
      <c r="C2578">
        <v>29634</v>
      </c>
      <c r="D2578" s="2" t="s">
        <v>13</v>
      </c>
      <c r="E2578">
        <v>3</v>
      </c>
      <c r="F2578">
        <v>1</v>
      </c>
      <c r="G2578" s="4">
        <f>VALUE(SUBSTITUTE(SUBSTITUTE(Table1[[#This Row],[Price]],"$",""),",",""))</f>
        <v>1310805</v>
      </c>
      <c r="H2578" s="1">
        <f>Table1[[#This Row],[Price2]]/Table1[[#This Row],[Area]]</f>
        <v>833.31532104259372</v>
      </c>
      <c r="I2578">
        <v>1573</v>
      </c>
      <c r="J2578">
        <v>2014</v>
      </c>
      <c r="K2578">
        <v>96</v>
      </c>
      <c r="L2578" t="s">
        <v>52</v>
      </c>
      <c r="M2578" t="s">
        <v>1229</v>
      </c>
      <c r="N2578" s="2" t="s">
        <v>3035</v>
      </c>
      <c r="O2578" t="s">
        <v>3036</v>
      </c>
      <c r="P2578" t="s">
        <v>21</v>
      </c>
      <c r="Q2578">
        <v>833.31532104259372</v>
      </c>
      <c r="R2578">
        <f ca="1">YEAR(TODAY())-Table1[[#This Row],[Year Built]]</f>
        <v>12</v>
      </c>
      <c r="S2578" t="str">
        <f>IF(Table1[[#This Row],[Days on Market]] &lt; 30,"Fast",IF(Table1[[#This Row],[Days on Market]]&lt;= 90,"Average", "Slow"))</f>
        <v>Slow</v>
      </c>
      <c r="T2578" t="str">
        <f>IF(Table1[[#This Row],[Price2]]&lt;500000,"Affordable",IF(Table1[[#This Row],[Price2]]&lt;1000000,"Mid range","Luxury"))</f>
        <v>Luxury</v>
      </c>
    </row>
    <row r="2579" spans="1:20" x14ac:dyDescent="0.35">
      <c r="A2579" s="3">
        <v>1311387</v>
      </c>
      <c r="B2579" s="2" t="s">
        <v>12</v>
      </c>
      <c r="C2579">
        <v>71253</v>
      </c>
      <c r="D2579" s="2" t="s">
        <v>29</v>
      </c>
      <c r="E2579">
        <v>6</v>
      </c>
      <c r="F2579">
        <v>1</v>
      </c>
      <c r="G2579" s="4">
        <f>VALUE(SUBSTITUTE(SUBSTITUTE(Table1[[#This Row],[Price]],"$",""),",",""))</f>
        <v>1311387</v>
      </c>
      <c r="H2579" s="1">
        <f>Table1[[#This Row],[Price2]]/Table1[[#This Row],[Area]]</f>
        <v>1583.8007246376812</v>
      </c>
      <c r="I2579">
        <v>828</v>
      </c>
      <c r="J2579">
        <v>1982</v>
      </c>
      <c r="K2579">
        <v>80</v>
      </c>
      <c r="L2579" t="s">
        <v>19</v>
      </c>
      <c r="M2579" t="s">
        <v>2657</v>
      </c>
      <c r="N2579" s="2" t="s">
        <v>3033</v>
      </c>
      <c r="O2579" t="s">
        <v>3034</v>
      </c>
      <c r="P2579" t="s">
        <v>26</v>
      </c>
      <c r="Q2579">
        <v>1583.8007246376812</v>
      </c>
      <c r="R2579">
        <f ca="1">YEAR(TODAY())-Table1[[#This Row],[Year Built]]</f>
        <v>44</v>
      </c>
      <c r="S2579" t="str">
        <f>IF(Table1[[#This Row],[Days on Market]] &lt; 30,"Fast",IF(Table1[[#This Row],[Days on Market]]&lt;= 90,"Average", "Slow"))</f>
        <v>Average</v>
      </c>
      <c r="T2579" t="str">
        <f>IF(Table1[[#This Row],[Price2]]&lt;500000,"Affordable",IF(Table1[[#This Row],[Price2]]&lt;1000000,"Mid range","Luxury"))</f>
        <v>Luxury</v>
      </c>
    </row>
    <row r="2580" spans="1:20" x14ac:dyDescent="0.35">
      <c r="A2580" s="3">
        <v>1311994</v>
      </c>
      <c r="B2580" s="2" t="s">
        <v>12</v>
      </c>
      <c r="C2580">
        <v>12372</v>
      </c>
      <c r="D2580" s="2" t="s">
        <v>29</v>
      </c>
      <c r="E2580">
        <v>1</v>
      </c>
      <c r="F2580">
        <v>1</v>
      </c>
      <c r="G2580" s="4">
        <f>VALUE(SUBSTITUTE(SUBSTITUTE(Table1[[#This Row],[Price]],"$",""),",",""))</f>
        <v>1311994</v>
      </c>
      <c r="H2580" s="1">
        <f>Table1[[#This Row],[Price2]]/Table1[[#This Row],[Area]]</f>
        <v>364.24042198778454</v>
      </c>
      <c r="I2580">
        <v>3602</v>
      </c>
      <c r="J2580">
        <v>2019</v>
      </c>
      <c r="K2580">
        <v>1</v>
      </c>
      <c r="L2580" t="s">
        <v>14</v>
      </c>
      <c r="M2580" t="s">
        <v>1679</v>
      </c>
      <c r="N2580" s="2" t="s">
        <v>3035</v>
      </c>
      <c r="O2580" t="s">
        <v>3036</v>
      </c>
      <c r="P2580" t="s">
        <v>21</v>
      </c>
      <c r="Q2580">
        <v>364.24042198778454</v>
      </c>
      <c r="R2580">
        <f ca="1">YEAR(TODAY())-Table1[[#This Row],[Year Built]]</f>
        <v>7</v>
      </c>
      <c r="S2580" t="str">
        <f>IF(Table1[[#This Row],[Days on Market]] &lt; 30,"Fast",IF(Table1[[#This Row],[Days on Market]]&lt;= 90,"Average", "Slow"))</f>
        <v>Fast</v>
      </c>
      <c r="T2580" t="str">
        <f>IF(Table1[[#This Row],[Price2]]&lt;500000,"Affordable",IF(Table1[[#This Row],[Price2]]&lt;1000000,"Mid range","Luxury"))</f>
        <v>Luxury</v>
      </c>
    </row>
    <row r="2581" spans="1:20" x14ac:dyDescent="0.35">
      <c r="A2581" s="3">
        <v>1312269</v>
      </c>
      <c r="B2581" s="2" t="s">
        <v>34</v>
      </c>
      <c r="C2581">
        <v>31277</v>
      </c>
      <c r="D2581" s="2" t="s">
        <v>13</v>
      </c>
      <c r="E2581">
        <v>6</v>
      </c>
      <c r="F2581">
        <v>1</v>
      </c>
      <c r="G2581" s="4">
        <f>VALUE(SUBSTITUTE(SUBSTITUTE(Table1[[#This Row],[Price]],"$",""),",",""))</f>
        <v>1312269</v>
      </c>
      <c r="H2581" s="1">
        <f>Table1[[#This Row],[Price2]]/Table1[[#This Row],[Area]]</f>
        <v>510.41190198366394</v>
      </c>
      <c r="I2581">
        <v>2571</v>
      </c>
      <c r="J2581">
        <v>2011</v>
      </c>
      <c r="K2581">
        <v>69</v>
      </c>
      <c r="L2581" t="s">
        <v>52</v>
      </c>
      <c r="M2581" t="s">
        <v>1967</v>
      </c>
      <c r="N2581" s="2" t="s">
        <v>3035</v>
      </c>
      <c r="O2581" t="s">
        <v>3036</v>
      </c>
      <c r="P2581" t="s">
        <v>16</v>
      </c>
      <c r="Q2581">
        <v>510.41190198366394</v>
      </c>
      <c r="R2581">
        <f ca="1">YEAR(TODAY())-Table1[[#This Row],[Year Built]]</f>
        <v>15</v>
      </c>
      <c r="S2581" t="str">
        <f>IF(Table1[[#This Row],[Days on Market]] &lt; 30,"Fast",IF(Table1[[#This Row],[Days on Market]]&lt;= 90,"Average", "Slow"))</f>
        <v>Average</v>
      </c>
      <c r="T2581" t="str">
        <f>IF(Table1[[#This Row],[Price2]]&lt;500000,"Affordable",IF(Table1[[#This Row],[Price2]]&lt;1000000,"Mid range","Luxury"))</f>
        <v>Luxury</v>
      </c>
    </row>
    <row r="2582" spans="1:20" x14ac:dyDescent="0.35">
      <c r="A2582" s="3">
        <v>1312306</v>
      </c>
      <c r="B2582" s="2" t="s">
        <v>12</v>
      </c>
      <c r="C2582">
        <v>17110</v>
      </c>
      <c r="D2582" s="2" t="s">
        <v>35</v>
      </c>
      <c r="E2582">
        <v>3</v>
      </c>
      <c r="F2582">
        <v>1</v>
      </c>
      <c r="G2582" s="4">
        <f>VALUE(SUBSTITUTE(SUBSTITUTE(Table1[[#This Row],[Price]],"$",""),",",""))</f>
        <v>1312306</v>
      </c>
      <c r="H2582" s="1">
        <f>Table1[[#This Row],[Price2]]/Table1[[#This Row],[Area]]</f>
        <v>507.85835913312695</v>
      </c>
      <c r="I2582">
        <v>2584</v>
      </c>
      <c r="J2582">
        <v>1952</v>
      </c>
      <c r="K2582">
        <v>30</v>
      </c>
      <c r="L2582" t="s">
        <v>19</v>
      </c>
      <c r="M2582" t="s">
        <v>1065</v>
      </c>
      <c r="N2582" s="2" t="s">
        <v>3035</v>
      </c>
      <c r="O2582" t="s">
        <v>3036</v>
      </c>
      <c r="P2582" t="s">
        <v>16</v>
      </c>
      <c r="Q2582">
        <v>507.85835913312695</v>
      </c>
      <c r="R2582">
        <f ca="1">YEAR(TODAY())-Table1[[#This Row],[Year Built]]</f>
        <v>74</v>
      </c>
      <c r="S2582" t="str">
        <f>IF(Table1[[#This Row],[Days on Market]] &lt; 30,"Fast",IF(Table1[[#This Row],[Days on Market]]&lt;= 90,"Average", "Slow"))</f>
        <v>Average</v>
      </c>
      <c r="T2582" t="str">
        <f>IF(Table1[[#This Row],[Price2]]&lt;500000,"Affordable",IF(Table1[[#This Row],[Price2]]&lt;1000000,"Mid range","Luxury"))</f>
        <v>Luxury</v>
      </c>
    </row>
    <row r="2583" spans="1:20" x14ac:dyDescent="0.35">
      <c r="A2583" s="3">
        <v>1312514</v>
      </c>
      <c r="B2583" s="2" t="s">
        <v>12</v>
      </c>
      <c r="C2583">
        <v>48650</v>
      </c>
      <c r="D2583" s="2" t="s">
        <v>35</v>
      </c>
      <c r="E2583">
        <v>6</v>
      </c>
      <c r="F2583">
        <v>3</v>
      </c>
      <c r="G2583" s="4">
        <f>VALUE(SUBSTITUTE(SUBSTITUTE(Table1[[#This Row],[Price]],"$",""),",",""))</f>
        <v>1312514</v>
      </c>
      <c r="H2583" s="1">
        <f>Table1[[#This Row],[Price2]]/Table1[[#This Row],[Area]]</f>
        <v>331.02496847414881</v>
      </c>
      <c r="I2583">
        <v>3965</v>
      </c>
      <c r="J2583">
        <v>2010</v>
      </c>
      <c r="K2583">
        <v>31</v>
      </c>
      <c r="L2583" t="s">
        <v>30</v>
      </c>
      <c r="M2583" t="s">
        <v>1570</v>
      </c>
      <c r="N2583" s="2" t="s">
        <v>3027</v>
      </c>
      <c r="O2583" t="s">
        <v>3028</v>
      </c>
      <c r="P2583" t="s">
        <v>16</v>
      </c>
      <c r="Q2583">
        <v>331.02496847414881</v>
      </c>
      <c r="R2583">
        <f ca="1">YEAR(TODAY())-Table1[[#This Row],[Year Built]]</f>
        <v>16</v>
      </c>
      <c r="S2583" t="str">
        <f>IF(Table1[[#This Row],[Days on Market]] &lt; 30,"Fast",IF(Table1[[#This Row],[Days on Market]]&lt;= 90,"Average", "Slow"))</f>
        <v>Average</v>
      </c>
      <c r="T2583" t="str">
        <f>IF(Table1[[#This Row],[Price2]]&lt;500000,"Affordable",IF(Table1[[#This Row],[Price2]]&lt;1000000,"Mid range","Luxury"))</f>
        <v>Luxury</v>
      </c>
    </row>
    <row r="2584" spans="1:20" x14ac:dyDescent="0.35">
      <c r="A2584" s="3">
        <v>1312715</v>
      </c>
      <c r="B2584" s="2" t="s">
        <v>12</v>
      </c>
      <c r="C2584">
        <v>90523</v>
      </c>
      <c r="D2584" s="2" t="s">
        <v>29</v>
      </c>
      <c r="E2584">
        <v>4</v>
      </c>
      <c r="F2584">
        <v>4</v>
      </c>
      <c r="G2584" s="4">
        <f>VALUE(SUBSTITUTE(SUBSTITUTE(Table1[[#This Row],[Price]],"$",""),",",""))</f>
        <v>1312715</v>
      </c>
      <c r="H2584" s="1">
        <f>Table1[[#This Row],[Price2]]/Table1[[#This Row],[Area]]</f>
        <v>819.9344159900063</v>
      </c>
      <c r="I2584">
        <v>1601</v>
      </c>
      <c r="J2584">
        <v>1955</v>
      </c>
      <c r="K2584">
        <v>90</v>
      </c>
      <c r="L2584" t="s">
        <v>30</v>
      </c>
      <c r="M2584" t="s">
        <v>593</v>
      </c>
      <c r="N2584" s="2" t="s">
        <v>3033</v>
      </c>
      <c r="O2584" t="s">
        <v>3034</v>
      </c>
      <c r="P2584" t="s">
        <v>16</v>
      </c>
      <c r="Q2584">
        <v>819.9344159900063</v>
      </c>
      <c r="R2584">
        <f ca="1">YEAR(TODAY())-Table1[[#This Row],[Year Built]]</f>
        <v>71</v>
      </c>
      <c r="S2584" t="str">
        <f>IF(Table1[[#This Row],[Days on Market]] &lt; 30,"Fast",IF(Table1[[#This Row],[Days on Market]]&lt;= 90,"Average", "Slow"))</f>
        <v>Average</v>
      </c>
      <c r="T2584" t="str">
        <f>IF(Table1[[#This Row],[Price2]]&lt;500000,"Affordable",IF(Table1[[#This Row],[Price2]]&lt;1000000,"Mid range","Luxury"))</f>
        <v>Luxury</v>
      </c>
    </row>
    <row r="2585" spans="1:20" x14ac:dyDescent="0.35">
      <c r="A2585" s="3">
        <v>1313735</v>
      </c>
      <c r="B2585" s="2" t="s">
        <v>34</v>
      </c>
      <c r="C2585">
        <v>50174</v>
      </c>
      <c r="D2585" s="2" t="s">
        <v>35</v>
      </c>
      <c r="E2585">
        <v>1</v>
      </c>
      <c r="F2585">
        <v>3</v>
      </c>
      <c r="G2585" s="4">
        <f>VALUE(SUBSTITUTE(SUBSTITUTE(Table1[[#This Row],[Price]],"$",""),",",""))</f>
        <v>1313735</v>
      </c>
      <c r="H2585" s="1">
        <f>Table1[[#This Row],[Price2]]/Table1[[#This Row],[Area]]</f>
        <v>935.04270462633451</v>
      </c>
      <c r="I2585">
        <v>1405</v>
      </c>
      <c r="J2585">
        <v>2006</v>
      </c>
      <c r="K2585">
        <v>105</v>
      </c>
      <c r="L2585" t="s">
        <v>14</v>
      </c>
      <c r="M2585" t="s">
        <v>1052</v>
      </c>
      <c r="N2585" s="2" t="s">
        <v>3027</v>
      </c>
      <c r="O2585" t="s">
        <v>3028</v>
      </c>
      <c r="P2585" t="s">
        <v>16</v>
      </c>
      <c r="Q2585">
        <v>935.04270462633451</v>
      </c>
      <c r="R2585">
        <f ca="1">YEAR(TODAY())-Table1[[#This Row],[Year Built]]</f>
        <v>20</v>
      </c>
      <c r="S2585" t="str">
        <f>IF(Table1[[#This Row],[Days on Market]] &lt; 30,"Fast",IF(Table1[[#This Row],[Days on Market]]&lt;= 90,"Average", "Slow"))</f>
        <v>Slow</v>
      </c>
      <c r="T2585" t="str">
        <f>IF(Table1[[#This Row],[Price2]]&lt;500000,"Affordable",IF(Table1[[#This Row],[Price2]]&lt;1000000,"Mid range","Luxury"))</f>
        <v>Luxury</v>
      </c>
    </row>
    <row r="2586" spans="1:20" x14ac:dyDescent="0.35">
      <c r="A2586" s="3">
        <v>1313935</v>
      </c>
      <c r="B2586" s="2" t="s">
        <v>12</v>
      </c>
      <c r="C2586">
        <v>49609</v>
      </c>
      <c r="D2586" s="2" t="s">
        <v>23</v>
      </c>
      <c r="E2586">
        <v>4</v>
      </c>
      <c r="F2586">
        <v>4</v>
      </c>
      <c r="G2586" s="4">
        <f>VALUE(SUBSTITUTE(SUBSTITUTE(Table1[[#This Row],[Price]],"$",""),",",""))</f>
        <v>1313935</v>
      </c>
      <c r="H2586" s="1">
        <f>Table1[[#This Row],[Price2]]/Table1[[#This Row],[Area]]</f>
        <v>660.93309859154931</v>
      </c>
      <c r="I2586">
        <v>1988</v>
      </c>
      <c r="J2586">
        <v>2007</v>
      </c>
      <c r="K2586">
        <v>41</v>
      </c>
      <c r="L2586" t="s">
        <v>14</v>
      </c>
      <c r="M2586" t="s">
        <v>1663</v>
      </c>
      <c r="N2586" s="2" t="s">
        <v>3033</v>
      </c>
      <c r="O2586" t="s">
        <v>3034</v>
      </c>
      <c r="P2586" t="s">
        <v>26</v>
      </c>
      <c r="Q2586">
        <v>660.93309859154931</v>
      </c>
      <c r="R2586">
        <f ca="1">YEAR(TODAY())-Table1[[#This Row],[Year Built]]</f>
        <v>19</v>
      </c>
      <c r="S2586" t="str">
        <f>IF(Table1[[#This Row],[Days on Market]] &lt; 30,"Fast",IF(Table1[[#This Row],[Days on Market]]&lt;= 90,"Average", "Slow"))</f>
        <v>Average</v>
      </c>
      <c r="T2586" t="str">
        <f>IF(Table1[[#This Row],[Price2]]&lt;500000,"Affordable",IF(Table1[[#This Row],[Price2]]&lt;1000000,"Mid range","Luxury"))</f>
        <v>Luxury</v>
      </c>
    </row>
    <row r="2587" spans="1:20" x14ac:dyDescent="0.35">
      <c r="A2587" s="3">
        <v>1314092</v>
      </c>
      <c r="B2587" s="2" t="s">
        <v>22</v>
      </c>
      <c r="C2587">
        <v>41117</v>
      </c>
      <c r="D2587" s="2" t="s">
        <v>18</v>
      </c>
      <c r="E2587">
        <v>3</v>
      </c>
      <c r="F2587">
        <v>2</v>
      </c>
      <c r="G2587" s="4">
        <f>VALUE(SUBSTITUTE(SUBSTITUTE(Table1[[#This Row],[Price]],"$",""),",",""))</f>
        <v>1314092</v>
      </c>
      <c r="H2587" s="1">
        <f>Table1[[#This Row],[Price2]]/Table1[[#This Row],[Area]]</f>
        <v>547.76656940391831</v>
      </c>
      <c r="I2587">
        <v>2399</v>
      </c>
      <c r="J2587">
        <v>2023</v>
      </c>
      <c r="K2587">
        <v>58</v>
      </c>
      <c r="L2587" t="s">
        <v>14</v>
      </c>
      <c r="M2587" t="s">
        <v>2761</v>
      </c>
      <c r="N2587" s="2" t="s">
        <v>3031</v>
      </c>
      <c r="O2587" t="s">
        <v>3032</v>
      </c>
      <c r="P2587" t="s">
        <v>16</v>
      </c>
      <c r="Q2587">
        <v>547.76656940391831</v>
      </c>
      <c r="R2587">
        <f ca="1">YEAR(TODAY())-Table1[[#This Row],[Year Built]]</f>
        <v>3</v>
      </c>
      <c r="S2587" t="str">
        <f>IF(Table1[[#This Row],[Days on Market]] &lt; 30,"Fast",IF(Table1[[#This Row],[Days on Market]]&lt;= 90,"Average", "Slow"))</f>
        <v>Average</v>
      </c>
      <c r="T2587" t="str">
        <f>IF(Table1[[#This Row],[Price2]]&lt;500000,"Affordable",IF(Table1[[#This Row],[Price2]]&lt;1000000,"Mid range","Luxury"))</f>
        <v>Luxury</v>
      </c>
    </row>
    <row r="2588" spans="1:20" x14ac:dyDescent="0.35">
      <c r="A2588" s="3">
        <v>1314524</v>
      </c>
      <c r="B2588" s="2" t="s">
        <v>22</v>
      </c>
      <c r="C2588">
        <v>36145</v>
      </c>
      <c r="D2588" s="2" t="s">
        <v>35</v>
      </c>
      <c r="E2588">
        <v>6</v>
      </c>
      <c r="F2588">
        <v>2</v>
      </c>
      <c r="G2588" s="4">
        <f>VALUE(SUBSTITUTE(SUBSTITUTE(Table1[[#This Row],[Price]],"$",""),",",""))</f>
        <v>1314524</v>
      </c>
      <c r="H2588" s="1">
        <f>Table1[[#This Row],[Price2]]/Table1[[#This Row],[Area]]</f>
        <v>1859.2984441301273</v>
      </c>
      <c r="I2588">
        <v>707</v>
      </c>
      <c r="J2588">
        <v>1950</v>
      </c>
      <c r="K2588">
        <v>43</v>
      </c>
      <c r="L2588" t="s">
        <v>40</v>
      </c>
      <c r="M2588" t="s">
        <v>1238</v>
      </c>
      <c r="N2588" s="2" t="s">
        <v>3035</v>
      </c>
      <c r="O2588" t="s">
        <v>3036</v>
      </c>
      <c r="P2588" t="s">
        <v>21</v>
      </c>
      <c r="Q2588">
        <v>1859.2984441301273</v>
      </c>
      <c r="R2588">
        <f ca="1">YEAR(TODAY())-Table1[[#This Row],[Year Built]]</f>
        <v>76</v>
      </c>
      <c r="S2588" t="str">
        <f>IF(Table1[[#This Row],[Days on Market]] &lt; 30,"Fast",IF(Table1[[#This Row],[Days on Market]]&lt;= 90,"Average", "Slow"))</f>
        <v>Average</v>
      </c>
      <c r="T2588" t="str">
        <f>IF(Table1[[#This Row],[Price2]]&lt;500000,"Affordable",IF(Table1[[#This Row],[Price2]]&lt;1000000,"Mid range","Luxury"))</f>
        <v>Luxury</v>
      </c>
    </row>
    <row r="2589" spans="1:20" x14ac:dyDescent="0.35">
      <c r="A2589" s="3">
        <v>1314599</v>
      </c>
      <c r="B2589" s="2" t="s">
        <v>27</v>
      </c>
      <c r="C2589">
        <v>55480</v>
      </c>
      <c r="D2589" s="2" t="s">
        <v>13</v>
      </c>
      <c r="E2589">
        <v>2</v>
      </c>
      <c r="F2589">
        <v>4</v>
      </c>
      <c r="G2589" s="4">
        <f>VALUE(SUBSTITUTE(SUBSTITUTE(Table1[[#This Row],[Price]],"$",""),",",""))</f>
        <v>1314599</v>
      </c>
      <c r="H2589" s="1">
        <f>Table1[[#This Row],[Price2]]/Table1[[#This Row],[Area]]</f>
        <v>472.19791666666669</v>
      </c>
      <c r="I2589">
        <v>2784</v>
      </c>
      <c r="J2589">
        <v>1980</v>
      </c>
      <c r="K2589">
        <v>40</v>
      </c>
      <c r="L2589" t="s">
        <v>19</v>
      </c>
      <c r="M2589" t="s">
        <v>553</v>
      </c>
      <c r="N2589" s="2" t="s">
        <v>3033</v>
      </c>
      <c r="O2589" t="s">
        <v>3034</v>
      </c>
      <c r="P2589" t="s">
        <v>21</v>
      </c>
      <c r="Q2589">
        <v>472.19791666666669</v>
      </c>
      <c r="R2589">
        <f ca="1">YEAR(TODAY())-Table1[[#This Row],[Year Built]]</f>
        <v>46</v>
      </c>
      <c r="S2589" t="str">
        <f>IF(Table1[[#This Row],[Days on Market]] &lt; 30,"Fast",IF(Table1[[#This Row],[Days on Market]]&lt;= 90,"Average", "Slow"))</f>
        <v>Average</v>
      </c>
      <c r="T2589" t="str">
        <f>IF(Table1[[#This Row],[Price2]]&lt;500000,"Affordable",IF(Table1[[#This Row],[Price2]]&lt;1000000,"Mid range","Luxury"))</f>
        <v>Luxury</v>
      </c>
    </row>
    <row r="2590" spans="1:20" x14ac:dyDescent="0.35">
      <c r="A2590" s="3">
        <v>1314753</v>
      </c>
      <c r="B2590" s="2" t="s">
        <v>27</v>
      </c>
      <c r="C2590">
        <v>46396</v>
      </c>
      <c r="D2590" s="2" t="s">
        <v>13</v>
      </c>
      <c r="E2590">
        <v>5</v>
      </c>
      <c r="F2590">
        <v>1</v>
      </c>
      <c r="G2590" s="4">
        <f>VALUE(SUBSTITUTE(SUBSTITUTE(Table1[[#This Row],[Price]],"$",""),",",""))</f>
        <v>1314753</v>
      </c>
      <c r="H2590" s="1">
        <f>Table1[[#This Row],[Price2]]/Table1[[#This Row],[Area]]</f>
        <v>429.65784313725493</v>
      </c>
      <c r="I2590">
        <v>3060</v>
      </c>
      <c r="J2590">
        <v>1992</v>
      </c>
      <c r="K2590">
        <v>98</v>
      </c>
      <c r="L2590" t="s">
        <v>52</v>
      </c>
      <c r="M2590" t="s">
        <v>762</v>
      </c>
      <c r="N2590" s="2" t="s">
        <v>3029</v>
      </c>
      <c r="O2590" t="s">
        <v>3030</v>
      </c>
      <c r="P2590" t="s">
        <v>26</v>
      </c>
      <c r="Q2590">
        <v>429.65784313725493</v>
      </c>
      <c r="R2590">
        <f ca="1">YEAR(TODAY())-Table1[[#This Row],[Year Built]]</f>
        <v>34</v>
      </c>
      <c r="S2590" t="str">
        <f>IF(Table1[[#This Row],[Days on Market]] &lt; 30,"Fast",IF(Table1[[#This Row],[Days on Market]]&lt;= 90,"Average", "Slow"))</f>
        <v>Slow</v>
      </c>
      <c r="T2590" t="str">
        <f>IF(Table1[[#This Row],[Price2]]&lt;500000,"Affordable",IF(Table1[[#This Row],[Price2]]&lt;1000000,"Mid range","Luxury"))</f>
        <v>Luxury</v>
      </c>
    </row>
    <row r="2591" spans="1:20" x14ac:dyDescent="0.35">
      <c r="A2591" s="3">
        <v>1315096</v>
      </c>
      <c r="B2591" s="2" t="s">
        <v>12</v>
      </c>
      <c r="C2591">
        <v>98880</v>
      </c>
      <c r="D2591" s="2" t="s">
        <v>29</v>
      </c>
      <c r="E2591">
        <v>1</v>
      </c>
      <c r="F2591">
        <v>4</v>
      </c>
      <c r="G2591" s="4">
        <f>VALUE(SUBSTITUTE(SUBSTITUTE(Table1[[#This Row],[Price]],"$",""),",",""))</f>
        <v>1315096</v>
      </c>
      <c r="H2591" s="1">
        <f>Table1[[#This Row],[Price2]]/Table1[[#This Row],[Area]]</f>
        <v>433.31004942339376</v>
      </c>
      <c r="I2591">
        <v>3035</v>
      </c>
      <c r="J2591">
        <v>1987</v>
      </c>
      <c r="K2591">
        <v>42</v>
      </c>
      <c r="L2591" t="s">
        <v>19</v>
      </c>
      <c r="M2591" t="s">
        <v>2708</v>
      </c>
      <c r="N2591" s="2" t="s">
        <v>3029</v>
      </c>
      <c r="O2591" t="s">
        <v>3030</v>
      </c>
      <c r="P2591" t="s">
        <v>16</v>
      </c>
      <c r="Q2591">
        <v>433.31004942339376</v>
      </c>
      <c r="R2591">
        <f ca="1">YEAR(TODAY())-Table1[[#This Row],[Year Built]]</f>
        <v>39</v>
      </c>
      <c r="S2591" t="str">
        <f>IF(Table1[[#This Row],[Days on Market]] &lt; 30,"Fast",IF(Table1[[#This Row],[Days on Market]]&lt;= 90,"Average", "Slow"))</f>
        <v>Average</v>
      </c>
      <c r="T2591" t="str">
        <f>IF(Table1[[#This Row],[Price2]]&lt;500000,"Affordable",IF(Table1[[#This Row],[Price2]]&lt;1000000,"Mid range","Luxury"))</f>
        <v>Luxury</v>
      </c>
    </row>
    <row r="2592" spans="1:20" x14ac:dyDescent="0.35">
      <c r="A2592" s="3">
        <v>1315315</v>
      </c>
      <c r="B2592" s="2" t="s">
        <v>34</v>
      </c>
      <c r="C2592">
        <v>29040</v>
      </c>
      <c r="D2592" s="2" t="s">
        <v>35</v>
      </c>
      <c r="E2592">
        <v>1</v>
      </c>
      <c r="F2592">
        <v>1</v>
      </c>
      <c r="G2592" s="4">
        <f>VALUE(SUBSTITUTE(SUBSTITUTE(Table1[[#This Row],[Price]],"$",""),",",""))</f>
        <v>1315315</v>
      </c>
      <c r="H2592" s="1">
        <f>Table1[[#This Row],[Price2]]/Table1[[#This Row],[Area]]</f>
        <v>694.09762532981529</v>
      </c>
      <c r="I2592">
        <v>1895</v>
      </c>
      <c r="J2592">
        <v>2002</v>
      </c>
      <c r="K2592">
        <v>39</v>
      </c>
      <c r="L2592" t="s">
        <v>30</v>
      </c>
      <c r="M2592" t="s">
        <v>289</v>
      </c>
      <c r="N2592" s="2" t="s">
        <v>3035</v>
      </c>
      <c r="O2592" t="s">
        <v>3036</v>
      </c>
      <c r="P2592" t="s">
        <v>26</v>
      </c>
      <c r="Q2592">
        <v>694.09762532981529</v>
      </c>
      <c r="R2592">
        <f ca="1">YEAR(TODAY())-Table1[[#This Row],[Year Built]]</f>
        <v>24</v>
      </c>
      <c r="S2592" t="str">
        <f>IF(Table1[[#This Row],[Days on Market]] &lt; 30,"Fast",IF(Table1[[#This Row],[Days on Market]]&lt;= 90,"Average", "Slow"))</f>
        <v>Average</v>
      </c>
      <c r="T2592" t="str">
        <f>IF(Table1[[#This Row],[Price2]]&lt;500000,"Affordable",IF(Table1[[#This Row],[Price2]]&lt;1000000,"Mid range","Luxury"))</f>
        <v>Luxury</v>
      </c>
    </row>
    <row r="2593" spans="1:20" x14ac:dyDescent="0.35">
      <c r="A2593" s="3">
        <v>1315724</v>
      </c>
      <c r="B2593" s="2" t="s">
        <v>12</v>
      </c>
      <c r="C2593">
        <v>65088</v>
      </c>
      <c r="D2593" s="2" t="s">
        <v>13</v>
      </c>
      <c r="E2593">
        <v>4</v>
      </c>
      <c r="F2593">
        <v>4</v>
      </c>
      <c r="G2593" s="4">
        <f>VALUE(SUBSTITUTE(SUBSTITUTE(Table1[[#This Row],[Price]],"$",""),",",""))</f>
        <v>1315724</v>
      </c>
      <c r="H2593" s="1">
        <f>Table1[[#This Row],[Price2]]/Table1[[#This Row],[Area]]</f>
        <v>395.70646616541353</v>
      </c>
      <c r="I2593">
        <v>3325</v>
      </c>
      <c r="J2593">
        <v>2001</v>
      </c>
      <c r="K2593">
        <v>103</v>
      </c>
      <c r="L2593" t="s">
        <v>14</v>
      </c>
      <c r="M2593" t="s">
        <v>2311</v>
      </c>
      <c r="N2593" s="2" t="s">
        <v>3029</v>
      </c>
      <c r="O2593" t="s">
        <v>3030</v>
      </c>
      <c r="P2593" t="s">
        <v>21</v>
      </c>
      <c r="Q2593">
        <v>395.70646616541353</v>
      </c>
      <c r="R2593">
        <f ca="1">YEAR(TODAY())-Table1[[#This Row],[Year Built]]</f>
        <v>25</v>
      </c>
      <c r="S2593" t="str">
        <f>IF(Table1[[#This Row],[Days on Market]] &lt; 30,"Fast",IF(Table1[[#This Row],[Days on Market]]&lt;= 90,"Average", "Slow"))</f>
        <v>Slow</v>
      </c>
      <c r="T2593" t="str">
        <f>IF(Table1[[#This Row],[Price2]]&lt;500000,"Affordable",IF(Table1[[#This Row],[Price2]]&lt;1000000,"Mid range","Luxury"))</f>
        <v>Luxury</v>
      </c>
    </row>
    <row r="2594" spans="1:20" x14ac:dyDescent="0.35">
      <c r="A2594" s="3">
        <v>1315813</v>
      </c>
      <c r="B2594" s="2" t="s">
        <v>12</v>
      </c>
      <c r="C2594">
        <v>16773</v>
      </c>
      <c r="D2594" s="2" t="s">
        <v>18</v>
      </c>
      <c r="E2594">
        <v>3</v>
      </c>
      <c r="F2594">
        <v>2</v>
      </c>
      <c r="G2594" s="4">
        <f>VALUE(SUBSTITUTE(SUBSTITUTE(Table1[[#This Row],[Price]],"$",""),",",""))</f>
        <v>1315813</v>
      </c>
      <c r="H2594" s="1">
        <f>Table1[[#This Row],[Price2]]/Table1[[#This Row],[Area]]</f>
        <v>374.55536578422999</v>
      </c>
      <c r="I2594">
        <v>3513</v>
      </c>
      <c r="J2594">
        <v>2007</v>
      </c>
      <c r="K2594">
        <v>113</v>
      </c>
      <c r="L2594" t="s">
        <v>30</v>
      </c>
      <c r="M2594" t="s">
        <v>1153</v>
      </c>
      <c r="N2594" s="2" t="s">
        <v>3035</v>
      </c>
      <c r="O2594" t="s">
        <v>3036</v>
      </c>
      <c r="P2594" t="s">
        <v>26</v>
      </c>
      <c r="Q2594">
        <v>374.55536578422999</v>
      </c>
      <c r="R2594">
        <f ca="1">YEAR(TODAY())-Table1[[#This Row],[Year Built]]</f>
        <v>19</v>
      </c>
      <c r="S2594" t="str">
        <f>IF(Table1[[#This Row],[Days on Market]] &lt; 30,"Fast",IF(Table1[[#This Row],[Days on Market]]&lt;= 90,"Average", "Slow"))</f>
        <v>Slow</v>
      </c>
      <c r="T2594" t="str">
        <f>IF(Table1[[#This Row],[Price2]]&lt;500000,"Affordable",IF(Table1[[#This Row],[Price2]]&lt;1000000,"Mid range","Luxury"))</f>
        <v>Luxury</v>
      </c>
    </row>
    <row r="2595" spans="1:20" x14ac:dyDescent="0.35">
      <c r="A2595" s="3">
        <v>1316335</v>
      </c>
      <c r="B2595" s="2" t="s">
        <v>17</v>
      </c>
      <c r="C2595">
        <v>80231</v>
      </c>
      <c r="D2595" s="2" t="s">
        <v>13</v>
      </c>
      <c r="E2595">
        <v>5</v>
      </c>
      <c r="F2595">
        <v>1</v>
      </c>
      <c r="G2595" s="4">
        <f>VALUE(SUBSTITUTE(SUBSTITUTE(Table1[[#This Row],[Price]],"$",""),",",""))</f>
        <v>1316335</v>
      </c>
      <c r="H2595" s="1">
        <f>Table1[[#This Row],[Price2]]/Table1[[#This Row],[Area]]</f>
        <v>333.0807186234818</v>
      </c>
      <c r="I2595">
        <v>3952</v>
      </c>
      <c r="J2595">
        <v>2004</v>
      </c>
      <c r="K2595">
        <v>15</v>
      </c>
      <c r="L2595" t="s">
        <v>19</v>
      </c>
      <c r="M2595" t="s">
        <v>2641</v>
      </c>
      <c r="N2595" s="2" t="s">
        <v>3035</v>
      </c>
      <c r="O2595" t="s">
        <v>3036</v>
      </c>
      <c r="P2595" t="s">
        <v>26</v>
      </c>
      <c r="Q2595">
        <v>333.0807186234818</v>
      </c>
      <c r="R2595">
        <f ca="1">YEAR(TODAY())-Table1[[#This Row],[Year Built]]</f>
        <v>22</v>
      </c>
      <c r="S2595" t="str">
        <f>IF(Table1[[#This Row],[Days on Market]] &lt; 30,"Fast",IF(Table1[[#This Row],[Days on Market]]&lt;= 90,"Average", "Slow"))</f>
        <v>Fast</v>
      </c>
      <c r="T2595" t="str">
        <f>IF(Table1[[#This Row],[Price2]]&lt;500000,"Affordable",IF(Table1[[#This Row],[Price2]]&lt;1000000,"Mid range","Luxury"))</f>
        <v>Luxury</v>
      </c>
    </row>
    <row r="2596" spans="1:20" x14ac:dyDescent="0.35">
      <c r="A2596" s="3">
        <v>1318586</v>
      </c>
      <c r="B2596" s="2" t="s">
        <v>17</v>
      </c>
      <c r="C2596">
        <v>73201</v>
      </c>
      <c r="D2596" s="2" t="s">
        <v>13</v>
      </c>
      <c r="E2596">
        <v>3</v>
      </c>
      <c r="F2596">
        <v>1</v>
      </c>
      <c r="G2596" s="4">
        <f>VALUE(SUBSTITUTE(SUBSTITUTE(Table1[[#This Row],[Price]],"$",""),",",""))</f>
        <v>1318586</v>
      </c>
      <c r="H2596" s="1">
        <f>Table1[[#This Row],[Price2]]/Table1[[#This Row],[Area]]</f>
        <v>418.0678503487635</v>
      </c>
      <c r="I2596">
        <v>3154</v>
      </c>
      <c r="J2596">
        <v>1952</v>
      </c>
      <c r="K2596">
        <v>37</v>
      </c>
      <c r="L2596" t="s">
        <v>14</v>
      </c>
      <c r="M2596" t="s">
        <v>1887</v>
      </c>
      <c r="N2596" s="2" t="s">
        <v>3035</v>
      </c>
      <c r="O2596" t="s">
        <v>3036</v>
      </c>
      <c r="P2596" t="s">
        <v>21</v>
      </c>
      <c r="Q2596">
        <v>418.0678503487635</v>
      </c>
      <c r="R2596">
        <f ca="1">YEAR(TODAY())-Table1[[#This Row],[Year Built]]</f>
        <v>74</v>
      </c>
      <c r="S2596" t="str">
        <f>IF(Table1[[#This Row],[Days on Market]] &lt; 30,"Fast",IF(Table1[[#This Row],[Days on Market]]&lt;= 90,"Average", "Slow"))</f>
        <v>Average</v>
      </c>
      <c r="T2596" t="str">
        <f>IF(Table1[[#This Row],[Price2]]&lt;500000,"Affordable",IF(Table1[[#This Row],[Price2]]&lt;1000000,"Mid range","Luxury"))</f>
        <v>Luxury</v>
      </c>
    </row>
    <row r="2597" spans="1:20" x14ac:dyDescent="0.35">
      <c r="A2597" s="3">
        <v>1318906</v>
      </c>
      <c r="B2597" s="2" t="s">
        <v>34</v>
      </c>
      <c r="C2597">
        <v>43032</v>
      </c>
      <c r="D2597" s="2" t="s">
        <v>13</v>
      </c>
      <c r="E2597">
        <v>4</v>
      </c>
      <c r="F2597">
        <v>2</v>
      </c>
      <c r="G2597" s="4">
        <f>VALUE(SUBSTITUTE(SUBSTITUTE(Table1[[#This Row],[Price]],"$",""),",",""))</f>
        <v>1318906</v>
      </c>
      <c r="H2597" s="1">
        <f>Table1[[#This Row],[Price2]]/Table1[[#This Row],[Area]]</f>
        <v>729.08015478164737</v>
      </c>
      <c r="I2597">
        <v>1809</v>
      </c>
      <c r="J2597">
        <v>2015</v>
      </c>
      <c r="K2597">
        <v>90</v>
      </c>
      <c r="L2597" t="s">
        <v>40</v>
      </c>
      <c r="M2597" t="s">
        <v>2354</v>
      </c>
      <c r="N2597" s="2" t="s">
        <v>3029</v>
      </c>
      <c r="O2597" t="s">
        <v>3030</v>
      </c>
      <c r="P2597" t="s">
        <v>16</v>
      </c>
      <c r="Q2597">
        <v>729.08015478164737</v>
      </c>
      <c r="R2597">
        <f ca="1">YEAR(TODAY())-Table1[[#This Row],[Year Built]]</f>
        <v>11</v>
      </c>
      <c r="S2597" t="str">
        <f>IF(Table1[[#This Row],[Days on Market]] &lt; 30,"Fast",IF(Table1[[#This Row],[Days on Market]]&lt;= 90,"Average", "Slow"))</f>
        <v>Average</v>
      </c>
      <c r="T2597" t="str">
        <f>IF(Table1[[#This Row],[Price2]]&lt;500000,"Affordable",IF(Table1[[#This Row],[Price2]]&lt;1000000,"Mid range","Luxury"))</f>
        <v>Luxury</v>
      </c>
    </row>
    <row r="2598" spans="1:20" x14ac:dyDescent="0.35">
      <c r="A2598" s="3">
        <v>1319677</v>
      </c>
      <c r="B2598" s="2" t="s">
        <v>27</v>
      </c>
      <c r="C2598">
        <v>18778</v>
      </c>
      <c r="D2598" s="2" t="s">
        <v>23</v>
      </c>
      <c r="E2598">
        <v>6</v>
      </c>
      <c r="F2598">
        <v>3</v>
      </c>
      <c r="G2598" s="4">
        <f>VALUE(SUBSTITUTE(SUBSTITUTE(Table1[[#This Row],[Price]],"$",""),",",""))</f>
        <v>1319677</v>
      </c>
      <c r="H2598" s="1">
        <f>Table1[[#This Row],[Price2]]/Table1[[#This Row],[Area]]</f>
        <v>1007.3870229007633</v>
      </c>
      <c r="I2598">
        <v>1310</v>
      </c>
      <c r="J2598">
        <v>1967</v>
      </c>
      <c r="K2598">
        <v>120</v>
      </c>
      <c r="L2598" t="s">
        <v>14</v>
      </c>
      <c r="M2598" t="s">
        <v>260</v>
      </c>
      <c r="N2598" s="2" t="s">
        <v>3035</v>
      </c>
      <c r="O2598" t="s">
        <v>3036</v>
      </c>
      <c r="P2598" t="s">
        <v>16</v>
      </c>
      <c r="Q2598">
        <v>1007.3870229007633</v>
      </c>
      <c r="R2598">
        <f ca="1">YEAR(TODAY())-Table1[[#This Row],[Year Built]]</f>
        <v>59</v>
      </c>
      <c r="S2598" t="str">
        <f>IF(Table1[[#This Row],[Days on Market]] &lt; 30,"Fast",IF(Table1[[#This Row],[Days on Market]]&lt;= 90,"Average", "Slow"))</f>
        <v>Slow</v>
      </c>
      <c r="T2598" t="str">
        <f>IF(Table1[[#This Row],[Price2]]&lt;500000,"Affordable",IF(Table1[[#This Row],[Price2]]&lt;1000000,"Mid range","Luxury"))</f>
        <v>Luxury</v>
      </c>
    </row>
    <row r="2599" spans="1:20" x14ac:dyDescent="0.35">
      <c r="A2599" s="3">
        <v>1319712</v>
      </c>
      <c r="B2599" s="2" t="s">
        <v>34</v>
      </c>
      <c r="C2599">
        <v>31676</v>
      </c>
      <c r="D2599" s="2" t="s">
        <v>35</v>
      </c>
      <c r="E2599">
        <v>4</v>
      </c>
      <c r="F2599">
        <v>4</v>
      </c>
      <c r="G2599" s="4">
        <f>VALUE(SUBSTITUTE(SUBSTITUTE(Table1[[#This Row],[Price]],"$",""),",",""))</f>
        <v>1319712</v>
      </c>
      <c r="H2599" s="1">
        <f>Table1[[#This Row],[Price2]]/Table1[[#This Row],[Area]]</f>
        <v>337.60859554873372</v>
      </c>
      <c r="I2599">
        <v>3909</v>
      </c>
      <c r="J2599">
        <v>1979</v>
      </c>
      <c r="K2599">
        <v>3</v>
      </c>
      <c r="L2599" t="s">
        <v>40</v>
      </c>
      <c r="M2599" t="s">
        <v>1473</v>
      </c>
      <c r="N2599" s="2" t="s">
        <v>3029</v>
      </c>
      <c r="O2599" t="s">
        <v>3030</v>
      </c>
      <c r="P2599" t="s">
        <v>26</v>
      </c>
      <c r="Q2599">
        <v>337.60859554873372</v>
      </c>
      <c r="R2599">
        <f ca="1">YEAR(TODAY())-Table1[[#This Row],[Year Built]]</f>
        <v>47</v>
      </c>
      <c r="S2599" t="str">
        <f>IF(Table1[[#This Row],[Days on Market]] &lt; 30,"Fast",IF(Table1[[#This Row],[Days on Market]]&lt;= 90,"Average", "Slow"))</f>
        <v>Fast</v>
      </c>
      <c r="T2599" t="str">
        <f>IF(Table1[[#This Row],[Price2]]&lt;500000,"Affordable",IF(Table1[[#This Row],[Price2]]&lt;1000000,"Mid range","Luxury"))</f>
        <v>Luxury</v>
      </c>
    </row>
    <row r="2600" spans="1:20" x14ac:dyDescent="0.35">
      <c r="A2600" s="3">
        <v>1320556</v>
      </c>
      <c r="B2600" s="2" t="s">
        <v>27</v>
      </c>
      <c r="C2600">
        <v>19798</v>
      </c>
      <c r="D2600" s="2" t="s">
        <v>23</v>
      </c>
      <c r="E2600">
        <v>6</v>
      </c>
      <c r="F2600">
        <v>1</v>
      </c>
      <c r="G2600" s="4">
        <f>VALUE(SUBSTITUTE(SUBSTITUTE(Table1[[#This Row],[Price]],"$",""),",",""))</f>
        <v>1320556</v>
      </c>
      <c r="H2600" s="1">
        <f>Table1[[#This Row],[Price2]]/Table1[[#This Row],[Area]]</f>
        <v>757.63396442914518</v>
      </c>
      <c r="I2600">
        <v>1743</v>
      </c>
      <c r="J2600">
        <v>2008</v>
      </c>
      <c r="K2600">
        <v>82</v>
      </c>
      <c r="L2600" t="s">
        <v>40</v>
      </c>
      <c r="M2600" t="s">
        <v>399</v>
      </c>
      <c r="N2600" s="2" t="s">
        <v>3033</v>
      </c>
      <c r="O2600" t="s">
        <v>3034</v>
      </c>
      <c r="P2600" t="s">
        <v>16</v>
      </c>
      <c r="Q2600">
        <v>757.63396442914518</v>
      </c>
      <c r="R2600">
        <f ca="1">YEAR(TODAY())-Table1[[#This Row],[Year Built]]</f>
        <v>18</v>
      </c>
      <c r="S2600" t="str">
        <f>IF(Table1[[#This Row],[Days on Market]] &lt; 30,"Fast",IF(Table1[[#This Row],[Days on Market]]&lt;= 90,"Average", "Slow"))</f>
        <v>Average</v>
      </c>
      <c r="T2600" t="str">
        <f>IF(Table1[[#This Row],[Price2]]&lt;500000,"Affordable",IF(Table1[[#This Row],[Price2]]&lt;1000000,"Mid range","Luxury"))</f>
        <v>Luxury</v>
      </c>
    </row>
    <row r="2601" spans="1:20" x14ac:dyDescent="0.35">
      <c r="A2601" s="3">
        <v>1321463</v>
      </c>
      <c r="B2601" s="2" t="s">
        <v>12</v>
      </c>
      <c r="C2601">
        <v>23637</v>
      </c>
      <c r="D2601" s="2" t="s">
        <v>35</v>
      </c>
      <c r="E2601">
        <v>2</v>
      </c>
      <c r="F2601">
        <v>1</v>
      </c>
      <c r="G2601" s="4">
        <f>VALUE(SUBSTITUTE(SUBSTITUTE(Table1[[#This Row],[Price]],"$",""),",",""))</f>
        <v>1321463</v>
      </c>
      <c r="H2601" s="1">
        <f>Table1[[#This Row],[Price2]]/Table1[[#This Row],[Area]]</f>
        <v>342.6142079336272</v>
      </c>
      <c r="I2601">
        <v>3857</v>
      </c>
      <c r="J2601">
        <v>2016</v>
      </c>
      <c r="K2601">
        <v>86</v>
      </c>
      <c r="L2601" t="s">
        <v>52</v>
      </c>
      <c r="M2601" t="s">
        <v>785</v>
      </c>
      <c r="N2601" s="2" t="s">
        <v>3035</v>
      </c>
      <c r="O2601" t="s">
        <v>3036</v>
      </c>
      <c r="P2601" t="s">
        <v>21</v>
      </c>
      <c r="Q2601">
        <v>342.6142079336272</v>
      </c>
      <c r="R2601">
        <f ca="1">YEAR(TODAY())-Table1[[#This Row],[Year Built]]</f>
        <v>10</v>
      </c>
      <c r="S2601" t="str">
        <f>IF(Table1[[#This Row],[Days on Market]] &lt; 30,"Fast",IF(Table1[[#This Row],[Days on Market]]&lt;= 90,"Average", "Slow"))</f>
        <v>Average</v>
      </c>
      <c r="T2601" t="str">
        <f>IF(Table1[[#This Row],[Price2]]&lt;500000,"Affordable",IF(Table1[[#This Row],[Price2]]&lt;1000000,"Mid range","Luxury"))</f>
        <v>Luxury</v>
      </c>
    </row>
    <row r="2602" spans="1:20" x14ac:dyDescent="0.35">
      <c r="A2602" s="3">
        <v>1321533</v>
      </c>
      <c r="B2602" s="2" t="s">
        <v>34</v>
      </c>
      <c r="C2602">
        <v>62332</v>
      </c>
      <c r="D2602" s="2" t="s">
        <v>35</v>
      </c>
      <c r="E2602">
        <v>2</v>
      </c>
      <c r="F2602">
        <v>3</v>
      </c>
      <c r="G2602" s="4">
        <f>VALUE(SUBSTITUTE(SUBSTITUTE(Table1[[#This Row],[Price]],"$",""),",",""))</f>
        <v>1321533</v>
      </c>
      <c r="H2602" s="1">
        <f>Table1[[#This Row],[Price2]]/Table1[[#This Row],[Area]]</f>
        <v>454.44738651994498</v>
      </c>
      <c r="I2602">
        <v>2908</v>
      </c>
      <c r="J2602">
        <v>2022</v>
      </c>
      <c r="K2602">
        <v>43</v>
      </c>
      <c r="L2602" t="s">
        <v>19</v>
      </c>
      <c r="M2602" t="s">
        <v>2101</v>
      </c>
      <c r="N2602" s="2" t="s">
        <v>3033</v>
      </c>
      <c r="O2602" t="s">
        <v>3034</v>
      </c>
      <c r="P2602" t="s">
        <v>16</v>
      </c>
      <c r="Q2602">
        <v>454.44738651994498</v>
      </c>
      <c r="R2602">
        <f ca="1">YEAR(TODAY())-Table1[[#This Row],[Year Built]]</f>
        <v>4</v>
      </c>
      <c r="S2602" t="str">
        <f>IF(Table1[[#This Row],[Days on Market]] &lt; 30,"Fast",IF(Table1[[#This Row],[Days on Market]]&lt;= 90,"Average", "Slow"))</f>
        <v>Average</v>
      </c>
      <c r="T2602" t="str">
        <f>IF(Table1[[#This Row],[Price2]]&lt;500000,"Affordable",IF(Table1[[#This Row],[Price2]]&lt;1000000,"Mid range","Luxury"))</f>
        <v>Luxury</v>
      </c>
    </row>
    <row r="2603" spans="1:20" x14ac:dyDescent="0.35">
      <c r="A2603" s="3">
        <v>1321540</v>
      </c>
      <c r="B2603" s="2" t="s">
        <v>17</v>
      </c>
      <c r="C2603">
        <v>56386</v>
      </c>
      <c r="D2603" s="2" t="s">
        <v>35</v>
      </c>
      <c r="E2603">
        <v>1</v>
      </c>
      <c r="F2603">
        <v>4</v>
      </c>
      <c r="G2603" s="4">
        <f>VALUE(SUBSTITUTE(SUBSTITUTE(Table1[[#This Row],[Price]],"$",""),",",""))</f>
        <v>1321540</v>
      </c>
      <c r="H2603" s="1">
        <f>Table1[[#This Row],[Price2]]/Table1[[#This Row],[Area]]</f>
        <v>778.75073659398936</v>
      </c>
      <c r="I2603">
        <v>1697</v>
      </c>
      <c r="J2603">
        <v>1964</v>
      </c>
      <c r="K2603">
        <v>108</v>
      </c>
      <c r="L2603" t="s">
        <v>52</v>
      </c>
      <c r="M2603" t="s">
        <v>203</v>
      </c>
      <c r="N2603" s="2" t="s">
        <v>3029</v>
      </c>
      <c r="O2603" t="s">
        <v>3030</v>
      </c>
      <c r="P2603" t="s">
        <v>16</v>
      </c>
      <c r="Q2603">
        <v>778.75073659398936</v>
      </c>
      <c r="R2603">
        <f ca="1">YEAR(TODAY())-Table1[[#This Row],[Year Built]]</f>
        <v>62</v>
      </c>
      <c r="S2603" t="str">
        <f>IF(Table1[[#This Row],[Days on Market]] &lt; 30,"Fast",IF(Table1[[#This Row],[Days on Market]]&lt;= 90,"Average", "Slow"))</f>
        <v>Slow</v>
      </c>
      <c r="T2603" t="str">
        <f>IF(Table1[[#This Row],[Price2]]&lt;500000,"Affordable",IF(Table1[[#This Row],[Price2]]&lt;1000000,"Mid range","Luxury"))</f>
        <v>Luxury</v>
      </c>
    </row>
    <row r="2604" spans="1:20" x14ac:dyDescent="0.35">
      <c r="A2604" s="3">
        <v>1321679</v>
      </c>
      <c r="B2604" s="2" t="s">
        <v>12</v>
      </c>
      <c r="C2604">
        <v>99094</v>
      </c>
      <c r="D2604" s="2" t="s">
        <v>13</v>
      </c>
      <c r="E2604">
        <v>5</v>
      </c>
      <c r="F2604">
        <v>1</v>
      </c>
      <c r="G2604" s="4">
        <f>VALUE(SUBSTITUTE(SUBSTITUTE(Table1[[#This Row],[Price]],"$",""),",",""))</f>
        <v>1321679</v>
      </c>
      <c r="H2604" s="1">
        <f>Table1[[#This Row],[Price2]]/Table1[[#This Row],[Area]]</f>
        <v>914.02420470262791</v>
      </c>
      <c r="I2604">
        <v>1446</v>
      </c>
      <c r="J2604">
        <v>1985</v>
      </c>
      <c r="K2604">
        <v>83</v>
      </c>
      <c r="L2604" t="s">
        <v>30</v>
      </c>
      <c r="M2604" t="s">
        <v>651</v>
      </c>
      <c r="N2604" s="2" t="s">
        <v>3035</v>
      </c>
      <c r="O2604" t="s">
        <v>3036</v>
      </c>
      <c r="P2604" t="s">
        <v>16</v>
      </c>
      <c r="Q2604">
        <v>914.02420470262791</v>
      </c>
      <c r="R2604">
        <f ca="1">YEAR(TODAY())-Table1[[#This Row],[Year Built]]</f>
        <v>41</v>
      </c>
      <c r="S2604" t="str">
        <f>IF(Table1[[#This Row],[Days on Market]] &lt; 30,"Fast",IF(Table1[[#This Row],[Days on Market]]&lt;= 90,"Average", "Slow"))</f>
        <v>Average</v>
      </c>
      <c r="T2604" t="str">
        <f>IF(Table1[[#This Row],[Price2]]&lt;500000,"Affordable",IF(Table1[[#This Row],[Price2]]&lt;1000000,"Mid range","Luxury"))</f>
        <v>Luxury</v>
      </c>
    </row>
    <row r="2605" spans="1:20" x14ac:dyDescent="0.35">
      <c r="A2605" s="3">
        <v>1322012</v>
      </c>
      <c r="B2605" s="2" t="s">
        <v>34</v>
      </c>
      <c r="C2605">
        <v>57352</v>
      </c>
      <c r="D2605" s="2" t="s">
        <v>35</v>
      </c>
      <c r="E2605">
        <v>1</v>
      </c>
      <c r="F2605">
        <v>4</v>
      </c>
      <c r="G2605" s="4">
        <f>VALUE(SUBSTITUTE(SUBSTITUTE(Table1[[#This Row],[Price]],"$",""),",",""))</f>
        <v>1322012</v>
      </c>
      <c r="H2605" s="1">
        <f>Table1[[#This Row],[Price2]]/Table1[[#This Row],[Area]]</f>
        <v>1622.1006134969325</v>
      </c>
      <c r="I2605">
        <v>815</v>
      </c>
      <c r="J2605">
        <v>2016</v>
      </c>
      <c r="K2605">
        <v>26</v>
      </c>
      <c r="L2605" t="s">
        <v>19</v>
      </c>
      <c r="M2605" t="s">
        <v>1898</v>
      </c>
      <c r="N2605" s="2" t="s">
        <v>3027</v>
      </c>
      <c r="O2605" t="s">
        <v>3028</v>
      </c>
      <c r="P2605" t="s">
        <v>21</v>
      </c>
      <c r="Q2605">
        <v>1622.1006134969325</v>
      </c>
      <c r="R2605">
        <f ca="1">YEAR(TODAY())-Table1[[#This Row],[Year Built]]</f>
        <v>10</v>
      </c>
      <c r="S2605" t="str">
        <f>IF(Table1[[#This Row],[Days on Market]] &lt; 30,"Fast",IF(Table1[[#This Row],[Days on Market]]&lt;= 90,"Average", "Slow"))</f>
        <v>Fast</v>
      </c>
      <c r="T2605" t="str">
        <f>IF(Table1[[#This Row],[Price2]]&lt;500000,"Affordable",IF(Table1[[#This Row],[Price2]]&lt;1000000,"Mid range","Luxury"))</f>
        <v>Luxury</v>
      </c>
    </row>
    <row r="2606" spans="1:20" x14ac:dyDescent="0.35">
      <c r="A2606" s="3">
        <v>1322594</v>
      </c>
      <c r="B2606" s="2" t="s">
        <v>34</v>
      </c>
      <c r="C2606">
        <v>64803</v>
      </c>
      <c r="D2606" s="2" t="s">
        <v>23</v>
      </c>
      <c r="E2606">
        <v>5</v>
      </c>
      <c r="F2606">
        <v>4</v>
      </c>
      <c r="G2606" s="4">
        <f>VALUE(SUBSTITUTE(SUBSTITUTE(Table1[[#This Row],[Price]],"$",""),",",""))</f>
        <v>1322594</v>
      </c>
      <c r="H2606" s="1">
        <f>Table1[[#This Row],[Price2]]/Table1[[#This Row],[Area]]</f>
        <v>535.24645892351271</v>
      </c>
      <c r="I2606">
        <v>2471</v>
      </c>
      <c r="J2606">
        <v>1984</v>
      </c>
      <c r="K2606">
        <v>66</v>
      </c>
      <c r="L2606" t="s">
        <v>14</v>
      </c>
      <c r="M2606" t="s">
        <v>2983</v>
      </c>
      <c r="N2606" s="2" t="s">
        <v>3031</v>
      </c>
      <c r="O2606" t="s">
        <v>3032</v>
      </c>
      <c r="P2606" t="s">
        <v>16</v>
      </c>
      <c r="Q2606">
        <v>535.24645892351271</v>
      </c>
      <c r="R2606">
        <f ca="1">YEAR(TODAY())-Table1[[#This Row],[Year Built]]</f>
        <v>42</v>
      </c>
      <c r="S2606" t="str">
        <f>IF(Table1[[#This Row],[Days on Market]] &lt; 30,"Fast",IF(Table1[[#This Row],[Days on Market]]&lt;= 90,"Average", "Slow"))</f>
        <v>Average</v>
      </c>
      <c r="T2606" t="str">
        <f>IF(Table1[[#This Row],[Price2]]&lt;500000,"Affordable",IF(Table1[[#This Row],[Price2]]&lt;1000000,"Mid range","Luxury"))</f>
        <v>Luxury</v>
      </c>
    </row>
    <row r="2607" spans="1:20" x14ac:dyDescent="0.35">
      <c r="A2607" s="3">
        <v>1323474</v>
      </c>
      <c r="B2607" s="2" t="s">
        <v>34</v>
      </c>
      <c r="C2607">
        <v>74937</v>
      </c>
      <c r="D2607" s="2" t="s">
        <v>23</v>
      </c>
      <c r="E2607">
        <v>4</v>
      </c>
      <c r="F2607">
        <v>2</v>
      </c>
      <c r="G2607" s="4">
        <f>VALUE(SUBSTITUTE(SUBSTITUTE(Table1[[#This Row],[Price]],"$",""),",",""))</f>
        <v>1323474</v>
      </c>
      <c r="H2607" s="1">
        <f>Table1[[#This Row],[Price2]]/Table1[[#This Row],[Area]]</f>
        <v>341.62983995869899</v>
      </c>
      <c r="I2607">
        <v>3874</v>
      </c>
      <c r="J2607">
        <v>1956</v>
      </c>
      <c r="K2607">
        <v>13</v>
      </c>
      <c r="L2607" t="s">
        <v>52</v>
      </c>
      <c r="M2607" t="s">
        <v>1356</v>
      </c>
      <c r="N2607" s="2" t="s">
        <v>3029</v>
      </c>
      <c r="O2607" t="s">
        <v>3030</v>
      </c>
      <c r="P2607" t="s">
        <v>16</v>
      </c>
      <c r="Q2607">
        <v>341.62983995869899</v>
      </c>
      <c r="R2607">
        <f ca="1">YEAR(TODAY())-Table1[[#This Row],[Year Built]]</f>
        <v>70</v>
      </c>
      <c r="S2607" t="str">
        <f>IF(Table1[[#This Row],[Days on Market]] &lt; 30,"Fast",IF(Table1[[#This Row],[Days on Market]]&lt;= 90,"Average", "Slow"))</f>
        <v>Fast</v>
      </c>
      <c r="T2607" t="str">
        <f>IF(Table1[[#This Row],[Price2]]&lt;500000,"Affordable",IF(Table1[[#This Row],[Price2]]&lt;1000000,"Mid range","Luxury"))</f>
        <v>Luxury</v>
      </c>
    </row>
    <row r="2608" spans="1:20" x14ac:dyDescent="0.35">
      <c r="A2608" s="3">
        <v>1324558</v>
      </c>
      <c r="B2608" s="2" t="s">
        <v>17</v>
      </c>
      <c r="C2608">
        <v>22788</v>
      </c>
      <c r="D2608" s="2" t="s">
        <v>18</v>
      </c>
      <c r="E2608">
        <v>2</v>
      </c>
      <c r="F2608">
        <v>4</v>
      </c>
      <c r="G2608" s="4">
        <f>VALUE(SUBSTITUTE(SUBSTITUTE(Table1[[#This Row],[Price]],"$",""),",",""))</f>
        <v>1324558</v>
      </c>
      <c r="H2608" s="1">
        <f>Table1[[#This Row],[Price2]]/Table1[[#This Row],[Area]]</f>
        <v>1413.615795090715</v>
      </c>
      <c r="I2608">
        <v>937</v>
      </c>
      <c r="J2608">
        <v>1953</v>
      </c>
      <c r="K2608">
        <v>49</v>
      </c>
      <c r="L2608" t="s">
        <v>14</v>
      </c>
      <c r="M2608" t="s">
        <v>2985</v>
      </c>
      <c r="N2608" s="2" t="s">
        <v>3027</v>
      </c>
      <c r="O2608" t="s">
        <v>3028</v>
      </c>
      <c r="P2608" t="s">
        <v>26</v>
      </c>
      <c r="Q2608">
        <v>1413.615795090715</v>
      </c>
      <c r="R2608">
        <f ca="1">YEAR(TODAY())-Table1[[#This Row],[Year Built]]</f>
        <v>73</v>
      </c>
      <c r="S2608" t="str">
        <f>IF(Table1[[#This Row],[Days on Market]] &lt; 30,"Fast",IF(Table1[[#This Row],[Days on Market]]&lt;= 90,"Average", "Slow"))</f>
        <v>Average</v>
      </c>
      <c r="T2608" t="str">
        <f>IF(Table1[[#This Row],[Price2]]&lt;500000,"Affordable",IF(Table1[[#This Row],[Price2]]&lt;1000000,"Mid range","Luxury"))</f>
        <v>Luxury</v>
      </c>
    </row>
    <row r="2609" spans="1:20" x14ac:dyDescent="0.35">
      <c r="A2609" s="3">
        <v>1324583</v>
      </c>
      <c r="B2609" s="2" t="s">
        <v>17</v>
      </c>
      <c r="C2609">
        <v>14836</v>
      </c>
      <c r="D2609" s="2" t="s">
        <v>18</v>
      </c>
      <c r="E2609">
        <v>5</v>
      </c>
      <c r="F2609">
        <v>2</v>
      </c>
      <c r="G2609" s="4">
        <f>VALUE(SUBSTITUTE(SUBSTITUTE(Table1[[#This Row],[Price]],"$",""),",",""))</f>
        <v>1324583</v>
      </c>
      <c r="H2609" s="1">
        <f>Table1[[#This Row],[Price2]]/Table1[[#This Row],[Area]]</f>
        <v>346.93111576741751</v>
      </c>
      <c r="I2609">
        <v>3818</v>
      </c>
      <c r="J2609">
        <v>1992</v>
      </c>
      <c r="K2609">
        <v>33</v>
      </c>
      <c r="L2609" t="s">
        <v>19</v>
      </c>
      <c r="M2609" t="s">
        <v>688</v>
      </c>
      <c r="N2609" s="2" t="s">
        <v>3035</v>
      </c>
      <c r="O2609" t="s">
        <v>3036</v>
      </c>
      <c r="P2609" t="s">
        <v>16</v>
      </c>
      <c r="Q2609">
        <v>346.93111576741751</v>
      </c>
      <c r="R2609">
        <f ca="1">YEAR(TODAY())-Table1[[#This Row],[Year Built]]</f>
        <v>34</v>
      </c>
      <c r="S2609" t="str">
        <f>IF(Table1[[#This Row],[Days on Market]] &lt; 30,"Fast",IF(Table1[[#This Row],[Days on Market]]&lt;= 90,"Average", "Slow"))</f>
        <v>Average</v>
      </c>
      <c r="T2609" t="str">
        <f>IF(Table1[[#This Row],[Price2]]&lt;500000,"Affordable",IF(Table1[[#This Row],[Price2]]&lt;1000000,"Mid range","Luxury"))</f>
        <v>Luxury</v>
      </c>
    </row>
    <row r="2610" spans="1:20" x14ac:dyDescent="0.35">
      <c r="A2610" s="3">
        <v>1325023</v>
      </c>
      <c r="B2610" s="2" t="s">
        <v>27</v>
      </c>
      <c r="C2610">
        <v>29255</v>
      </c>
      <c r="D2610" s="2" t="s">
        <v>18</v>
      </c>
      <c r="E2610">
        <v>2</v>
      </c>
      <c r="F2610">
        <v>4</v>
      </c>
      <c r="G2610" s="4">
        <f>VALUE(SUBSTITUTE(SUBSTITUTE(Table1[[#This Row],[Price]],"$",""),",",""))</f>
        <v>1325023</v>
      </c>
      <c r="H2610" s="1">
        <f>Table1[[#This Row],[Price2]]/Table1[[#This Row],[Area]]</f>
        <v>1290.1879259980526</v>
      </c>
      <c r="I2610">
        <v>1027</v>
      </c>
      <c r="J2610">
        <v>2013</v>
      </c>
      <c r="K2610">
        <v>16</v>
      </c>
      <c r="L2610" t="s">
        <v>52</v>
      </c>
      <c r="M2610" t="s">
        <v>2697</v>
      </c>
      <c r="N2610" s="2" t="s">
        <v>3033</v>
      </c>
      <c r="O2610" t="s">
        <v>3034</v>
      </c>
      <c r="P2610" t="s">
        <v>21</v>
      </c>
      <c r="Q2610">
        <v>1290.1879259980526</v>
      </c>
      <c r="R2610">
        <f ca="1">YEAR(TODAY())-Table1[[#This Row],[Year Built]]</f>
        <v>13</v>
      </c>
      <c r="S2610" t="str">
        <f>IF(Table1[[#This Row],[Days on Market]] &lt; 30,"Fast",IF(Table1[[#This Row],[Days on Market]]&lt;= 90,"Average", "Slow"))</f>
        <v>Fast</v>
      </c>
      <c r="T2610" t="str">
        <f>IF(Table1[[#This Row],[Price2]]&lt;500000,"Affordable",IF(Table1[[#This Row],[Price2]]&lt;1000000,"Mid range","Luxury"))</f>
        <v>Luxury</v>
      </c>
    </row>
    <row r="2611" spans="1:20" x14ac:dyDescent="0.35">
      <c r="A2611" s="3">
        <v>1325154</v>
      </c>
      <c r="B2611" s="2" t="s">
        <v>34</v>
      </c>
      <c r="C2611">
        <v>74845</v>
      </c>
      <c r="D2611" s="2" t="s">
        <v>13</v>
      </c>
      <c r="E2611">
        <v>6</v>
      </c>
      <c r="F2611">
        <v>2</v>
      </c>
      <c r="G2611" s="4">
        <f>VALUE(SUBSTITUTE(SUBSTITUTE(Table1[[#This Row],[Price]],"$",""),",",""))</f>
        <v>1325154</v>
      </c>
      <c r="H2611" s="1">
        <f>Table1[[#This Row],[Price2]]/Table1[[#This Row],[Area]]</f>
        <v>1220.2154696132598</v>
      </c>
      <c r="I2611">
        <v>1086</v>
      </c>
      <c r="J2611">
        <v>1981</v>
      </c>
      <c r="K2611">
        <v>99</v>
      </c>
      <c r="L2611" t="s">
        <v>40</v>
      </c>
      <c r="M2611" t="s">
        <v>430</v>
      </c>
      <c r="N2611" s="2" t="s">
        <v>3031</v>
      </c>
      <c r="O2611" t="s">
        <v>3032</v>
      </c>
      <c r="P2611" t="s">
        <v>26</v>
      </c>
      <c r="Q2611">
        <v>1220.2154696132598</v>
      </c>
      <c r="R2611">
        <f ca="1">YEAR(TODAY())-Table1[[#This Row],[Year Built]]</f>
        <v>45</v>
      </c>
      <c r="S2611" t="str">
        <f>IF(Table1[[#This Row],[Days on Market]] &lt; 30,"Fast",IF(Table1[[#This Row],[Days on Market]]&lt;= 90,"Average", "Slow"))</f>
        <v>Slow</v>
      </c>
      <c r="T2611" t="str">
        <f>IF(Table1[[#This Row],[Price2]]&lt;500000,"Affordable",IF(Table1[[#This Row],[Price2]]&lt;1000000,"Mid range","Luxury"))</f>
        <v>Luxury</v>
      </c>
    </row>
    <row r="2612" spans="1:20" x14ac:dyDescent="0.35">
      <c r="A2612" s="3">
        <v>1325395</v>
      </c>
      <c r="B2612" s="2" t="s">
        <v>22</v>
      </c>
      <c r="C2612">
        <v>57421</v>
      </c>
      <c r="D2612" s="2" t="s">
        <v>29</v>
      </c>
      <c r="E2612">
        <v>6</v>
      </c>
      <c r="F2612">
        <v>1</v>
      </c>
      <c r="G2612" s="4">
        <f>VALUE(SUBSTITUTE(SUBSTITUTE(Table1[[#This Row],[Price]],"$",""),",",""))</f>
        <v>1325395</v>
      </c>
      <c r="H2612" s="1">
        <f>Table1[[#This Row],[Price2]]/Table1[[#This Row],[Area]]</f>
        <v>666.0276381909548</v>
      </c>
      <c r="I2612">
        <v>1990</v>
      </c>
      <c r="J2612">
        <v>2012</v>
      </c>
      <c r="K2612">
        <v>94</v>
      </c>
      <c r="L2612" t="s">
        <v>14</v>
      </c>
      <c r="M2612" t="s">
        <v>32</v>
      </c>
      <c r="N2612" s="2" t="s">
        <v>3027</v>
      </c>
      <c r="O2612" t="s">
        <v>3028</v>
      </c>
      <c r="P2612" t="s">
        <v>26</v>
      </c>
      <c r="Q2612">
        <v>666.0276381909548</v>
      </c>
      <c r="R2612">
        <f ca="1">YEAR(TODAY())-Table1[[#This Row],[Year Built]]</f>
        <v>14</v>
      </c>
      <c r="S2612" t="str">
        <f>IF(Table1[[#This Row],[Days on Market]] &lt; 30,"Fast",IF(Table1[[#This Row],[Days on Market]]&lt;= 90,"Average", "Slow"))</f>
        <v>Slow</v>
      </c>
      <c r="T2612" t="str">
        <f>IF(Table1[[#This Row],[Price2]]&lt;500000,"Affordable",IF(Table1[[#This Row],[Price2]]&lt;1000000,"Mid range","Luxury"))</f>
        <v>Luxury</v>
      </c>
    </row>
    <row r="2613" spans="1:20" x14ac:dyDescent="0.35">
      <c r="A2613" s="3">
        <v>1325428</v>
      </c>
      <c r="B2613" s="2" t="s">
        <v>34</v>
      </c>
      <c r="C2613">
        <v>36464</v>
      </c>
      <c r="D2613" s="2" t="s">
        <v>29</v>
      </c>
      <c r="E2613">
        <v>4</v>
      </c>
      <c r="F2613">
        <v>1</v>
      </c>
      <c r="G2613" s="4">
        <f>VALUE(SUBSTITUTE(SUBSTITUTE(Table1[[#This Row],[Price]],"$",""),",",""))</f>
        <v>1325428</v>
      </c>
      <c r="H2613" s="1">
        <f>Table1[[#This Row],[Price2]]/Table1[[#This Row],[Area]]</f>
        <v>452.05593451568893</v>
      </c>
      <c r="I2613">
        <v>2932</v>
      </c>
      <c r="J2613">
        <v>2021</v>
      </c>
      <c r="K2613">
        <v>7</v>
      </c>
      <c r="L2613" t="s">
        <v>30</v>
      </c>
      <c r="M2613" t="s">
        <v>2913</v>
      </c>
      <c r="N2613" s="2" t="s">
        <v>3031</v>
      </c>
      <c r="O2613" t="s">
        <v>3032</v>
      </c>
      <c r="P2613" t="s">
        <v>26</v>
      </c>
      <c r="Q2613">
        <v>452.05593451568893</v>
      </c>
      <c r="R2613">
        <f ca="1">YEAR(TODAY())-Table1[[#This Row],[Year Built]]</f>
        <v>5</v>
      </c>
      <c r="S2613" t="str">
        <f>IF(Table1[[#This Row],[Days on Market]] &lt; 30,"Fast",IF(Table1[[#This Row],[Days on Market]]&lt;= 90,"Average", "Slow"))</f>
        <v>Fast</v>
      </c>
      <c r="T2613" t="str">
        <f>IF(Table1[[#This Row],[Price2]]&lt;500000,"Affordable",IF(Table1[[#This Row],[Price2]]&lt;1000000,"Mid range","Luxury"))</f>
        <v>Luxury</v>
      </c>
    </row>
    <row r="2614" spans="1:20" x14ac:dyDescent="0.35">
      <c r="A2614" s="3">
        <v>1325699</v>
      </c>
      <c r="B2614" s="2" t="s">
        <v>27</v>
      </c>
      <c r="C2614">
        <v>77037</v>
      </c>
      <c r="D2614" s="2" t="s">
        <v>18</v>
      </c>
      <c r="E2614">
        <v>5</v>
      </c>
      <c r="F2614">
        <v>3</v>
      </c>
      <c r="G2614" s="4">
        <f>VALUE(SUBSTITUTE(SUBSTITUTE(Table1[[#This Row],[Price]],"$",""),",",""))</f>
        <v>1325699</v>
      </c>
      <c r="H2614" s="1">
        <f>Table1[[#This Row],[Price2]]/Table1[[#This Row],[Area]]</f>
        <v>591.56581883087904</v>
      </c>
      <c r="I2614">
        <v>2241</v>
      </c>
      <c r="J2614">
        <v>1991</v>
      </c>
      <c r="K2614">
        <v>118</v>
      </c>
      <c r="L2614" t="s">
        <v>30</v>
      </c>
      <c r="M2614" t="s">
        <v>871</v>
      </c>
      <c r="N2614" s="2" t="s">
        <v>3033</v>
      </c>
      <c r="O2614" t="s">
        <v>3034</v>
      </c>
      <c r="P2614" t="s">
        <v>21</v>
      </c>
      <c r="Q2614">
        <v>591.56581883087904</v>
      </c>
      <c r="R2614">
        <f ca="1">YEAR(TODAY())-Table1[[#This Row],[Year Built]]</f>
        <v>35</v>
      </c>
      <c r="S2614" t="str">
        <f>IF(Table1[[#This Row],[Days on Market]] &lt; 30,"Fast",IF(Table1[[#This Row],[Days on Market]]&lt;= 90,"Average", "Slow"))</f>
        <v>Slow</v>
      </c>
      <c r="T2614" t="str">
        <f>IF(Table1[[#This Row],[Price2]]&lt;500000,"Affordable",IF(Table1[[#This Row],[Price2]]&lt;1000000,"Mid range","Luxury"))</f>
        <v>Luxury</v>
      </c>
    </row>
    <row r="2615" spans="1:20" x14ac:dyDescent="0.35">
      <c r="A2615" s="3">
        <v>1327006</v>
      </c>
      <c r="B2615" s="2" t="s">
        <v>12</v>
      </c>
      <c r="C2615">
        <v>70311</v>
      </c>
      <c r="D2615" s="2" t="s">
        <v>18</v>
      </c>
      <c r="E2615">
        <v>2</v>
      </c>
      <c r="F2615">
        <v>3</v>
      </c>
      <c r="G2615" s="4">
        <f>VALUE(SUBSTITUTE(SUBSTITUTE(Table1[[#This Row],[Price]],"$",""),",",""))</f>
        <v>1327006</v>
      </c>
      <c r="H2615" s="1">
        <f>Table1[[#This Row],[Price2]]/Table1[[#This Row],[Area]]</f>
        <v>576.20755536257059</v>
      </c>
      <c r="I2615">
        <v>2303</v>
      </c>
      <c r="J2615">
        <v>1984</v>
      </c>
      <c r="K2615">
        <v>70</v>
      </c>
      <c r="L2615" t="s">
        <v>14</v>
      </c>
      <c r="M2615" t="s">
        <v>2818</v>
      </c>
      <c r="N2615" s="2" t="s">
        <v>3031</v>
      </c>
      <c r="O2615" t="s">
        <v>3032</v>
      </c>
      <c r="P2615" t="s">
        <v>26</v>
      </c>
      <c r="Q2615">
        <v>576.20755536257059</v>
      </c>
      <c r="R2615">
        <f ca="1">YEAR(TODAY())-Table1[[#This Row],[Year Built]]</f>
        <v>42</v>
      </c>
      <c r="S2615" t="str">
        <f>IF(Table1[[#This Row],[Days on Market]] &lt; 30,"Fast",IF(Table1[[#This Row],[Days on Market]]&lt;= 90,"Average", "Slow"))</f>
        <v>Average</v>
      </c>
      <c r="T2615" t="str">
        <f>IF(Table1[[#This Row],[Price2]]&lt;500000,"Affordable",IF(Table1[[#This Row],[Price2]]&lt;1000000,"Mid range","Luxury"))</f>
        <v>Luxury</v>
      </c>
    </row>
    <row r="2616" spans="1:20" x14ac:dyDescent="0.35">
      <c r="A2616" s="3">
        <v>1327823</v>
      </c>
      <c r="B2616" s="2" t="s">
        <v>27</v>
      </c>
      <c r="C2616">
        <v>41731</v>
      </c>
      <c r="D2616" s="2" t="s">
        <v>18</v>
      </c>
      <c r="E2616">
        <v>4</v>
      </c>
      <c r="F2616">
        <v>1</v>
      </c>
      <c r="G2616" s="4">
        <f>VALUE(SUBSTITUTE(SUBSTITUTE(Table1[[#This Row],[Price]],"$",""),",",""))</f>
        <v>1327823</v>
      </c>
      <c r="H2616" s="1">
        <f>Table1[[#This Row],[Price2]]/Table1[[#This Row],[Area]]</f>
        <v>1108.3664440734558</v>
      </c>
      <c r="I2616">
        <v>1198</v>
      </c>
      <c r="J2616">
        <v>1999</v>
      </c>
      <c r="K2616">
        <v>95</v>
      </c>
      <c r="L2616" t="s">
        <v>52</v>
      </c>
      <c r="M2616" t="s">
        <v>2091</v>
      </c>
      <c r="N2616" s="2" t="s">
        <v>3031</v>
      </c>
      <c r="O2616" t="s">
        <v>3032</v>
      </c>
      <c r="P2616" t="s">
        <v>21</v>
      </c>
      <c r="Q2616">
        <v>1108.3664440734558</v>
      </c>
      <c r="R2616">
        <f ca="1">YEAR(TODAY())-Table1[[#This Row],[Year Built]]</f>
        <v>27</v>
      </c>
      <c r="S2616" t="str">
        <f>IF(Table1[[#This Row],[Days on Market]] &lt; 30,"Fast",IF(Table1[[#This Row],[Days on Market]]&lt;= 90,"Average", "Slow"))</f>
        <v>Slow</v>
      </c>
      <c r="T2616" t="str">
        <f>IF(Table1[[#This Row],[Price2]]&lt;500000,"Affordable",IF(Table1[[#This Row],[Price2]]&lt;1000000,"Mid range","Luxury"))</f>
        <v>Luxury</v>
      </c>
    </row>
    <row r="2617" spans="1:20" x14ac:dyDescent="0.35">
      <c r="A2617" s="3">
        <v>1328223</v>
      </c>
      <c r="B2617" s="2" t="s">
        <v>17</v>
      </c>
      <c r="C2617">
        <v>29671</v>
      </c>
      <c r="D2617" s="2" t="s">
        <v>23</v>
      </c>
      <c r="E2617">
        <v>2</v>
      </c>
      <c r="F2617">
        <v>4</v>
      </c>
      <c r="G2617" s="4">
        <f>VALUE(SUBSTITUTE(SUBSTITUTE(Table1[[#This Row],[Price]],"$",""),",",""))</f>
        <v>1328223</v>
      </c>
      <c r="H2617" s="1">
        <f>Table1[[#This Row],[Price2]]/Table1[[#This Row],[Area]]</f>
        <v>1505.9217687074829</v>
      </c>
      <c r="I2617">
        <v>882</v>
      </c>
      <c r="J2617">
        <v>2006</v>
      </c>
      <c r="K2617">
        <v>110</v>
      </c>
      <c r="L2617" t="s">
        <v>52</v>
      </c>
      <c r="M2617" t="s">
        <v>2230</v>
      </c>
      <c r="N2617" s="2" t="s">
        <v>3033</v>
      </c>
      <c r="O2617" t="s">
        <v>3034</v>
      </c>
      <c r="P2617" t="s">
        <v>16</v>
      </c>
      <c r="Q2617">
        <v>1505.9217687074829</v>
      </c>
      <c r="R2617">
        <f ca="1">YEAR(TODAY())-Table1[[#This Row],[Year Built]]</f>
        <v>20</v>
      </c>
      <c r="S2617" t="str">
        <f>IF(Table1[[#This Row],[Days on Market]] &lt; 30,"Fast",IF(Table1[[#This Row],[Days on Market]]&lt;= 90,"Average", "Slow"))</f>
        <v>Slow</v>
      </c>
      <c r="T2617" t="str">
        <f>IF(Table1[[#This Row],[Price2]]&lt;500000,"Affordable",IF(Table1[[#This Row],[Price2]]&lt;1000000,"Mid range","Luxury"))</f>
        <v>Luxury</v>
      </c>
    </row>
    <row r="2618" spans="1:20" x14ac:dyDescent="0.35">
      <c r="A2618" s="3">
        <v>1328262</v>
      </c>
      <c r="B2618" s="2" t="s">
        <v>12</v>
      </c>
      <c r="C2618">
        <v>99660</v>
      </c>
      <c r="D2618" s="2" t="s">
        <v>29</v>
      </c>
      <c r="E2618">
        <v>2</v>
      </c>
      <c r="F2618">
        <v>4</v>
      </c>
      <c r="G2618" s="4">
        <f>VALUE(SUBSTITUTE(SUBSTITUTE(Table1[[#This Row],[Price]],"$",""),",",""))</f>
        <v>1328262</v>
      </c>
      <c r="H2618" s="1">
        <f>Table1[[#This Row],[Price2]]/Table1[[#This Row],[Area]]</f>
        <v>1435.9589189189189</v>
      </c>
      <c r="I2618">
        <v>925</v>
      </c>
      <c r="J2618">
        <v>2013</v>
      </c>
      <c r="K2618">
        <v>69</v>
      </c>
      <c r="L2618" t="s">
        <v>40</v>
      </c>
      <c r="M2618" t="s">
        <v>2158</v>
      </c>
      <c r="N2618" s="2" t="s">
        <v>3027</v>
      </c>
      <c r="O2618" t="s">
        <v>3028</v>
      </c>
      <c r="P2618" t="s">
        <v>21</v>
      </c>
      <c r="Q2618">
        <v>1435.9589189189189</v>
      </c>
      <c r="R2618">
        <f ca="1">YEAR(TODAY())-Table1[[#This Row],[Year Built]]</f>
        <v>13</v>
      </c>
      <c r="S2618" t="str">
        <f>IF(Table1[[#This Row],[Days on Market]] &lt; 30,"Fast",IF(Table1[[#This Row],[Days on Market]]&lt;= 90,"Average", "Slow"))</f>
        <v>Average</v>
      </c>
      <c r="T2618" t="str">
        <f>IF(Table1[[#This Row],[Price2]]&lt;500000,"Affordable",IF(Table1[[#This Row],[Price2]]&lt;1000000,"Mid range","Luxury"))</f>
        <v>Luxury</v>
      </c>
    </row>
    <row r="2619" spans="1:20" x14ac:dyDescent="0.35">
      <c r="A2619" s="3">
        <v>1329052</v>
      </c>
      <c r="B2619" s="2" t="s">
        <v>12</v>
      </c>
      <c r="C2619">
        <v>84590</v>
      </c>
      <c r="D2619" s="2" t="s">
        <v>18</v>
      </c>
      <c r="E2619">
        <v>6</v>
      </c>
      <c r="F2619">
        <v>2</v>
      </c>
      <c r="G2619" s="4">
        <f>VALUE(SUBSTITUTE(SUBSTITUTE(Table1[[#This Row],[Price]],"$",""),",",""))</f>
        <v>1329052</v>
      </c>
      <c r="H2619" s="1">
        <f>Table1[[#This Row],[Price2]]/Table1[[#This Row],[Area]]</f>
        <v>1838.2461964038728</v>
      </c>
      <c r="I2619">
        <v>723</v>
      </c>
      <c r="J2619">
        <v>1977</v>
      </c>
      <c r="K2619">
        <v>5</v>
      </c>
      <c r="L2619" t="s">
        <v>19</v>
      </c>
      <c r="M2619" t="s">
        <v>1650</v>
      </c>
      <c r="N2619" s="2" t="s">
        <v>3031</v>
      </c>
      <c r="O2619" t="s">
        <v>3032</v>
      </c>
      <c r="P2619" t="s">
        <v>16</v>
      </c>
      <c r="Q2619">
        <v>1838.2461964038728</v>
      </c>
      <c r="R2619">
        <f ca="1">YEAR(TODAY())-Table1[[#This Row],[Year Built]]</f>
        <v>49</v>
      </c>
      <c r="S2619" t="str">
        <f>IF(Table1[[#This Row],[Days on Market]] &lt; 30,"Fast",IF(Table1[[#This Row],[Days on Market]]&lt;= 90,"Average", "Slow"))</f>
        <v>Fast</v>
      </c>
      <c r="T2619" t="str">
        <f>IF(Table1[[#This Row],[Price2]]&lt;500000,"Affordable",IF(Table1[[#This Row],[Price2]]&lt;1000000,"Mid range","Luxury"))</f>
        <v>Luxury</v>
      </c>
    </row>
    <row r="2620" spans="1:20" x14ac:dyDescent="0.35">
      <c r="A2620" s="3">
        <v>1329326</v>
      </c>
      <c r="B2620" s="2" t="s">
        <v>22</v>
      </c>
      <c r="C2620">
        <v>83045</v>
      </c>
      <c r="D2620" s="2" t="s">
        <v>23</v>
      </c>
      <c r="E2620">
        <v>1</v>
      </c>
      <c r="F2620">
        <v>2</v>
      </c>
      <c r="G2620" s="4">
        <f>VALUE(SUBSTITUTE(SUBSTITUTE(Table1[[#This Row],[Price]],"$",""),",",""))</f>
        <v>1329326</v>
      </c>
      <c r="H2620" s="1">
        <f>Table1[[#This Row],[Price2]]/Table1[[#This Row],[Area]]</f>
        <v>422.14226738647187</v>
      </c>
      <c r="I2620">
        <v>3149</v>
      </c>
      <c r="J2620">
        <v>1958</v>
      </c>
      <c r="K2620">
        <v>46</v>
      </c>
      <c r="L2620" t="s">
        <v>14</v>
      </c>
      <c r="M2620" t="s">
        <v>2772</v>
      </c>
      <c r="N2620" s="2" t="s">
        <v>3033</v>
      </c>
      <c r="O2620" t="s">
        <v>3034</v>
      </c>
      <c r="P2620" t="s">
        <v>26</v>
      </c>
      <c r="Q2620">
        <v>422.14226738647187</v>
      </c>
      <c r="R2620">
        <f ca="1">YEAR(TODAY())-Table1[[#This Row],[Year Built]]</f>
        <v>68</v>
      </c>
      <c r="S2620" t="str">
        <f>IF(Table1[[#This Row],[Days on Market]] &lt; 30,"Fast",IF(Table1[[#This Row],[Days on Market]]&lt;= 90,"Average", "Slow"))</f>
        <v>Average</v>
      </c>
      <c r="T2620" t="str">
        <f>IF(Table1[[#This Row],[Price2]]&lt;500000,"Affordable",IF(Table1[[#This Row],[Price2]]&lt;1000000,"Mid range","Luxury"))</f>
        <v>Luxury</v>
      </c>
    </row>
    <row r="2621" spans="1:20" x14ac:dyDescent="0.35">
      <c r="A2621" s="3">
        <v>1330162</v>
      </c>
      <c r="B2621" s="2" t="s">
        <v>34</v>
      </c>
      <c r="C2621">
        <v>63758</v>
      </c>
      <c r="D2621" s="2" t="s">
        <v>29</v>
      </c>
      <c r="E2621">
        <v>6</v>
      </c>
      <c r="F2621">
        <v>1</v>
      </c>
      <c r="G2621" s="4">
        <f>VALUE(SUBSTITUTE(SUBSTITUTE(Table1[[#This Row],[Price]],"$",""),",",""))</f>
        <v>1330162</v>
      </c>
      <c r="H2621" s="1">
        <f>Table1[[#This Row],[Price2]]/Table1[[#This Row],[Area]]</f>
        <v>684.94438722966015</v>
      </c>
      <c r="I2621">
        <v>1942</v>
      </c>
      <c r="J2621">
        <v>2002</v>
      </c>
      <c r="K2621">
        <v>12</v>
      </c>
      <c r="L2621" t="s">
        <v>52</v>
      </c>
      <c r="M2621" t="s">
        <v>2357</v>
      </c>
      <c r="N2621" s="2" t="s">
        <v>3031</v>
      </c>
      <c r="O2621" t="s">
        <v>3032</v>
      </c>
      <c r="P2621" t="s">
        <v>21</v>
      </c>
      <c r="Q2621">
        <v>684.94438722966015</v>
      </c>
      <c r="R2621">
        <f ca="1">YEAR(TODAY())-Table1[[#This Row],[Year Built]]</f>
        <v>24</v>
      </c>
      <c r="S2621" t="str">
        <f>IF(Table1[[#This Row],[Days on Market]] &lt; 30,"Fast",IF(Table1[[#This Row],[Days on Market]]&lt;= 90,"Average", "Slow"))</f>
        <v>Fast</v>
      </c>
      <c r="T2621" t="str">
        <f>IF(Table1[[#This Row],[Price2]]&lt;500000,"Affordable",IF(Table1[[#This Row],[Price2]]&lt;1000000,"Mid range","Luxury"))</f>
        <v>Luxury</v>
      </c>
    </row>
    <row r="2622" spans="1:20" x14ac:dyDescent="0.35">
      <c r="A2622" s="3">
        <v>1330718</v>
      </c>
      <c r="B2622" s="2" t="s">
        <v>12</v>
      </c>
      <c r="C2622">
        <v>42092</v>
      </c>
      <c r="D2622" s="2" t="s">
        <v>13</v>
      </c>
      <c r="E2622">
        <v>4</v>
      </c>
      <c r="F2622">
        <v>1</v>
      </c>
      <c r="G2622" s="4">
        <f>VALUE(SUBSTITUTE(SUBSTITUTE(Table1[[#This Row],[Price]],"$",""),",",""))</f>
        <v>1330718</v>
      </c>
      <c r="H2622" s="1">
        <f>Table1[[#This Row],[Price2]]/Table1[[#This Row],[Area]]</f>
        <v>583.64824561403509</v>
      </c>
      <c r="I2622">
        <v>2280</v>
      </c>
      <c r="J2622">
        <v>1956</v>
      </c>
      <c r="K2622">
        <v>119</v>
      </c>
      <c r="L2622" t="s">
        <v>40</v>
      </c>
      <c r="M2622" t="s">
        <v>2223</v>
      </c>
      <c r="N2622" s="2" t="s">
        <v>3027</v>
      </c>
      <c r="O2622" t="s">
        <v>3028</v>
      </c>
      <c r="P2622" t="s">
        <v>21</v>
      </c>
      <c r="Q2622">
        <v>583.64824561403509</v>
      </c>
      <c r="R2622">
        <f ca="1">YEAR(TODAY())-Table1[[#This Row],[Year Built]]</f>
        <v>70</v>
      </c>
      <c r="S2622" t="str">
        <f>IF(Table1[[#This Row],[Days on Market]] &lt; 30,"Fast",IF(Table1[[#This Row],[Days on Market]]&lt;= 90,"Average", "Slow"))</f>
        <v>Slow</v>
      </c>
      <c r="T2622" t="str">
        <f>IF(Table1[[#This Row],[Price2]]&lt;500000,"Affordable",IF(Table1[[#This Row],[Price2]]&lt;1000000,"Mid range","Luxury"))</f>
        <v>Luxury</v>
      </c>
    </row>
    <row r="2623" spans="1:20" x14ac:dyDescent="0.35">
      <c r="A2623" s="3">
        <v>1330743</v>
      </c>
      <c r="B2623" s="2" t="s">
        <v>12</v>
      </c>
      <c r="C2623">
        <v>52128</v>
      </c>
      <c r="D2623" s="2" t="s">
        <v>35</v>
      </c>
      <c r="E2623">
        <v>3</v>
      </c>
      <c r="F2623">
        <v>2</v>
      </c>
      <c r="G2623" s="4">
        <f>VALUE(SUBSTITUTE(SUBSTITUTE(Table1[[#This Row],[Price]],"$",""),",",""))</f>
        <v>1330743</v>
      </c>
      <c r="H2623" s="1">
        <f>Table1[[#This Row],[Price2]]/Table1[[#This Row],[Area]]</f>
        <v>470.89278131634819</v>
      </c>
      <c r="I2623">
        <v>2826</v>
      </c>
      <c r="J2623">
        <v>1975</v>
      </c>
      <c r="K2623">
        <v>114</v>
      </c>
      <c r="L2623" t="s">
        <v>52</v>
      </c>
      <c r="M2623" t="s">
        <v>2914</v>
      </c>
      <c r="N2623" s="2" t="s">
        <v>3035</v>
      </c>
      <c r="O2623" t="s">
        <v>3036</v>
      </c>
      <c r="P2623" t="s">
        <v>26</v>
      </c>
      <c r="Q2623">
        <v>470.89278131634819</v>
      </c>
      <c r="R2623">
        <f ca="1">YEAR(TODAY())-Table1[[#This Row],[Year Built]]</f>
        <v>51</v>
      </c>
      <c r="S2623" t="str">
        <f>IF(Table1[[#This Row],[Days on Market]] &lt; 30,"Fast",IF(Table1[[#This Row],[Days on Market]]&lt;= 90,"Average", "Slow"))</f>
        <v>Slow</v>
      </c>
      <c r="T2623" t="str">
        <f>IF(Table1[[#This Row],[Price2]]&lt;500000,"Affordable",IF(Table1[[#This Row],[Price2]]&lt;1000000,"Mid range","Luxury"))</f>
        <v>Luxury</v>
      </c>
    </row>
    <row r="2624" spans="1:20" x14ac:dyDescent="0.35">
      <c r="A2624" s="3">
        <v>1331935</v>
      </c>
      <c r="B2624" s="2" t="s">
        <v>27</v>
      </c>
      <c r="C2624">
        <v>73989</v>
      </c>
      <c r="D2624" s="2" t="s">
        <v>29</v>
      </c>
      <c r="E2624">
        <v>2</v>
      </c>
      <c r="F2624">
        <v>2</v>
      </c>
      <c r="G2624" s="4">
        <f>VALUE(SUBSTITUTE(SUBSTITUTE(Table1[[#This Row],[Price]],"$",""),",",""))</f>
        <v>1331935</v>
      </c>
      <c r="H2624" s="1">
        <f>Table1[[#This Row],[Price2]]/Table1[[#This Row],[Area]]</f>
        <v>662.32471407260073</v>
      </c>
      <c r="I2624">
        <v>2011</v>
      </c>
      <c r="J2624">
        <v>1998</v>
      </c>
      <c r="K2624">
        <v>115</v>
      </c>
      <c r="L2624" t="s">
        <v>52</v>
      </c>
      <c r="M2624" t="s">
        <v>771</v>
      </c>
      <c r="N2624" s="2" t="s">
        <v>3029</v>
      </c>
      <c r="O2624" t="s">
        <v>3030</v>
      </c>
      <c r="P2624" t="s">
        <v>26</v>
      </c>
      <c r="Q2624">
        <v>662.32471407260073</v>
      </c>
      <c r="R2624">
        <f ca="1">YEAR(TODAY())-Table1[[#This Row],[Year Built]]</f>
        <v>28</v>
      </c>
      <c r="S2624" t="str">
        <f>IF(Table1[[#This Row],[Days on Market]] &lt; 30,"Fast",IF(Table1[[#This Row],[Days on Market]]&lt;= 90,"Average", "Slow"))</f>
        <v>Slow</v>
      </c>
      <c r="T2624" t="str">
        <f>IF(Table1[[#This Row],[Price2]]&lt;500000,"Affordable",IF(Table1[[#This Row],[Price2]]&lt;1000000,"Mid range","Luxury"))</f>
        <v>Luxury</v>
      </c>
    </row>
    <row r="2625" spans="1:20" x14ac:dyDescent="0.35">
      <c r="A2625" s="3">
        <v>1332809</v>
      </c>
      <c r="B2625" s="2" t="s">
        <v>17</v>
      </c>
      <c r="C2625">
        <v>57184</v>
      </c>
      <c r="D2625" s="2" t="s">
        <v>23</v>
      </c>
      <c r="E2625">
        <v>2</v>
      </c>
      <c r="F2625">
        <v>1</v>
      </c>
      <c r="G2625" s="4">
        <f>VALUE(SUBSTITUTE(SUBSTITUTE(Table1[[#This Row],[Price]],"$",""),",",""))</f>
        <v>1332809</v>
      </c>
      <c r="H2625" s="1">
        <f>Table1[[#This Row],[Price2]]/Table1[[#This Row],[Area]]</f>
        <v>1046.9827179890024</v>
      </c>
      <c r="I2625">
        <v>1273</v>
      </c>
      <c r="J2625">
        <v>2011</v>
      </c>
      <c r="K2625">
        <v>90</v>
      </c>
      <c r="L2625" t="s">
        <v>52</v>
      </c>
      <c r="M2625" t="s">
        <v>2620</v>
      </c>
      <c r="N2625" s="2" t="s">
        <v>3031</v>
      </c>
      <c r="O2625" t="s">
        <v>3032</v>
      </c>
      <c r="P2625" t="s">
        <v>16</v>
      </c>
      <c r="Q2625">
        <v>1046.9827179890024</v>
      </c>
      <c r="R2625">
        <f ca="1">YEAR(TODAY())-Table1[[#This Row],[Year Built]]</f>
        <v>15</v>
      </c>
      <c r="S2625" t="str">
        <f>IF(Table1[[#This Row],[Days on Market]] &lt; 30,"Fast",IF(Table1[[#This Row],[Days on Market]]&lt;= 90,"Average", "Slow"))</f>
        <v>Average</v>
      </c>
      <c r="T2625" t="str">
        <f>IF(Table1[[#This Row],[Price2]]&lt;500000,"Affordable",IF(Table1[[#This Row],[Price2]]&lt;1000000,"Mid range","Luxury"))</f>
        <v>Luxury</v>
      </c>
    </row>
    <row r="2626" spans="1:20" x14ac:dyDescent="0.35">
      <c r="A2626" s="3">
        <v>1333193</v>
      </c>
      <c r="B2626" s="2" t="s">
        <v>34</v>
      </c>
      <c r="C2626">
        <v>40214</v>
      </c>
      <c r="D2626" s="2" t="s">
        <v>23</v>
      </c>
      <c r="E2626">
        <v>6</v>
      </c>
      <c r="F2626">
        <v>3</v>
      </c>
      <c r="G2626" s="4">
        <f>VALUE(SUBSTITUTE(SUBSTITUTE(Table1[[#This Row],[Price]],"$",""),",",""))</f>
        <v>1333193</v>
      </c>
      <c r="H2626" s="1">
        <f>Table1[[#This Row],[Price2]]/Table1[[#This Row],[Area]]</f>
        <v>669.60974384731287</v>
      </c>
      <c r="I2626">
        <v>1991</v>
      </c>
      <c r="J2626">
        <v>1982</v>
      </c>
      <c r="K2626">
        <v>54</v>
      </c>
      <c r="L2626" t="s">
        <v>52</v>
      </c>
      <c r="M2626" t="s">
        <v>2599</v>
      </c>
      <c r="N2626" s="2" t="s">
        <v>3035</v>
      </c>
      <c r="O2626" t="s">
        <v>3036</v>
      </c>
      <c r="P2626" t="s">
        <v>16</v>
      </c>
      <c r="Q2626">
        <v>669.60974384731287</v>
      </c>
      <c r="R2626">
        <f ca="1">YEAR(TODAY())-Table1[[#This Row],[Year Built]]</f>
        <v>44</v>
      </c>
      <c r="S2626" t="str">
        <f>IF(Table1[[#This Row],[Days on Market]] &lt; 30,"Fast",IF(Table1[[#This Row],[Days on Market]]&lt;= 90,"Average", "Slow"))</f>
        <v>Average</v>
      </c>
      <c r="T2626" t="str">
        <f>IF(Table1[[#This Row],[Price2]]&lt;500000,"Affordable",IF(Table1[[#This Row],[Price2]]&lt;1000000,"Mid range","Luxury"))</f>
        <v>Luxury</v>
      </c>
    </row>
    <row r="2627" spans="1:20" x14ac:dyDescent="0.35">
      <c r="A2627" s="3">
        <v>1333634</v>
      </c>
      <c r="B2627" s="2" t="s">
        <v>34</v>
      </c>
      <c r="C2627">
        <v>15184</v>
      </c>
      <c r="D2627" s="2" t="s">
        <v>29</v>
      </c>
      <c r="E2627">
        <v>4</v>
      </c>
      <c r="F2627">
        <v>2</v>
      </c>
      <c r="G2627" s="4">
        <f>VALUE(SUBSTITUTE(SUBSTITUTE(Table1[[#This Row],[Price]],"$",""),",",""))</f>
        <v>1333634</v>
      </c>
      <c r="H2627" s="1">
        <f>Table1[[#This Row],[Price2]]/Table1[[#This Row],[Area]]</f>
        <v>1026.6620477290223</v>
      </c>
      <c r="I2627">
        <v>1299</v>
      </c>
      <c r="J2627">
        <v>2018</v>
      </c>
      <c r="K2627">
        <v>27</v>
      </c>
      <c r="L2627" t="s">
        <v>40</v>
      </c>
      <c r="M2627" t="s">
        <v>1139</v>
      </c>
      <c r="N2627" s="2" t="s">
        <v>3027</v>
      </c>
      <c r="O2627" t="s">
        <v>3028</v>
      </c>
      <c r="P2627" t="s">
        <v>21</v>
      </c>
      <c r="Q2627">
        <v>1026.6620477290223</v>
      </c>
      <c r="R2627">
        <f ca="1">YEAR(TODAY())-Table1[[#This Row],[Year Built]]</f>
        <v>8</v>
      </c>
      <c r="S2627" t="str">
        <f>IF(Table1[[#This Row],[Days on Market]] &lt; 30,"Fast",IF(Table1[[#This Row],[Days on Market]]&lt;= 90,"Average", "Slow"))</f>
        <v>Fast</v>
      </c>
      <c r="T2627" t="str">
        <f>IF(Table1[[#This Row],[Price2]]&lt;500000,"Affordable",IF(Table1[[#This Row],[Price2]]&lt;1000000,"Mid range","Luxury"))</f>
        <v>Luxury</v>
      </c>
    </row>
    <row r="2628" spans="1:20" x14ac:dyDescent="0.35">
      <c r="A2628" s="3">
        <v>1333651</v>
      </c>
      <c r="B2628" s="2" t="s">
        <v>27</v>
      </c>
      <c r="C2628">
        <v>60214</v>
      </c>
      <c r="D2628" s="2" t="s">
        <v>29</v>
      </c>
      <c r="E2628">
        <v>5</v>
      </c>
      <c r="F2628">
        <v>2</v>
      </c>
      <c r="G2628" s="4">
        <f>VALUE(SUBSTITUTE(SUBSTITUTE(Table1[[#This Row],[Price]],"$",""),",",""))</f>
        <v>1333651</v>
      </c>
      <c r="H2628" s="1">
        <f>Table1[[#This Row],[Price2]]/Table1[[#This Row],[Area]]</f>
        <v>1683.9027777777778</v>
      </c>
      <c r="I2628">
        <v>792</v>
      </c>
      <c r="J2628">
        <v>2004</v>
      </c>
      <c r="K2628">
        <v>35</v>
      </c>
      <c r="L2628" t="s">
        <v>30</v>
      </c>
      <c r="M2628" t="s">
        <v>1143</v>
      </c>
      <c r="N2628" s="2" t="s">
        <v>3035</v>
      </c>
      <c r="O2628" t="s">
        <v>3036</v>
      </c>
      <c r="P2628" t="s">
        <v>26</v>
      </c>
      <c r="Q2628">
        <v>1683.9027777777778</v>
      </c>
      <c r="R2628">
        <f ca="1">YEAR(TODAY())-Table1[[#This Row],[Year Built]]</f>
        <v>22</v>
      </c>
      <c r="S2628" t="str">
        <f>IF(Table1[[#This Row],[Days on Market]] &lt; 30,"Fast",IF(Table1[[#This Row],[Days on Market]]&lt;= 90,"Average", "Slow"))</f>
        <v>Average</v>
      </c>
      <c r="T2628" t="str">
        <f>IF(Table1[[#This Row],[Price2]]&lt;500000,"Affordable",IF(Table1[[#This Row],[Price2]]&lt;1000000,"Mid range","Luxury"))</f>
        <v>Luxury</v>
      </c>
    </row>
    <row r="2629" spans="1:20" x14ac:dyDescent="0.35">
      <c r="A2629" s="3">
        <v>1333747</v>
      </c>
      <c r="B2629" s="2" t="s">
        <v>22</v>
      </c>
      <c r="C2629">
        <v>48621</v>
      </c>
      <c r="D2629" s="2" t="s">
        <v>23</v>
      </c>
      <c r="E2629">
        <v>6</v>
      </c>
      <c r="F2629">
        <v>3</v>
      </c>
      <c r="G2629" s="4">
        <f>VALUE(SUBSTITUTE(SUBSTITUTE(Table1[[#This Row],[Price]],"$",""),",",""))</f>
        <v>1333747</v>
      </c>
      <c r="H2629" s="1">
        <f>Table1[[#This Row],[Price2]]/Table1[[#This Row],[Area]]</f>
        <v>915.4063143445436</v>
      </c>
      <c r="I2629">
        <v>1457</v>
      </c>
      <c r="J2629">
        <v>2021</v>
      </c>
      <c r="K2629">
        <v>100</v>
      </c>
      <c r="L2629" t="s">
        <v>14</v>
      </c>
      <c r="M2629" t="s">
        <v>2749</v>
      </c>
      <c r="N2629" s="2" t="s">
        <v>3031</v>
      </c>
      <c r="O2629" t="s">
        <v>3032</v>
      </c>
      <c r="P2629" t="s">
        <v>16</v>
      </c>
      <c r="Q2629">
        <v>915.4063143445436</v>
      </c>
      <c r="R2629">
        <f ca="1">YEAR(TODAY())-Table1[[#This Row],[Year Built]]</f>
        <v>5</v>
      </c>
      <c r="S2629" t="str">
        <f>IF(Table1[[#This Row],[Days on Market]] &lt; 30,"Fast",IF(Table1[[#This Row],[Days on Market]]&lt;= 90,"Average", "Slow"))</f>
        <v>Slow</v>
      </c>
      <c r="T2629" t="str">
        <f>IF(Table1[[#This Row],[Price2]]&lt;500000,"Affordable",IF(Table1[[#This Row],[Price2]]&lt;1000000,"Mid range","Luxury"))</f>
        <v>Luxury</v>
      </c>
    </row>
    <row r="2630" spans="1:20" x14ac:dyDescent="0.35">
      <c r="A2630" s="3">
        <v>1333867</v>
      </c>
      <c r="B2630" s="2" t="s">
        <v>27</v>
      </c>
      <c r="C2630">
        <v>83126</v>
      </c>
      <c r="D2630" s="2" t="s">
        <v>35</v>
      </c>
      <c r="E2630">
        <v>6</v>
      </c>
      <c r="F2630">
        <v>2</v>
      </c>
      <c r="G2630" s="4">
        <f>VALUE(SUBSTITUTE(SUBSTITUTE(Table1[[#This Row],[Price]],"$",""),",",""))</f>
        <v>1333867</v>
      </c>
      <c r="H2630" s="1">
        <f>Table1[[#This Row],[Price2]]/Table1[[#This Row],[Area]]</f>
        <v>387.75203488372091</v>
      </c>
      <c r="I2630">
        <v>3440</v>
      </c>
      <c r="J2630">
        <v>1999</v>
      </c>
      <c r="K2630">
        <v>113</v>
      </c>
      <c r="L2630" t="s">
        <v>19</v>
      </c>
      <c r="M2630" t="s">
        <v>600</v>
      </c>
      <c r="N2630" s="2" t="s">
        <v>3031</v>
      </c>
      <c r="O2630" t="s">
        <v>3032</v>
      </c>
      <c r="P2630" t="s">
        <v>16</v>
      </c>
      <c r="Q2630">
        <v>387.75203488372091</v>
      </c>
      <c r="R2630">
        <f ca="1">YEAR(TODAY())-Table1[[#This Row],[Year Built]]</f>
        <v>27</v>
      </c>
      <c r="S2630" t="str">
        <f>IF(Table1[[#This Row],[Days on Market]] &lt; 30,"Fast",IF(Table1[[#This Row],[Days on Market]]&lt;= 90,"Average", "Slow"))</f>
        <v>Slow</v>
      </c>
      <c r="T2630" t="str">
        <f>IF(Table1[[#This Row],[Price2]]&lt;500000,"Affordable",IF(Table1[[#This Row],[Price2]]&lt;1000000,"Mid range","Luxury"))</f>
        <v>Luxury</v>
      </c>
    </row>
    <row r="2631" spans="1:20" x14ac:dyDescent="0.35">
      <c r="A2631" s="3">
        <v>1334500</v>
      </c>
      <c r="B2631" s="2" t="s">
        <v>17</v>
      </c>
      <c r="C2631">
        <v>75339</v>
      </c>
      <c r="D2631" s="2" t="s">
        <v>35</v>
      </c>
      <c r="E2631">
        <v>2</v>
      </c>
      <c r="F2631">
        <v>2</v>
      </c>
      <c r="G2631" s="4">
        <f>VALUE(SUBSTITUTE(SUBSTITUTE(Table1[[#This Row],[Price]],"$",""),",",""))</f>
        <v>1334500</v>
      </c>
      <c r="H2631" s="1">
        <f>Table1[[#This Row],[Price2]]/Table1[[#This Row],[Area]]</f>
        <v>1573.7028301886792</v>
      </c>
      <c r="I2631">
        <v>848</v>
      </c>
      <c r="J2631">
        <v>1969</v>
      </c>
      <c r="K2631">
        <v>90</v>
      </c>
      <c r="L2631" t="s">
        <v>19</v>
      </c>
      <c r="M2631" t="s">
        <v>1793</v>
      </c>
      <c r="N2631" s="2" t="s">
        <v>3033</v>
      </c>
      <c r="O2631" t="s">
        <v>3034</v>
      </c>
      <c r="P2631" t="s">
        <v>26</v>
      </c>
      <c r="Q2631">
        <v>1573.7028301886792</v>
      </c>
      <c r="R2631">
        <f ca="1">YEAR(TODAY())-Table1[[#This Row],[Year Built]]</f>
        <v>57</v>
      </c>
      <c r="S2631" t="str">
        <f>IF(Table1[[#This Row],[Days on Market]] &lt; 30,"Fast",IF(Table1[[#This Row],[Days on Market]]&lt;= 90,"Average", "Slow"))</f>
        <v>Average</v>
      </c>
      <c r="T2631" t="str">
        <f>IF(Table1[[#This Row],[Price2]]&lt;500000,"Affordable",IF(Table1[[#This Row],[Price2]]&lt;1000000,"Mid range","Luxury"))</f>
        <v>Luxury</v>
      </c>
    </row>
    <row r="2632" spans="1:20" x14ac:dyDescent="0.35">
      <c r="A2632" s="3">
        <v>1334512</v>
      </c>
      <c r="B2632" s="2" t="s">
        <v>12</v>
      </c>
      <c r="C2632">
        <v>37751</v>
      </c>
      <c r="D2632" s="2" t="s">
        <v>35</v>
      </c>
      <c r="E2632">
        <v>5</v>
      </c>
      <c r="F2632">
        <v>3</v>
      </c>
      <c r="G2632" s="4">
        <f>VALUE(SUBSTITUTE(SUBSTITUTE(Table1[[#This Row],[Price]],"$",""),",",""))</f>
        <v>1334512</v>
      </c>
      <c r="H2632" s="1">
        <f>Table1[[#This Row],[Price2]]/Table1[[#This Row],[Area]]</f>
        <v>586.08344312692134</v>
      </c>
      <c r="I2632">
        <v>2277</v>
      </c>
      <c r="J2632">
        <v>1981</v>
      </c>
      <c r="K2632">
        <v>57</v>
      </c>
      <c r="L2632" t="s">
        <v>52</v>
      </c>
      <c r="M2632" t="s">
        <v>1754</v>
      </c>
      <c r="N2632" s="2" t="s">
        <v>3027</v>
      </c>
      <c r="O2632" t="s">
        <v>3028</v>
      </c>
      <c r="P2632" t="s">
        <v>21</v>
      </c>
      <c r="Q2632">
        <v>586.08344312692134</v>
      </c>
      <c r="R2632">
        <f ca="1">YEAR(TODAY())-Table1[[#This Row],[Year Built]]</f>
        <v>45</v>
      </c>
      <c r="S2632" t="str">
        <f>IF(Table1[[#This Row],[Days on Market]] &lt; 30,"Fast",IF(Table1[[#This Row],[Days on Market]]&lt;= 90,"Average", "Slow"))</f>
        <v>Average</v>
      </c>
      <c r="T2632" t="str">
        <f>IF(Table1[[#This Row],[Price2]]&lt;500000,"Affordable",IF(Table1[[#This Row],[Price2]]&lt;1000000,"Mid range","Luxury"))</f>
        <v>Luxury</v>
      </c>
    </row>
    <row r="2633" spans="1:20" x14ac:dyDescent="0.35">
      <c r="A2633" s="3">
        <v>1334871</v>
      </c>
      <c r="B2633" s="2" t="s">
        <v>34</v>
      </c>
      <c r="C2633">
        <v>33913</v>
      </c>
      <c r="D2633" s="2" t="s">
        <v>18</v>
      </c>
      <c r="E2633">
        <v>4</v>
      </c>
      <c r="F2633">
        <v>3</v>
      </c>
      <c r="G2633" s="4">
        <f>VALUE(SUBSTITUTE(SUBSTITUTE(Table1[[#This Row],[Price]],"$",""),",",""))</f>
        <v>1334871</v>
      </c>
      <c r="H2633" s="1">
        <f>Table1[[#This Row],[Price2]]/Table1[[#This Row],[Area]]</f>
        <v>743.66072423398327</v>
      </c>
      <c r="I2633">
        <v>1795</v>
      </c>
      <c r="J2633">
        <v>1993</v>
      </c>
      <c r="K2633">
        <v>26</v>
      </c>
      <c r="L2633" t="s">
        <v>14</v>
      </c>
      <c r="M2633" t="s">
        <v>1464</v>
      </c>
      <c r="N2633" s="2" t="s">
        <v>3029</v>
      </c>
      <c r="O2633" t="s">
        <v>3030</v>
      </c>
      <c r="P2633" t="s">
        <v>16</v>
      </c>
      <c r="Q2633">
        <v>743.66072423398327</v>
      </c>
      <c r="R2633">
        <f ca="1">YEAR(TODAY())-Table1[[#This Row],[Year Built]]</f>
        <v>33</v>
      </c>
      <c r="S2633" t="str">
        <f>IF(Table1[[#This Row],[Days on Market]] &lt; 30,"Fast",IF(Table1[[#This Row],[Days on Market]]&lt;= 90,"Average", "Slow"))</f>
        <v>Fast</v>
      </c>
      <c r="T2633" t="str">
        <f>IF(Table1[[#This Row],[Price2]]&lt;500000,"Affordable",IF(Table1[[#This Row],[Price2]]&lt;1000000,"Mid range","Luxury"))</f>
        <v>Luxury</v>
      </c>
    </row>
    <row r="2634" spans="1:20" x14ac:dyDescent="0.35">
      <c r="A2634" s="3">
        <v>1335481</v>
      </c>
      <c r="B2634" s="2" t="s">
        <v>27</v>
      </c>
      <c r="C2634">
        <v>31581</v>
      </c>
      <c r="D2634" s="2" t="s">
        <v>18</v>
      </c>
      <c r="E2634">
        <v>2</v>
      </c>
      <c r="F2634">
        <v>4</v>
      </c>
      <c r="G2634" s="4">
        <f>VALUE(SUBSTITUTE(SUBSTITUTE(Table1[[#This Row],[Price]],"$",""),",",""))</f>
        <v>1335481</v>
      </c>
      <c r="H2634" s="1">
        <f>Table1[[#This Row],[Price2]]/Table1[[#This Row],[Area]]</f>
        <v>843.63929248262787</v>
      </c>
      <c r="I2634">
        <v>1583</v>
      </c>
      <c r="J2634">
        <v>1979</v>
      </c>
      <c r="K2634">
        <v>30</v>
      </c>
      <c r="L2634" t="s">
        <v>19</v>
      </c>
      <c r="M2634" t="s">
        <v>55</v>
      </c>
      <c r="N2634" s="2" t="s">
        <v>3027</v>
      </c>
      <c r="O2634" t="s">
        <v>3028</v>
      </c>
      <c r="P2634" t="s">
        <v>16</v>
      </c>
      <c r="Q2634">
        <v>843.63929248262787</v>
      </c>
      <c r="R2634">
        <f ca="1">YEAR(TODAY())-Table1[[#This Row],[Year Built]]</f>
        <v>47</v>
      </c>
      <c r="S2634" t="str">
        <f>IF(Table1[[#This Row],[Days on Market]] &lt; 30,"Fast",IF(Table1[[#This Row],[Days on Market]]&lt;= 90,"Average", "Slow"))</f>
        <v>Average</v>
      </c>
      <c r="T2634" t="str">
        <f>IF(Table1[[#This Row],[Price2]]&lt;500000,"Affordable",IF(Table1[[#This Row],[Price2]]&lt;1000000,"Mid range","Luxury"))</f>
        <v>Luxury</v>
      </c>
    </row>
    <row r="2635" spans="1:20" x14ac:dyDescent="0.35">
      <c r="A2635" s="3">
        <v>1335972</v>
      </c>
      <c r="B2635" s="2" t="s">
        <v>22</v>
      </c>
      <c r="C2635">
        <v>55598</v>
      </c>
      <c r="D2635" s="2" t="s">
        <v>29</v>
      </c>
      <c r="E2635">
        <v>6</v>
      </c>
      <c r="F2635">
        <v>4</v>
      </c>
      <c r="G2635" s="4">
        <f>VALUE(SUBSTITUTE(SUBSTITUTE(Table1[[#This Row],[Price]],"$",""),",",""))</f>
        <v>1335972</v>
      </c>
      <c r="H2635" s="1">
        <f>Table1[[#This Row],[Price2]]/Table1[[#This Row],[Area]]</f>
        <v>455.03133514986376</v>
      </c>
      <c r="I2635">
        <v>2936</v>
      </c>
      <c r="J2635">
        <v>1970</v>
      </c>
      <c r="K2635">
        <v>38</v>
      </c>
      <c r="L2635" t="s">
        <v>30</v>
      </c>
      <c r="M2635" t="s">
        <v>1984</v>
      </c>
      <c r="N2635" s="2" t="s">
        <v>3031</v>
      </c>
      <c r="O2635" t="s">
        <v>3032</v>
      </c>
      <c r="P2635" t="s">
        <v>21</v>
      </c>
      <c r="Q2635">
        <v>455.03133514986376</v>
      </c>
      <c r="R2635">
        <f ca="1">YEAR(TODAY())-Table1[[#This Row],[Year Built]]</f>
        <v>56</v>
      </c>
      <c r="S2635" t="str">
        <f>IF(Table1[[#This Row],[Days on Market]] &lt; 30,"Fast",IF(Table1[[#This Row],[Days on Market]]&lt;= 90,"Average", "Slow"))</f>
        <v>Average</v>
      </c>
      <c r="T2635" t="str">
        <f>IF(Table1[[#This Row],[Price2]]&lt;500000,"Affordable",IF(Table1[[#This Row],[Price2]]&lt;1000000,"Mid range","Luxury"))</f>
        <v>Luxury</v>
      </c>
    </row>
    <row r="2636" spans="1:20" x14ac:dyDescent="0.35">
      <c r="A2636" s="3">
        <v>1336927</v>
      </c>
      <c r="B2636" s="2" t="s">
        <v>22</v>
      </c>
      <c r="C2636">
        <v>45772</v>
      </c>
      <c r="D2636" s="2" t="s">
        <v>29</v>
      </c>
      <c r="E2636">
        <v>6</v>
      </c>
      <c r="F2636">
        <v>2</v>
      </c>
      <c r="G2636" s="4">
        <f>VALUE(SUBSTITUTE(SUBSTITUTE(Table1[[#This Row],[Price]],"$",""),",",""))</f>
        <v>1336927</v>
      </c>
      <c r="H2636" s="1">
        <f>Table1[[#This Row],[Price2]]/Table1[[#This Row],[Area]]</f>
        <v>871.52998696219038</v>
      </c>
      <c r="I2636">
        <v>1534</v>
      </c>
      <c r="J2636">
        <v>2011</v>
      </c>
      <c r="K2636">
        <v>84</v>
      </c>
      <c r="L2636" t="s">
        <v>14</v>
      </c>
      <c r="M2636" t="s">
        <v>466</v>
      </c>
      <c r="N2636" s="2" t="s">
        <v>3035</v>
      </c>
      <c r="O2636" t="s">
        <v>3036</v>
      </c>
      <c r="P2636" t="s">
        <v>16</v>
      </c>
      <c r="Q2636">
        <v>871.52998696219038</v>
      </c>
      <c r="R2636">
        <f ca="1">YEAR(TODAY())-Table1[[#This Row],[Year Built]]</f>
        <v>15</v>
      </c>
      <c r="S2636" t="str">
        <f>IF(Table1[[#This Row],[Days on Market]] &lt; 30,"Fast",IF(Table1[[#This Row],[Days on Market]]&lt;= 90,"Average", "Slow"))</f>
        <v>Average</v>
      </c>
      <c r="T2636" t="str">
        <f>IF(Table1[[#This Row],[Price2]]&lt;500000,"Affordable",IF(Table1[[#This Row],[Price2]]&lt;1000000,"Mid range","Luxury"))</f>
        <v>Luxury</v>
      </c>
    </row>
    <row r="2637" spans="1:20" x14ac:dyDescent="0.35">
      <c r="A2637" s="3">
        <v>1338663</v>
      </c>
      <c r="B2637" s="2" t="s">
        <v>12</v>
      </c>
      <c r="C2637">
        <v>69169</v>
      </c>
      <c r="D2637" s="2" t="s">
        <v>13</v>
      </c>
      <c r="E2637">
        <v>6</v>
      </c>
      <c r="F2637">
        <v>2</v>
      </c>
      <c r="G2637" s="4">
        <f>VALUE(SUBSTITUTE(SUBSTITUTE(Table1[[#This Row],[Price]],"$",""),",",""))</f>
        <v>1338663</v>
      </c>
      <c r="H2637" s="1">
        <f>Table1[[#This Row],[Price2]]/Table1[[#This Row],[Area]]</f>
        <v>1003.4955022488756</v>
      </c>
      <c r="I2637">
        <v>1334</v>
      </c>
      <c r="J2637">
        <v>1967</v>
      </c>
      <c r="K2637">
        <v>45</v>
      </c>
      <c r="L2637" t="s">
        <v>14</v>
      </c>
      <c r="M2637" t="s">
        <v>313</v>
      </c>
      <c r="N2637" s="2" t="s">
        <v>3033</v>
      </c>
      <c r="O2637" t="s">
        <v>3034</v>
      </c>
      <c r="P2637" t="s">
        <v>16</v>
      </c>
      <c r="Q2637">
        <v>1003.4955022488756</v>
      </c>
      <c r="R2637">
        <f ca="1">YEAR(TODAY())-Table1[[#This Row],[Year Built]]</f>
        <v>59</v>
      </c>
      <c r="S2637" t="str">
        <f>IF(Table1[[#This Row],[Days on Market]] &lt; 30,"Fast",IF(Table1[[#This Row],[Days on Market]]&lt;= 90,"Average", "Slow"))</f>
        <v>Average</v>
      </c>
      <c r="T2637" t="str">
        <f>IF(Table1[[#This Row],[Price2]]&lt;500000,"Affordable",IF(Table1[[#This Row],[Price2]]&lt;1000000,"Mid range","Luxury"))</f>
        <v>Luxury</v>
      </c>
    </row>
    <row r="2638" spans="1:20" x14ac:dyDescent="0.35">
      <c r="A2638" s="3">
        <v>1339463</v>
      </c>
      <c r="B2638" s="2" t="s">
        <v>27</v>
      </c>
      <c r="C2638">
        <v>66023</v>
      </c>
      <c r="D2638" s="2" t="s">
        <v>29</v>
      </c>
      <c r="E2638">
        <v>4</v>
      </c>
      <c r="F2638">
        <v>2</v>
      </c>
      <c r="G2638" s="4">
        <f>VALUE(SUBSTITUTE(SUBSTITUTE(Table1[[#This Row],[Price]],"$",""),",",""))</f>
        <v>1339463</v>
      </c>
      <c r="H2638" s="1">
        <f>Table1[[#This Row],[Price2]]/Table1[[#This Row],[Area]]</f>
        <v>1114.3618968386024</v>
      </c>
      <c r="I2638">
        <v>1202</v>
      </c>
      <c r="J2638">
        <v>1958</v>
      </c>
      <c r="K2638">
        <v>54</v>
      </c>
      <c r="L2638" t="s">
        <v>30</v>
      </c>
      <c r="M2638" t="s">
        <v>1712</v>
      </c>
      <c r="N2638" s="2" t="s">
        <v>3029</v>
      </c>
      <c r="O2638" t="s">
        <v>3030</v>
      </c>
      <c r="P2638" t="s">
        <v>26</v>
      </c>
      <c r="Q2638">
        <v>1114.3618968386024</v>
      </c>
      <c r="R2638">
        <f ca="1">YEAR(TODAY())-Table1[[#This Row],[Year Built]]</f>
        <v>68</v>
      </c>
      <c r="S2638" t="str">
        <f>IF(Table1[[#This Row],[Days on Market]] &lt; 30,"Fast",IF(Table1[[#This Row],[Days on Market]]&lt;= 90,"Average", "Slow"))</f>
        <v>Average</v>
      </c>
      <c r="T2638" t="str">
        <f>IF(Table1[[#This Row],[Price2]]&lt;500000,"Affordable",IF(Table1[[#This Row],[Price2]]&lt;1000000,"Mid range","Luxury"))</f>
        <v>Luxury</v>
      </c>
    </row>
    <row r="2639" spans="1:20" x14ac:dyDescent="0.35">
      <c r="A2639" s="3">
        <v>1339653</v>
      </c>
      <c r="B2639" s="2" t="s">
        <v>12</v>
      </c>
      <c r="C2639">
        <v>44504</v>
      </c>
      <c r="D2639" s="2" t="s">
        <v>35</v>
      </c>
      <c r="E2639">
        <v>5</v>
      </c>
      <c r="F2639">
        <v>3</v>
      </c>
      <c r="G2639" s="4">
        <f>VALUE(SUBSTITUTE(SUBSTITUTE(Table1[[#This Row],[Price]],"$",""),",",""))</f>
        <v>1339653</v>
      </c>
      <c r="H2639" s="1">
        <f>Table1[[#This Row],[Price2]]/Table1[[#This Row],[Area]]</f>
        <v>832.0826086956522</v>
      </c>
      <c r="I2639">
        <v>1610</v>
      </c>
      <c r="J2639">
        <v>1953</v>
      </c>
      <c r="K2639">
        <v>13</v>
      </c>
      <c r="L2639" t="s">
        <v>40</v>
      </c>
      <c r="M2639" t="s">
        <v>2175</v>
      </c>
      <c r="N2639" s="2" t="s">
        <v>3029</v>
      </c>
      <c r="O2639" t="s">
        <v>3030</v>
      </c>
      <c r="P2639" t="s">
        <v>16</v>
      </c>
      <c r="Q2639">
        <v>832.0826086956522</v>
      </c>
      <c r="R2639">
        <f ca="1">YEAR(TODAY())-Table1[[#This Row],[Year Built]]</f>
        <v>73</v>
      </c>
      <c r="S2639" t="str">
        <f>IF(Table1[[#This Row],[Days on Market]] &lt; 30,"Fast",IF(Table1[[#This Row],[Days on Market]]&lt;= 90,"Average", "Slow"))</f>
        <v>Fast</v>
      </c>
      <c r="T2639" t="str">
        <f>IF(Table1[[#This Row],[Price2]]&lt;500000,"Affordable",IF(Table1[[#This Row],[Price2]]&lt;1000000,"Mid range","Luxury"))</f>
        <v>Luxury</v>
      </c>
    </row>
    <row r="2640" spans="1:20" x14ac:dyDescent="0.35">
      <c r="A2640" s="3">
        <v>1340648</v>
      </c>
      <c r="B2640" s="2" t="s">
        <v>22</v>
      </c>
      <c r="C2640">
        <v>15583</v>
      </c>
      <c r="D2640" s="2" t="s">
        <v>29</v>
      </c>
      <c r="E2640">
        <v>5</v>
      </c>
      <c r="F2640">
        <v>1</v>
      </c>
      <c r="G2640" s="4">
        <f>VALUE(SUBSTITUTE(SUBSTITUTE(Table1[[#This Row],[Price]],"$",""),",",""))</f>
        <v>1340648</v>
      </c>
      <c r="H2640" s="1">
        <f>Table1[[#This Row],[Price2]]/Table1[[#This Row],[Area]]</f>
        <v>1846.6225895316804</v>
      </c>
      <c r="I2640">
        <v>726</v>
      </c>
      <c r="J2640">
        <v>2007</v>
      </c>
      <c r="K2640">
        <v>56</v>
      </c>
      <c r="L2640" t="s">
        <v>19</v>
      </c>
      <c r="M2640" t="s">
        <v>1557</v>
      </c>
      <c r="N2640" s="2" t="s">
        <v>3029</v>
      </c>
      <c r="O2640" t="s">
        <v>3030</v>
      </c>
      <c r="P2640" t="s">
        <v>21</v>
      </c>
      <c r="Q2640">
        <v>1846.6225895316804</v>
      </c>
      <c r="R2640">
        <f ca="1">YEAR(TODAY())-Table1[[#This Row],[Year Built]]</f>
        <v>19</v>
      </c>
      <c r="S2640" t="str">
        <f>IF(Table1[[#This Row],[Days on Market]] &lt; 30,"Fast",IF(Table1[[#This Row],[Days on Market]]&lt;= 90,"Average", "Slow"))</f>
        <v>Average</v>
      </c>
      <c r="T2640" t="str">
        <f>IF(Table1[[#This Row],[Price2]]&lt;500000,"Affordable",IF(Table1[[#This Row],[Price2]]&lt;1000000,"Mid range","Luxury"))</f>
        <v>Luxury</v>
      </c>
    </row>
    <row r="2641" spans="1:20" x14ac:dyDescent="0.35">
      <c r="A2641" s="3">
        <v>1340655</v>
      </c>
      <c r="B2641" s="2" t="s">
        <v>17</v>
      </c>
      <c r="C2641">
        <v>74333</v>
      </c>
      <c r="D2641" s="2" t="s">
        <v>35</v>
      </c>
      <c r="E2641">
        <v>2</v>
      </c>
      <c r="F2641">
        <v>4</v>
      </c>
      <c r="G2641" s="4">
        <f>VALUE(SUBSTITUTE(SUBSTITUTE(Table1[[#This Row],[Price]],"$",""),",",""))</f>
        <v>1340655</v>
      </c>
      <c r="H2641" s="1">
        <f>Table1[[#This Row],[Price2]]/Table1[[#This Row],[Area]]</f>
        <v>409.36030534351147</v>
      </c>
      <c r="I2641">
        <v>3275</v>
      </c>
      <c r="J2641">
        <v>1994</v>
      </c>
      <c r="K2641">
        <v>57</v>
      </c>
      <c r="L2641" t="s">
        <v>19</v>
      </c>
      <c r="M2641" t="s">
        <v>1884</v>
      </c>
      <c r="N2641" s="2" t="s">
        <v>3027</v>
      </c>
      <c r="O2641" t="s">
        <v>3028</v>
      </c>
      <c r="P2641" t="s">
        <v>21</v>
      </c>
      <c r="Q2641">
        <v>409.36030534351147</v>
      </c>
      <c r="R2641">
        <f ca="1">YEAR(TODAY())-Table1[[#This Row],[Year Built]]</f>
        <v>32</v>
      </c>
      <c r="S2641" t="str">
        <f>IF(Table1[[#This Row],[Days on Market]] &lt; 30,"Fast",IF(Table1[[#This Row],[Days on Market]]&lt;= 90,"Average", "Slow"))</f>
        <v>Average</v>
      </c>
      <c r="T2641" t="str">
        <f>IF(Table1[[#This Row],[Price2]]&lt;500000,"Affordable",IF(Table1[[#This Row],[Price2]]&lt;1000000,"Mid range","Luxury"))</f>
        <v>Luxury</v>
      </c>
    </row>
    <row r="2642" spans="1:20" x14ac:dyDescent="0.35">
      <c r="A2642" s="3">
        <v>1340985</v>
      </c>
      <c r="B2642" s="2" t="s">
        <v>27</v>
      </c>
      <c r="C2642">
        <v>18590</v>
      </c>
      <c r="D2642" s="2" t="s">
        <v>35</v>
      </c>
      <c r="E2642">
        <v>4</v>
      </c>
      <c r="F2642">
        <v>3</v>
      </c>
      <c r="G2642" s="4">
        <f>VALUE(SUBSTITUTE(SUBSTITUTE(Table1[[#This Row],[Price]],"$",""),",",""))</f>
        <v>1340985</v>
      </c>
      <c r="H2642" s="1">
        <f>Table1[[#This Row],[Price2]]/Table1[[#This Row],[Area]]</f>
        <v>828.79171817058102</v>
      </c>
      <c r="I2642">
        <v>1618</v>
      </c>
      <c r="J2642">
        <v>1970</v>
      </c>
      <c r="K2642">
        <v>42</v>
      </c>
      <c r="L2642" t="s">
        <v>52</v>
      </c>
      <c r="M2642" t="s">
        <v>360</v>
      </c>
      <c r="N2642" s="2" t="s">
        <v>3031</v>
      </c>
      <c r="O2642" t="s">
        <v>3032</v>
      </c>
      <c r="P2642" t="s">
        <v>16</v>
      </c>
      <c r="Q2642">
        <v>828.79171817058102</v>
      </c>
      <c r="R2642">
        <f ca="1">YEAR(TODAY())-Table1[[#This Row],[Year Built]]</f>
        <v>56</v>
      </c>
      <c r="S2642" t="str">
        <f>IF(Table1[[#This Row],[Days on Market]] &lt; 30,"Fast",IF(Table1[[#This Row],[Days on Market]]&lt;= 90,"Average", "Slow"))</f>
        <v>Average</v>
      </c>
      <c r="T2642" t="str">
        <f>IF(Table1[[#This Row],[Price2]]&lt;500000,"Affordable",IF(Table1[[#This Row],[Price2]]&lt;1000000,"Mid range","Luxury"))</f>
        <v>Luxury</v>
      </c>
    </row>
    <row r="2643" spans="1:20" x14ac:dyDescent="0.35">
      <c r="A2643" s="3">
        <v>1342049</v>
      </c>
      <c r="B2643" s="2" t="s">
        <v>12</v>
      </c>
      <c r="C2643">
        <v>62862</v>
      </c>
      <c r="D2643" s="2" t="s">
        <v>29</v>
      </c>
      <c r="E2643">
        <v>5</v>
      </c>
      <c r="F2643">
        <v>2</v>
      </c>
      <c r="G2643" s="4">
        <f>VALUE(SUBSTITUTE(SUBSTITUTE(Table1[[#This Row],[Price]],"$",""),",",""))</f>
        <v>1342049</v>
      </c>
      <c r="H2643" s="1">
        <f>Table1[[#This Row],[Price2]]/Table1[[#This Row],[Area]]</f>
        <v>377.82911036036035</v>
      </c>
      <c r="I2643">
        <v>3552</v>
      </c>
      <c r="J2643">
        <v>1970</v>
      </c>
      <c r="K2643">
        <v>19</v>
      </c>
      <c r="L2643" t="s">
        <v>40</v>
      </c>
      <c r="M2643" t="s">
        <v>3015</v>
      </c>
      <c r="N2643" s="2" t="s">
        <v>3031</v>
      </c>
      <c r="O2643" t="s">
        <v>3032</v>
      </c>
      <c r="P2643" t="s">
        <v>16</v>
      </c>
      <c r="Q2643">
        <v>377.82911036036035</v>
      </c>
      <c r="R2643">
        <f ca="1">YEAR(TODAY())-Table1[[#This Row],[Year Built]]</f>
        <v>56</v>
      </c>
      <c r="S2643" t="str">
        <f>IF(Table1[[#This Row],[Days on Market]] &lt; 30,"Fast",IF(Table1[[#This Row],[Days on Market]]&lt;= 90,"Average", "Slow"))</f>
        <v>Fast</v>
      </c>
      <c r="T2643" t="str">
        <f>IF(Table1[[#This Row],[Price2]]&lt;500000,"Affordable",IF(Table1[[#This Row],[Price2]]&lt;1000000,"Mid range","Luxury"))</f>
        <v>Luxury</v>
      </c>
    </row>
    <row r="2644" spans="1:20" x14ac:dyDescent="0.35">
      <c r="A2644" s="3">
        <v>1342248</v>
      </c>
      <c r="B2644" s="2" t="s">
        <v>12</v>
      </c>
      <c r="C2644">
        <v>72249</v>
      </c>
      <c r="D2644" s="2" t="s">
        <v>18</v>
      </c>
      <c r="E2644">
        <v>3</v>
      </c>
      <c r="F2644">
        <v>2</v>
      </c>
      <c r="G2644" s="4">
        <f>VALUE(SUBSTITUTE(SUBSTITUTE(Table1[[#This Row],[Price]],"$",""),",",""))</f>
        <v>1342248</v>
      </c>
      <c r="H2644" s="1">
        <f>Table1[[#This Row],[Price2]]/Table1[[#This Row],[Area]]</f>
        <v>804.70503597122297</v>
      </c>
      <c r="I2644">
        <v>1668</v>
      </c>
      <c r="J2644">
        <v>1963</v>
      </c>
      <c r="K2644">
        <v>12</v>
      </c>
      <c r="L2644" t="s">
        <v>52</v>
      </c>
      <c r="M2644" t="s">
        <v>2147</v>
      </c>
      <c r="N2644" s="2" t="s">
        <v>3029</v>
      </c>
      <c r="O2644" t="s">
        <v>3030</v>
      </c>
      <c r="P2644" t="s">
        <v>26</v>
      </c>
      <c r="Q2644">
        <v>804.70503597122297</v>
      </c>
      <c r="R2644">
        <f ca="1">YEAR(TODAY())-Table1[[#This Row],[Year Built]]</f>
        <v>63</v>
      </c>
      <c r="S2644" t="str">
        <f>IF(Table1[[#This Row],[Days on Market]] &lt; 30,"Fast",IF(Table1[[#This Row],[Days on Market]]&lt;= 90,"Average", "Slow"))</f>
        <v>Fast</v>
      </c>
      <c r="T2644" t="str">
        <f>IF(Table1[[#This Row],[Price2]]&lt;500000,"Affordable",IF(Table1[[#This Row],[Price2]]&lt;1000000,"Mid range","Luxury"))</f>
        <v>Luxury</v>
      </c>
    </row>
    <row r="2645" spans="1:20" x14ac:dyDescent="0.35">
      <c r="A2645" s="3">
        <v>1342267</v>
      </c>
      <c r="B2645" s="2" t="s">
        <v>27</v>
      </c>
      <c r="C2645">
        <v>58462</v>
      </c>
      <c r="D2645" s="2" t="s">
        <v>18</v>
      </c>
      <c r="E2645">
        <v>1</v>
      </c>
      <c r="F2645">
        <v>4</v>
      </c>
      <c r="G2645" s="4">
        <f>VALUE(SUBSTITUTE(SUBSTITUTE(Table1[[#This Row],[Price]],"$",""),",",""))</f>
        <v>1342267</v>
      </c>
      <c r="H2645" s="1">
        <f>Table1[[#This Row],[Price2]]/Table1[[#This Row],[Area]]</f>
        <v>749.45114461194862</v>
      </c>
      <c r="I2645">
        <v>1791</v>
      </c>
      <c r="J2645">
        <v>1978</v>
      </c>
      <c r="K2645">
        <v>73</v>
      </c>
      <c r="L2645" t="s">
        <v>40</v>
      </c>
      <c r="M2645" t="s">
        <v>803</v>
      </c>
      <c r="N2645" s="2" t="s">
        <v>3029</v>
      </c>
      <c r="O2645" t="s">
        <v>3030</v>
      </c>
      <c r="P2645" t="s">
        <v>16</v>
      </c>
      <c r="Q2645">
        <v>749.45114461194862</v>
      </c>
      <c r="R2645">
        <f ca="1">YEAR(TODAY())-Table1[[#This Row],[Year Built]]</f>
        <v>48</v>
      </c>
      <c r="S2645" t="str">
        <f>IF(Table1[[#This Row],[Days on Market]] &lt; 30,"Fast",IF(Table1[[#This Row],[Days on Market]]&lt;= 90,"Average", "Slow"))</f>
        <v>Average</v>
      </c>
      <c r="T2645" t="str">
        <f>IF(Table1[[#This Row],[Price2]]&lt;500000,"Affordable",IF(Table1[[#This Row],[Price2]]&lt;1000000,"Mid range","Luxury"))</f>
        <v>Luxury</v>
      </c>
    </row>
    <row r="2646" spans="1:20" x14ac:dyDescent="0.35">
      <c r="A2646" s="3">
        <v>1342910</v>
      </c>
      <c r="B2646" s="2" t="s">
        <v>17</v>
      </c>
      <c r="C2646">
        <v>63614</v>
      </c>
      <c r="D2646" s="2" t="s">
        <v>18</v>
      </c>
      <c r="E2646">
        <v>2</v>
      </c>
      <c r="F2646">
        <v>2</v>
      </c>
      <c r="G2646" s="4">
        <f>VALUE(SUBSTITUTE(SUBSTITUTE(Table1[[#This Row],[Price]],"$",""),",",""))</f>
        <v>1342910</v>
      </c>
      <c r="H2646" s="1">
        <f>Table1[[#This Row],[Price2]]/Table1[[#This Row],[Area]]</f>
        <v>674.15160642570277</v>
      </c>
      <c r="I2646">
        <v>1992</v>
      </c>
      <c r="J2646">
        <v>1973</v>
      </c>
      <c r="K2646">
        <v>76</v>
      </c>
      <c r="L2646" t="s">
        <v>14</v>
      </c>
      <c r="M2646" t="s">
        <v>1455</v>
      </c>
      <c r="N2646" s="2" t="s">
        <v>3035</v>
      </c>
      <c r="O2646" t="s">
        <v>3036</v>
      </c>
      <c r="P2646" t="s">
        <v>26</v>
      </c>
      <c r="Q2646">
        <v>674.15160642570277</v>
      </c>
      <c r="R2646">
        <f ca="1">YEAR(TODAY())-Table1[[#This Row],[Year Built]]</f>
        <v>53</v>
      </c>
      <c r="S2646" t="str">
        <f>IF(Table1[[#This Row],[Days on Market]] &lt; 30,"Fast",IF(Table1[[#This Row],[Days on Market]]&lt;= 90,"Average", "Slow"))</f>
        <v>Average</v>
      </c>
      <c r="T2646" t="str">
        <f>IF(Table1[[#This Row],[Price2]]&lt;500000,"Affordable",IF(Table1[[#This Row],[Price2]]&lt;1000000,"Mid range","Luxury"))</f>
        <v>Luxury</v>
      </c>
    </row>
    <row r="2647" spans="1:20" x14ac:dyDescent="0.35">
      <c r="A2647" s="3">
        <v>1344907</v>
      </c>
      <c r="B2647" s="2" t="s">
        <v>17</v>
      </c>
      <c r="C2647">
        <v>71256</v>
      </c>
      <c r="D2647" s="2" t="s">
        <v>18</v>
      </c>
      <c r="E2647">
        <v>3</v>
      </c>
      <c r="F2647">
        <v>4</v>
      </c>
      <c r="G2647" s="4">
        <f>VALUE(SUBSTITUTE(SUBSTITUTE(Table1[[#This Row],[Price]],"$",""),",",""))</f>
        <v>1344907</v>
      </c>
      <c r="H2647" s="1">
        <f>Table1[[#This Row],[Price2]]/Table1[[#This Row],[Area]]</f>
        <v>387.24647279009503</v>
      </c>
      <c r="I2647">
        <v>3473</v>
      </c>
      <c r="J2647">
        <v>2014</v>
      </c>
      <c r="K2647">
        <v>65</v>
      </c>
      <c r="L2647" t="s">
        <v>52</v>
      </c>
      <c r="M2647" t="s">
        <v>2490</v>
      </c>
      <c r="N2647" s="2" t="s">
        <v>3033</v>
      </c>
      <c r="O2647" t="s">
        <v>3034</v>
      </c>
      <c r="P2647" t="s">
        <v>21</v>
      </c>
      <c r="Q2647">
        <v>387.24647279009503</v>
      </c>
      <c r="R2647">
        <f ca="1">YEAR(TODAY())-Table1[[#This Row],[Year Built]]</f>
        <v>12</v>
      </c>
      <c r="S2647" t="str">
        <f>IF(Table1[[#This Row],[Days on Market]] &lt; 30,"Fast",IF(Table1[[#This Row],[Days on Market]]&lt;= 90,"Average", "Slow"))</f>
        <v>Average</v>
      </c>
      <c r="T2647" t="str">
        <f>IF(Table1[[#This Row],[Price2]]&lt;500000,"Affordable",IF(Table1[[#This Row],[Price2]]&lt;1000000,"Mid range","Luxury"))</f>
        <v>Luxury</v>
      </c>
    </row>
    <row r="2648" spans="1:20" x14ac:dyDescent="0.35">
      <c r="A2648" s="3">
        <v>1345391</v>
      </c>
      <c r="B2648" s="2" t="s">
        <v>17</v>
      </c>
      <c r="C2648">
        <v>92296</v>
      </c>
      <c r="D2648" s="2" t="s">
        <v>18</v>
      </c>
      <c r="E2648">
        <v>5</v>
      </c>
      <c r="F2648">
        <v>3</v>
      </c>
      <c r="G2648" s="4">
        <f>VALUE(SUBSTITUTE(SUBSTITUTE(Table1[[#This Row],[Price]],"$",""),",",""))</f>
        <v>1345391</v>
      </c>
      <c r="H2648" s="1">
        <f>Table1[[#This Row],[Price2]]/Table1[[#This Row],[Area]]</f>
        <v>2082.6486068111453</v>
      </c>
      <c r="I2648">
        <v>646</v>
      </c>
      <c r="J2648">
        <v>1980</v>
      </c>
      <c r="K2648">
        <v>45</v>
      </c>
      <c r="L2648" t="s">
        <v>19</v>
      </c>
      <c r="M2648" t="s">
        <v>808</v>
      </c>
      <c r="N2648" s="2" t="s">
        <v>3027</v>
      </c>
      <c r="O2648" t="s">
        <v>3028</v>
      </c>
      <c r="P2648" t="s">
        <v>16</v>
      </c>
      <c r="Q2648">
        <v>2082.6486068111453</v>
      </c>
      <c r="R2648">
        <f ca="1">YEAR(TODAY())-Table1[[#This Row],[Year Built]]</f>
        <v>46</v>
      </c>
      <c r="S2648" t="str">
        <f>IF(Table1[[#This Row],[Days on Market]] &lt; 30,"Fast",IF(Table1[[#This Row],[Days on Market]]&lt;= 90,"Average", "Slow"))</f>
        <v>Average</v>
      </c>
      <c r="T2648" t="str">
        <f>IF(Table1[[#This Row],[Price2]]&lt;500000,"Affordable",IF(Table1[[#This Row],[Price2]]&lt;1000000,"Mid range","Luxury"))</f>
        <v>Luxury</v>
      </c>
    </row>
    <row r="2649" spans="1:20" x14ac:dyDescent="0.35">
      <c r="A2649" s="3">
        <v>1346277</v>
      </c>
      <c r="B2649" s="2" t="s">
        <v>12</v>
      </c>
      <c r="C2649">
        <v>74145</v>
      </c>
      <c r="D2649" s="2" t="s">
        <v>23</v>
      </c>
      <c r="E2649">
        <v>3</v>
      </c>
      <c r="F2649">
        <v>2</v>
      </c>
      <c r="G2649" s="4">
        <f>VALUE(SUBSTITUTE(SUBSTITUTE(Table1[[#This Row],[Price]],"$",""),",",""))</f>
        <v>1346277</v>
      </c>
      <c r="H2649" s="1">
        <f>Table1[[#This Row],[Price2]]/Table1[[#This Row],[Area]]</f>
        <v>972.74349710982654</v>
      </c>
      <c r="I2649">
        <v>1384</v>
      </c>
      <c r="J2649">
        <v>2015</v>
      </c>
      <c r="K2649">
        <v>33</v>
      </c>
      <c r="L2649" t="s">
        <v>30</v>
      </c>
      <c r="M2649" t="s">
        <v>1208</v>
      </c>
      <c r="N2649" s="2" t="s">
        <v>3031</v>
      </c>
      <c r="O2649" t="s">
        <v>3032</v>
      </c>
      <c r="P2649" t="s">
        <v>16</v>
      </c>
      <c r="Q2649">
        <v>972.74349710982654</v>
      </c>
      <c r="R2649">
        <f ca="1">YEAR(TODAY())-Table1[[#This Row],[Year Built]]</f>
        <v>11</v>
      </c>
      <c r="S2649" t="str">
        <f>IF(Table1[[#This Row],[Days on Market]] &lt; 30,"Fast",IF(Table1[[#This Row],[Days on Market]]&lt;= 90,"Average", "Slow"))</f>
        <v>Average</v>
      </c>
      <c r="T2649" t="str">
        <f>IF(Table1[[#This Row],[Price2]]&lt;500000,"Affordable",IF(Table1[[#This Row],[Price2]]&lt;1000000,"Mid range","Luxury"))</f>
        <v>Luxury</v>
      </c>
    </row>
    <row r="2650" spans="1:20" x14ac:dyDescent="0.35">
      <c r="A2650" s="3">
        <v>1346411</v>
      </c>
      <c r="B2650" s="2" t="s">
        <v>34</v>
      </c>
      <c r="C2650">
        <v>48078</v>
      </c>
      <c r="D2650" s="2" t="s">
        <v>35</v>
      </c>
      <c r="E2650">
        <v>1</v>
      </c>
      <c r="F2650">
        <v>1</v>
      </c>
      <c r="G2650" s="4">
        <f>VALUE(SUBSTITUTE(SUBSTITUTE(Table1[[#This Row],[Price]],"$",""),",",""))</f>
        <v>1346411</v>
      </c>
      <c r="H2650" s="1">
        <f>Table1[[#This Row],[Price2]]/Table1[[#This Row],[Area]]</f>
        <v>472.59073359073358</v>
      </c>
      <c r="I2650">
        <v>2849</v>
      </c>
      <c r="J2650">
        <v>1952</v>
      </c>
      <c r="K2650">
        <v>104</v>
      </c>
      <c r="L2650" t="s">
        <v>40</v>
      </c>
      <c r="M2650" t="s">
        <v>116</v>
      </c>
      <c r="N2650" s="2" t="s">
        <v>3029</v>
      </c>
      <c r="O2650" t="s">
        <v>3030</v>
      </c>
      <c r="P2650" t="s">
        <v>21</v>
      </c>
      <c r="Q2650">
        <v>472.59073359073358</v>
      </c>
      <c r="R2650">
        <f ca="1">YEAR(TODAY())-Table1[[#This Row],[Year Built]]</f>
        <v>74</v>
      </c>
      <c r="S2650" t="str">
        <f>IF(Table1[[#This Row],[Days on Market]] &lt; 30,"Fast",IF(Table1[[#This Row],[Days on Market]]&lt;= 90,"Average", "Slow"))</f>
        <v>Slow</v>
      </c>
      <c r="T2650" t="str">
        <f>IF(Table1[[#This Row],[Price2]]&lt;500000,"Affordable",IF(Table1[[#This Row],[Price2]]&lt;1000000,"Mid range","Luxury"))</f>
        <v>Luxury</v>
      </c>
    </row>
    <row r="2651" spans="1:20" x14ac:dyDescent="0.35">
      <c r="A2651" s="3">
        <v>1347555</v>
      </c>
      <c r="B2651" s="2" t="s">
        <v>34</v>
      </c>
      <c r="C2651">
        <v>85224</v>
      </c>
      <c r="D2651" s="2" t="s">
        <v>13</v>
      </c>
      <c r="E2651">
        <v>4</v>
      </c>
      <c r="F2651">
        <v>3</v>
      </c>
      <c r="G2651" s="4">
        <f>VALUE(SUBSTITUTE(SUBSTITUTE(Table1[[#This Row],[Price]],"$",""),",",""))</f>
        <v>1347555</v>
      </c>
      <c r="H2651" s="1">
        <f>Table1[[#This Row],[Price2]]/Table1[[#This Row],[Area]]</f>
        <v>386.22957867583835</v>
      </c>
      <c r="I2651">
        <v>3489</v>
      </c>
      <c r="J2651">
        <v>1998</v>
      </c>
      <c r="K2651">
        <v>21</v>
      </c>
      <c r="L2651" t="s">
        <v>30</v>
      </c>
      <c r="M2651" t="s">
        <v>2133</v>
      </c>
      <c r="N2651" s="2" t="s">
        <v>3035</v>
      </c>
      <c r="O2651" t="s">
        <v>3036</v>
      </c>
      <c r="P2651" t="s">
        <v>21</v>
      </c>
      <c r="Q2651">
        <v>386.22957867583835</v>
      </c>
      <c r="R2651">
        <f ca="1">YEAR(TODAY())-Table1[[#This Row],[Year Built]]</f>
        <v>28</v>
      </c>
      <c r="S2651" t="str">
        <f>IF(Table1[[#This Row],[Days on Market]] &lt; 30,"Fast",IF(Table1[[#This Row],[Days on Market]]&lt;= 90,"Average", "Slow"))</f>
        <v>Fast</v>
      </c>
      <c r="T2651" t="str">
        <f>IF(Table1[[#This Row],[Price2]]&lt;500000,"Affordable",IF(Table1[[#This Row],[Price2]]&lt;1000000,"Mid range","Luxury"))</f>
        <v>Luxury</v>
      </c>
    </row>
    <row r="2652" spans="1:20" x14ac:dyDescent="0.35">
      <c r="A2652" s="3">
        <v>1348396</v>
      </c>
      <c r="B2652" s="2" t="s">
        <v>27</v>
      </c>
      <c r="C2652">
        <v>73223</v>
      </c>
      <c r="D2652" s="2" t="s">
        <v>23</v>
      </c>
      <c r="E2652">
        <v>6</v>
      </c>
      <c r="F2652">
        <v>2</v>
      </c>
      <c r="G2652" s="4">
        <f>VALUE(SUBSTITUTE(SUBSTITUTE(Table1[[#This Row],[Price]],"$",""),",",""))</f>
        <v>1348396</v>
      </c>
      <c r="H2652" s="1">
        <f>Table1[[#This Row],[Price2]]/Table1[[#This Row],[Area]]</f>
        <v>360.91970021413277</v>
      </c>
      <c r="I2652">
        <v>3736</v>
      </c>
      <c r="J2652">
        <v>1957</v>
      </c>
      <c r="K2652">
        <v>107</v>
      </c>
      <c r="L2652" t="s">
        <v>40</v>
      </c>
      <c r="M2652" t="s">
        <v>2282</v>
      </c>
      <c r="N2652" s="2" t="s">
        <v>3031</v>
      </c>
      <c r="O2652" t="s">
        <v>3032</v>
      </c>
      <c r="P2652" t="s">
        <v>26</v>
      </c>
      <c r="Q2652">
        <v>360.91970021413277</v>
      </c>
      <c r="R2652">
        <f ca="1">YEAR(TODAY())-Table1[[#This Row],[Year Built]]</f>
        <v>69</v>
      </c>
      <c r="S2652" t="str">
        <f>IF(Table1[[#This Row],[Days on Market]] &lt; 30,"Fast",IF(Table1[[#This Row],[Days on Market]]&lt;= 90,"Average", "Slow"))</f>
        <v>Slow</v>
      </c>
      <c r="T2652" t="str">
        <f>IF(Table1[[#This Row],[Price2]]&lt;500000,"Affordable",IF(Table1[[#This Row],[Price2]]&lt;1000000,"Mid range","Luxury"))</f>
        <v>Luxury</v>
      </c>
    </row>
    <row r="2653" spans="1:20" x14ac:dyDescent="0.35">
      <c r="A2653" s="3">
        <v>1350028</v>
      </c>
      <c r="B2653" s="2" t="s">
        <v>17</v>
      </c>
      <c r="C2653">
        <v>75286</v>
      </c>
      <c r="D2653" s="2" t="s">
        <v>13</v>
      </c>
      <c r="E2653">
        <v>6</v>
      </c>
      <c r="F2653">
        <v>4</v>
      </c>
      <c r="G2653" s="4">
        <f>VALUE(SUBSTITUTE(SUBSTITUTE(Table1[[#This Row],[Price]],"$",""),",",""))</f>
        <v>1350028</v>
      </c>
      <c r="H2653" s="1">
        <f>Table1[[#This Row],[Price2]]/Table1[[#This Row],[Area]]</f>
        <v>593.15817223198599</v>
      </c>
      <c r="I2653">
        <v>2276</v>
      </c>
      <c r="J2653">
        <v>2003</v>
      </c>
      <c r="K2653">
        <v>75</v>
      </c>
      <c r="L2653" t="s">
        <v>52</v>
      </c>
      <c r="M2653" t="s">
        <v>461</v>
      </c>
      <c r="N2653" s="2" t="s">
        <v>3035</v>
      </c>
      <c r="O2653" t="s">
        <v>3036</v>
      </c>
      <c r="P2653" t="s">
        <v>16</v>
      </c>
      <c r="Q2653">
        <v>593.15817223198599</v>
      </c>
      <c r="R2653">
        <f ca="1">YEAR(TODAY())-Table1[[#This Row],[Year Built]]</f>
        <v>23</v>
      </c>
      <c r="S2653" t="str">
        <f>IF(Table1[[#This Row],[Days on Market]] &lt; 30,"Fast",IF(Table1[[#This Row],[Days on Market]]&lt;= 90,"Average", "Slow"))</f>
        <v>Average</v>
      </c>
      <c r="T2653" t="str">
        <f>IF(Table1[[#This Row],[Price2]]&lt;500000,"Affordable",IF(Table1[[#This Row],[Price2]]&lt;1000000,"Mid range","Luxury"))</f>
        <v>Luxury</v>
      </c>
    </row>
    <row r="2654" spans="1:20" x14ac:dyDescent="0.35">
      <c r="A2654" s="3">
        <v>1350914</v>
      </c>
      <c r="B2654" s="2" t="s">
        <v>27</v>
      </c>
      <c r="C2654">
        <v>35740</v>
      </c>
      <c r="D2654" s="2" t="s">
        <v>29</v>
      </c>
      <c r="E2654">
        <v>1</v>
      </c>
      <c r="F2654">
        <v>3</v>
      </c>
      <c r="G2654" s="4">
        <f>VALUE(SUBSTITUTE(SUBSTITUTE(Table1[[#This Row],[Price]],"$",""),",",""))</f>
        <v>1350914</v>
      </c>
      <c r="H2654" s="1">
        <f>Table1[[#This Row],[Price2]]/Table1[[#This Row],[Area]]</f>
        <v>542.10032102728735</v>
      </c>
      <c r="I2654">
        <v>2492</v>
      </c>
      <c r="J2654">
        <v>1972</v>
      </c>
      <c r="K2654">
        <v>43</v>
      </c>
      <c r="L2654" t="s">
        <v>14</v>
      </c>
      <c r="M2654" t="s">
        <v>2881</v>
      </c>
      <c r="N2654" s="2" t="s">
        <v>3027</v>
      </c>
      <c r="O2654" t="s">
        <v>3028</v>
      </c>
      <c r="P2654" t="s">
        <v>21</v>
      </c>
      <c r="Q2654">
        <v>542.10032102728735</v>
      </c>
      <c r="R2654">
        <f ca="1">YEAR(TODAY())-Table1[[#This Row],[Year Built]]</f>
        <v>54</v>
      </c>
      <c r="S2654" t="str">
        <f>IF(Table1[[#This Row],[Days on Market]] &lt; 30,"Fast",IF(Table1[[#This Row],[Days on Market]]&lt;= 90,"Average", "Slow"))</f>
        <v>Average</v>
      </c>
      <c r="T2654" t="str">
        <f>IF(Table1[[#This Row],[Price2]]&lt;500000,"Affordable",IF(Table1[[#This Row],[Price2]]&lt;1000000,"Mid range","Luxury"))</f>
        <v>Luxury</v>
      </c>
    </row>
    <row r="2655" spans="1:20" x14ac:dyDescent="0.35">
      <c r="A2655" s="3">
        <v>1352612</v>
      </c>
      <c r="B2655" s="2" t="s">
        <v>22</v>
      </c>
      <c r="C2655">
        <v>59105</v>
      </c>
      <c r="D2655" s="2" t="s">
        <v>29</v>
      </c>
      <c r="E2655">
        <v>3</v>
      </c>
      <c r="F2655">
        <v>3</v>
      </c>
      <c r="G2655" s="4">
        <f>VALUE(SUBSTITUTE(SUBSTITUTE(Table1[[#This Row],[Price]],"$",""),",",""))</f>
        <v>1352612</v>
      </c>
      <c r="H2655" s="1">
        <f>Table1[[#This Row],[Price2]]/Table1[[#This Row],[Area]]</f>
        <v>664.34774066797638</v>
      </c>
      <c r="I2655">
        <v>2036</v>
      </c>
      <c r="J2655">
        <v>1961</v>
      </c>
      <c r="K2655">
        <v>21</v>
      </c>
      <c r="L2655" t="s">
        <v>30</v>
      </c>
      <c r="M2655" t="s">
        <v>732</v>
      </c>
      <c r="N2655" s="2" t="s">
        <v>3035</v>
      </c>
      <c r="O2655" t="s">
        <v>3036</v>
      </c>
      <c r="P2655" t="s">
        <v>26</v>
      </c>
      <c r="Q2655">
        <v>664.34774066797638</v>
      </c>
      <c r="R2655">
        <f ca="1">YEAR(TODAY())-Table1[[#This Row],[Year Built]]</f>
        <v>65</v>
      </c>
      <c r="S2655" t="str">
        <f>IF(Table1[[#This Row],[Days on Market]] &lt; 30,"Fast",IF(Table1[[#This Row],[Days on Market]]&lt;= 90,"Average", "Slow"))</f>
        <v>Fast</v>
      </c>
      <c r="T2655" t="str">
        <f>IF(Table1[[#This Row],[Price2]]&lt;500000,"Affordable",IF(Table1[[#This Row],[Price2]]&lt;1000000,"Mid range","Luxury"))</f>
        <v>Luxury</v>
      </c>
    </row>
    <row r="2656" spans="1:20" x14ac:dyDescent="0.35">
      <c r="A2656" s="3">
        <v>1353530</v>
      </c>
      <c r="B2656" s="2" t="s">
        <v>27</v>
      </c>
      <c r="C2656">
        <v>59381</v>
      </c>
      <c r="D2656" s="2" t="s">
        <v>35</v>
      </c>
      <c r="E2656">
        <v>2</v>
      </c>
      <c r="F2656">
        <v>4</v>
      </c>
      <c r="G2656" s="4">
        <f>VALUE(SUBSTITUTE(SUBSTITUTE(Table1[[#This Row],[Price]],"$",""),",",""))</f>
        <v>1353530</v>
      </c>
      <c r="H2656" s="1">
        <f>Table1[[#This Row],[Price2]]/Table1[[#This Row],[Area]]</f>
        <v>393.23939570017433</v>
      </c>
      <c r="I2656">
        <v>3442</v>
      </c>
      <c r="J2656">
        <v>1952</v>
      </c>
      <c r="K2656">
        <v>108</v>
      </c>
      <c r="L2656" t="s">
        <v>30</v>
      </c>
      <c r="M2656" t="s">
        <v>67</v>
      </c>
      <c r="N2656" s="2" t="s">
        <v>3027</v>
      </c>
      <c r="O2656" t="s">
        <v>3028</v>
      </c>
      <c r="P2656" t="s">
        <v>26</v>
      </c>
      <c r="Q2656">
        <v>393.23939570017433</v>
      </c>
      <c r="R2656">
        <f ca="1">YEAR(TODAY())-Table1[[#This Row],[Year Built]]</f>
        <v>74</v>
      </c>
      <c r="S2656" t="str">
        <f>IF(Table1[[#This Row],[Days on Market]] &lt; 30,"Fast",IF(Table1[[#This Row],[Days on Market]]&lt;= 90,"Average", "Slow"))</f>
        <v>Slow</v>
      </c>
      <c r="T2656" t="str">
        <f>IF(Table1[[#This Row],[Price2]]&lt;500000,"Affordable",IF(Table1[[#This Row],[Price2]]&lt;1000000,"Mid range","Luxury"))</f>
        <v>Luxury</v>
      </c>
    </row>
    <row r="2657" spans="1:20" x14ac:dyDescent="0.35">
      <c r="A2657" s="3">
        <v>1354118</v>
      </c>
      <c r="B2657" s="2" t="s">
        <v>22</v>
      </c>
      <c r="C2657">
        <v>19745</v>
      </c>
      <c r="D2657" s="2" t="s">
        <v>29</v>
      </c>
      <c r="E2657">
        <v>3</v>
      </c>
      <c r="F2657">
        <v>1</v>
      </c>
      <c r="G2657" s="4">
        <f>VALUE(SUBSTITUTE(SUBSTITUTE(Table1[[#This Row],[Price]],"$",""),",",""))</f>
        <v>1354118</v>
      </c>
      <c r="H2657" s="1">
        <f>Table1[[#This Row],[Price2]]/Table1[[#This Row],[Area]]</f>
        <v>759.8866442199776</v>
      </c>
      <c r="I2657">
        <v>1782</v>
      </c>
      <c r="J2657">
        <v>1997</v>
      </c>
      <c r="K2657">
        <v>65</v>
      </c>
      <c r="L2657" t="s">
        <v>30</v>
      </c>
      <c r="M2657" t="s">
        <v>1198</v>
      </c>
      <c r="N2657" s="2" t="s">
        <v>3033</v>
      </c>
      <c r="O2657" t="s">
        <v>3034</v>
      </c>
      <c r="P2657" t="s">
        <v>26</v>
      </c>
      <c r="Q2657">
        <v>759.8866442199776</v>
      </c>
      <c r="R2657">
        <f ca="1">YEAR(TODAY())-Table1[[#This Row],[Year Built]]</f>
        <v>29</v>
      </c>
      <c r="S2657" t="str">
        <f>IF(Table1[[#This Row],[Days on Market]] &lt; 30,"Fast",IF(Table1[[#This Row],[Days on Market]]&lt;= 90,"Average", "Slow"))</f>
        <v>Average</v>
      </c>
      <c r="T2657" t="str">
        <f>IF(Table1[[#This Row],[Price2]]&lt;500000,"Affordable",IF(Table1[[#This Row],[Price2]]&lt;1000000,"Mid range","Luxury"))</f>
        <v>Luxury</v>
      </c>
    </row>
    <row r="2658" spans="1:20" x14ac:dyDescent="0.35">
      <c r="A2658" s="3">
        <v>1355937</v>
      </c>
      <c r="B2658" s="2" t="s">
        <v>22</v>
      </c>
      <c r="C2658">
        <v>72385</v>
      </c>
      <c r="D2658" s="2" t="s">
        <v>13</v>
      </c>
      <c r="E2658">
        <v>5</v>
      </c>
      <c r="F2658">
        <v>2</v>
      </c>
      <c r="G2658" s="4">
        <f>VALUE(SUBSTITUTE(SUBSTITUTE(Table1[[#This Row],[Price]],"$",""),",",""))</f>
        <v>1355937</v>
      </c>
      <c r="H2658" s="1">
        <f>Table1[[#This Row],[Price2]]/Table1[[#This Row],[Area]]</f>
        <v>1499.9303097345132</v>
      </c>
      <c r="I2658">
        <v>904</v>
      </c>
      <c r="J2658">
        <v>1956</v>
      </c>
      <c r="K2658">
        <v>75</v>
      </c>
      <c r="L2658" t="s">
        <v>19</v>
      </c>
      <c r="M2658" t="s">
        <v>163</v>
      </c>
      <c r="N2658" s="2" t="s">
        <v>3035</v>
      </c>
      <c r="O2658" t="s">
        <v>3036</v>
      </c>
      <c r="P2658" t="s">
        <v>21</v>
      </c>
      <c r="Q2658">
        <v>1499.9303097345132</v>
      </c>
      <c r="R2658">
        <f ca="1">YEAR(TODAY())-Table1[[#This Row],[Year Built]]</f>
        <v>70</v>
      </c>
      <c r="S2658" t="str">
        <f>IF(Table1[[#This Row],[Days on Market]] &lt; 30,"Fast",IF(Table1[[#This Row],[Days on Market]]&lt;= 90,"Average", "Slow"))</f>
        <v>Average</v>
      </c>
      <c r="T2658" t="str">
        <f>IF(Table1[[#This Row],[Price2]]&lt;500000,"Affordable",IF(Table1[[#This Row],[Price2]]&lt;1000000,"Mid range","Luxury"))</f>
        <v>Luxury</v>
      </c>
    </row>
    <row r="2659" spans="1:20" x14ac:dyDescent="0.35">
      <c r="A2659" s="3">
        <v>1356448</v>
      </c>
      <c r="B2659" s="2" t="s">
        <v>12</v>
      </c>
      <c r="C2659">
        <v>57397</v>
      </c>
      <c r="D2659" s="2" t="s">
        <v>29</v>
      </c>
      <c r="E2659">
        <v>2</v>
      </c>
      <c r="F2659">
        <v>3</v>
      </c>
      <c r="G2659" s="4">
        <f>VALUE(SUBSTITUTE(SUBSTITUTE(Table1[[#This Row],[Price]],"$",""),",",""))</f>
        <v>1356448</v>
      </c>
      <c r="H2659" s="1">
        <f>Table1[[#This Row],[Price2]]/Table1[[#This Row],[Area]]</f>
        <v>647.77841451766949</v>
      </c>
      <c r="I2659">
        <v>2094</v>
      </c>
      <c r="J2659">
        <v>1970</v>
      </c>
      <c r="K2659">
        <v>111</v>
      </c>
      <c r="L2659" t="s">
        <v>30</v>
      </c>
      <c r="M2659" t="s">
        <v>37</v>
      </c>
      <c r="N2659" s="2" t="s">
        <v>3033</v>
      </c>
      <c r="O2659" t="s">
        <v>3034</v>
      </c>
      <c r="P2659" t="s">
        <v>26</v>
      </c>
      <c r="Q2659">
        <v>647.77841451766949</v>
      </c>
      <c r="R2659">
        <f ca="1">YEAR(TODAY())-Table1[[#This Row],[Year Built]]</f>
        <v>56</v>
      </c>
      <c r="S2659" t="str">
        <f>IF(Table1[[#This Row],[Days on Market]] &lt; 30,"Fast",IF(Table1[[#This Row],[Days on Market]]&lt;= 90,"Average", "Slow"))</f>
        <v>Slow</v>
      </c>
      <c r="T2659" t="str">
        <f>IF(Table1[[#This Row],[Price2]]&lt;500000,"Affordable",IF(Table1[[#This Row],[Price2]]&lt;1000000,"Mid range","Luxury"))</f>
        <v>Luxury</v>
      </c>
    </row>
    <row r="2660" spans="1:20" x14ac:dyDescent="0.35">
      <c r="A2660" s="3">
        <v>1357543</v>
      </c>
      <c r="B2660" s="2" t="s">
        <v>22</v>
      </c>
      <c r="C2660">
        <v>21178</v>
      </c>
      <c r="D2660" s="2" t="s">
        <v>23</v>
      </c>
      <c r="E2660">
        <v>5</v>
      </c>
      <c r="F2660">
        <v>2</v>
      </c>
      <c r="G2660" s="4">
        <f>VALUE(SUBSTITUTE(SUBSTITUTE(Table1[[#This Row],[Price]],"$",""),",",""))</f>
        <v>1357543</v>
      </c>
      <c r="H2660" s="1">
        <f>Table1[[#This Row],[Price2]]/Table1[[#This Row],[Area]]</f>
        <v>690.86157760814251</v>
      </c>
      <c r="I2660">
        <v>1965</v>
      </c>
      <c r="J2660">
        <v>2010</v>
      </c>
      <c r="K2660">
        <v>76</v>
      </c>
      <c r="L2660" t="s">
        <v>19</v>
      </c>
      <c r="M2660" t="s">
        <v>2467</v>
      </c>
      <c r="N2660" s="2" t="s">
        <v>3035</v>
      </c>
      <c r="O2660" t="s">
        <v>3036</v>
      </c>
      <c r="P2660" t="s">
        <v>26</v>
      </c>
      <c r="Q2660">
        <v>690.86157760814251</v>
      </c>
      <c r="R2660">
        <f ca="1">YEAR(TODAY())-Table1[[#This Row],[Year Built]]</f>
        <v>16</v>
      </c>
      <c r="S2660" t="str">
        <f>IF(Table1[[#This Row],[Days on Market]] &lt; 30,"Fast",IF(Table1[[#This Row],[Days on Market]]&lt;= 90,"Average", "Slow"))</f>
        <v>Average</v>
      </c>
      <c r="T2660" t="str">
        <f>IF(Table1[[#This Row],[Price2]]&lt;500000,"Affordable",IF(Table1[[#This Row],[Price2]]&lt;1000000,"Mid range","Luxury"))</f>
        <v>Luxury</v>
      </c>
    </row>
    <row r="2661" spans="1:20" x14ac:dyDescent="0.35">
      <c r="A2661" s="3">
        <v>1357686</v>
      </c>
      <c r="B2661" s="2" t="s">
        <v>27</v>
      </c>
      <c r="C2661">
        <v>45361</v>
      </c>
      <c r="D2661" s="2" t="s">
        <v>29</v>
      </c>
      <c r="E2661">
        <v>2</v>
      </c>
      <c r="F2661">
        <v>4</v>
      </c>
      <c r="G2661" s="4">
        <f>VALUE(SUBSTITUTE(SUBSTITUTE(Table1[[#This Row],[Price]],"$",""),",",""))</f>
        <v>1357686</v>
      </c>
      <c r="H2661" s="1">
        <f>Table1[[#This Row],[Price2]]/Table1[[#This Row],[Area]]</f>
        <v>446.16694051922445</v>
      </c>
      <c r="I2661">
        <v>3043</v>
      </c>
      <c r="J2661">
        <v>2001</v>
      </c>
      <c r="K2661">
        <v>70</v>
      </c>
      <c r="L2661" t="s">
        <v>52</v>
      </c>
      <c r="M2661" t="s">
        <v>2857</v>
      </c>
      <c r="N2661" s="2" t="s">
        <v>3027</v>
      </c>
      <c r="O2661" t="s">
        <v>3028</v>
      </c>
      <c r="P2661" t="s">
        <v>26</v>
      </c>
      <c r="Q2661">
        <v>446.16694051922445</v>
      </c>
      <c r="R2661">
        <f ca="1">YEAR(TODAY())-Table1[[#This Row],[Year Built]]</f>
        <v>25</v>
      </c>
      <c r="S2661" t="str">
        <f>IF(Table1[[#This Row],[Days on Market]] &lt; 30,"Fast",IF(Table1[[#This Row],[Days on Market]]&lt;= 90,"Average", "Slow"))</f>
        <v>Average</v>
      </c>
      <c r="T2661" t="str">
        <f>IF(Table1[[#This Row],[Price2]]&lt;500000,"Affordable",IF(Table1[[#This Row],[Price2]]&lt;1000000,"Mid range","Luxury"))</f>
        <v>Luxury</v>
      </c>
    </row>
    <row r="2662" spans="1:20" x14ac:dyDescent="0.35">
      <c r="A2662" s="3">
        <v>1357731</v>
      </c>
      <c r="B2662" s="2" t="s">
        <v>17</v>
      </c>
      <c r="C2662">
        <v>78123</v>
      </c>
      <c r="D2662" s="2" t="s">
        <v>13</v>
      </c>
      <c r="E2662">
        <v>4</v>
      </c>
      <c r="F2662">
        <v>1</v>
      </c>
      <c r="G2662" s="4">
        <f>VALUE(SUBSTITUTE(SUBSTITUTE(Table1[[#This Row],[Price]],"$",""),",",""))</f>
        <v>1357731</v>
      </c>
      <c r="H2662" s="1">
        <f>Table1[[#This Row],[Price2]]/Table1[[#This Row],[Area]]</f>
        <v>1121.1651527663089</v>
      </c>
      <c r="I2662">
        <v>1211</v>
      </c>
      <c r="J2662">
        <v>1987</v>
      </c>
      <c r="K2662">
        <v>44</v>
      </c>
      <c r="L2662" t="s">
        <v>14</v>
      </c>
      <c r="M2662" t="s">
        <v>2743</v>
      </c>
      <c r="N2662" s="2" t="s">
        <v>3033</v>
      </c>
      <c r="O2662" t="s">
        <v>3034</v>
      </c>
      <c r="P2662" t="s">
        <v>26</v>
      </c>
      <c r="Q2662">
        <v>1121.1651527663089</v>
      </c>
      <c r="R2662">
        <f ca="1">YEAR(TODAY())-Table1[[#This Row],[Year Built]]</f>
        <v>39</v>
      </c>
      <c r="S2662" t="str">
        <f>IF(Table1[[#This Row],[Days on Market]] &lt; 30,"Fast",IF(Table1[[#This Row],[Days on Market]]&lt;= 90,"Average", "Slow"))</f>
        <v>Average</v>
      </c>
      <c r="T2662" t="str">
        <f>IF(Table1[[#This Row],[Price2]]&lt;500000,"Affordable",IF(Table1[[#This Row],[Price2]]&lt;1000000,"Mid range","Luxury"))</f>
        <v>Luxury</v>
      </c>
    </row>
    <row r="2663" spans="1:20" x14ac:dyDescent="0.35">
      <c r="A2663" s="3">
        <v>1357857</v>
      </c>
      <c r="B2663" s="2" t="s">
        <v>27</v>
      </c>
      <c r="C2663">
        <v>97402</v>
      </c>
      <c r="D2663" s="2" t="s">
        <v>35</v>
      </c>
      <c r="E2663">
        <v>5</v>
      </c>
      <c r="F2663">
        <v>3</v>
      </c>
      <c r="G2663" s="4">
        <f>VALUE(SUBSTITUTE(SUBSTITUTE(Table1[[#This Row],[Price]],"$",""),",",""))</f>
        <v>1357857</v>
      </c>
      <c r="H2663" s="1">
        <f>Table1[[#This Row],[Price2]]/Table1[[#This Row],[Area]]</f>
        <v>362.09519999999998</v>
      </c>
      <c r="I2663">
        <v>3750</v>
      </c>
      <c r="J2663">
        <v>2015</v>
      </c>
      <c r="K2663">
        <v>53</v>
      </c>
      <c r="L2663" t="s">
        <v>19</v>
      </c>
      <c r="M2663" t="s">
        <v>1307</v>
      </c>
      <c r="N2663" s="2" t="s">
        <v>3029</v>
      </c>
      <c r="O2663" t="s">
        <v>3030</v>
      </c>
      <c r="P2663" t="s">
        <v>16</v>
      </c>
      <c r="Q2663">
        <v>362.09519999999998</v>
      </c>
      <c r="R2663">
        <f ca="1">YEAR(TODAY())-Table1[[#This Row],[Year Built]]</f>
        <v>11</v>
      </c>
      <c r="S2663" t="str">
        <f>IF(Table1[[#This Row],[Days on Market]] &lt; 30,"Fast",IF(Table1[[#This Row],[Days on Market]]&lt;= 90,"Average", "Slow"))</f>
        <v>Average</v>
      </c>
      <c r="T2663" t="str">
        <f>IF(Table1[[#This Row],[Price2]]&lt;500000,"Affordable",IF(Table1[[#This Row],[Price2]]&lt;1000000,"Mid range","Luxury"))</f>
        <v>Luxury</v>
      </c>
    </row>
    <row r="2664" spans="1:20" x14ac:dyDescent="0.35">
      <c r="A2664" s="3">
        <v>1358356</v>
      </c>
      <c r="B2664" s="2" t="s">
        <v>22</v>
      </c>
      <c r="C2664">
        <v>71127</v>
      </c>
      <c r="D2664" s="2" t="s">
        <v>23</v>
      </c>
      <c r="E2664">
        <v>4</v>
      </c>
      <c r="F2664">
        <v>4</v>
      </c>
      <c r="G2664" s="4">
        <f>VALUE(SUBSTITUTE(SUBSTITUTE(Table1[[#This Row],[Price]],"$",""),",",""))</f>
        <v>1358356</v>
      </c>
      <c r="H2664" s="1">
        <f>Table1[[#This Row],[Price2]]/Table1[[#This Row],[Area]]</f>
        <v>1356.9990009990011</v>
      </c>
      <c r="I2664">
        <v>1001</v>
      </c>
      <c r="J2664">
        <v>1955</v>
      </c>
      <c r="K2664">
        <v>107</v>
      </c>
      <c r="L2664" t="s">
        <v>19</v>
      </c>
      <c r="M2664" t="s">
        <v>2832</v>
      </c>
      <c r="N2664" s="2" t="s">
        <v>3033</v>
      </c>
      <c r="O2664" t="s">
        <v>3034</v>
      </c>
      <c r="P2664" t="s">
        <v>16</v>
      </c>
      <c r="Q2664">
        <v>1356.9990009990011</v>
      </c>
      <c r="R2664">
        <f ca="1">YEAR(TODAY())-Table1[[#This Row],[Year Built]]</f>
        <v>71</v>
      </c>
      <c r="S2664" t="str">
        <f>IF(Table1[[#This Row],[Days on Market]] &lt; 30,"Fast",IF(Table1[[#This Row],[Days on Market]]&lt;= 90,"Average", "Slow"))</f>
        <v>Slow</v>
      </c>
      <c r="T2664" t="str">
        <f>IF(Table1[[#This Row],[Price2]]&lt;500000,"Affordable",IF(Table1[[#This Row],[Price2]]&lt;1000000,"Mid range","Luxury"))</f>
        <v>Luxury</v>
      </c>
    </row>
    <row r="2665" spans="1:20" x14ac:dyDescent="0.35">
      <c r="A2665" s="3">
        <v>1358422</v>
      </c>
      <c r="B2665" s="2" t="s">
        <v>27</v>
      </c>
      <c r="C2665">
        <v>15876</v>
      </c>
      <c r="D2665" s="2" t="s">
        <v>18</v>
      </c>
      <c r="E2665">
        <v>2</v>
      </c>
      <c r="F2665">
        <v>2</v>
      </c>
      <c r="G2665" s="4">
        <f>VALUE(SUBSTITUTE(SUBSTITUTE(Table1[[#This Row],[Price]],"$",""),",",""))</f>
        <v>1358422</v>
      </c>
      <c r="H2665" s="1">
        <f>Table1[[#This Row],[Price2]]/Table1[[#This Row],[Area]]</f>
        <v>500.70844084039811</v>
      </c>
      <c r="I2665">
        <v>2713</v>
      </c>
      <c r="J2665">
        <v>2011</v>
      </c>
      <c r="K2665">
        <v>109</v>
      </c>
      <c r="L2665" t="s">
        <v>14</v>
      </c>
      <c r="M2665" t="s">
        <v>1318</v>
      </c>
      <c r="N2665" s="2" t="s">
        <v>3033</v>
      </c>
      <c r="O2665" t="s">
        <v>3034</v>
      </c>
      <c r="P2665" t="s">
        <v>16</v>
      </c>
      <c r="Q2665">
        <v>500.70844084039811</v>
      </c>
      <c r="R2665">
        <f ca="1">YEAR(TODAY())-Table1[[#This Row],[Year Built]]</f>
        <v>15</v>
      </c>
      <c r="S2665" t="str">
        <f>IF(Table1[[#This Row],[Days on Market]] &lt; 30,"Fast",IF(Table1[[#This Row],[Days on Market]]&lt;= 90,"Average", "Slow"))</f>
        <v>Slow</v>
      </c>
      <c r="T2665" t="str">
        <f>IF(Table1[[#This Row],[Price2]]&lt;500000,"Affordable",IF(Table1[[#This Row],[Price2]]&lt;1000000,"Mid range","Luxury"))</f>
        <v>Luxury</v>
      </c>
    </row>
    <row r="2666" spans="1:20" x14ac:dyDescent="0.35">
      <c r="A2666" s="3">
        <v>1359152</v>
      </c>
      <c r="B2666" s="2" t="s">
        <v>17</v>
      </c>
      <c r="C2666">
        <v>93308</v>
      </c>
      <c r="D2666" s="2" t="s">
        <v>23</v>
      </c>
      <c r="E2666">
        <v>2</v>
      </c>
      <c r="F2666">
        <v>2</v>
      </c>
      <c r="G2666" s="4">
        <f>VALUE(SUBSTITUTE(SUBSTITUTE(Table1[[#This Row],[Price]],"$",""),",",""))</f>
        <v>1359152</v>
      </c>
      <c r="H2666" s="1">
        <f>Table1[[#This Row],[Price2]]/Table1[[#This Row],[Area]]</f>
        <v>434.92863999999997</v>
      </c>
      <c r="I2666">
        <v>3125</v>
      </c>
      <c r="J2666">
        <v>2001</v>
      </c>
      <c r="K2666">
        <v>25</v>
      </c>
      <c r="L2666" t="s">
        <v>14</v>
      </c>
      <c r="M2666" t="s">
        <v>231</v>
      </c>
      <c r="N2666" s="2" t="s">
        <v>3033</v>
      </c>
      <c r="O2666" t="s">
        <v>3034</v>
      </c>
      <c r="P2666" t="s">
        <v>26</v>
      </c>
      <c r="Q2666">
        <v>434.92863999999997</v>
      </c>
      <c r="R2666">
        <f ca="1">YEAR(TODAY())-Table1[[#This Row],[Year Built]]</f>
        <v>25</v>
      </c>
      <c r="S2666" t="str">
        <f>IF(Table1[[#This Row],[Days on Market]] &lt; 30,"Fast",IF(Table1[[#This Row],[Days on Market]]&lt;= 90,"Average", "Slow"))</f>
        <v>Fast</v>
      </c>
      <c r="T2666" t="str">
        <f>IF(Table1[[#This Row],[Price2]]&lt;500000,"Affordable",IF(Table1[[#This Row],[Price2]]&lt;1000000,"Mid range","Luxury"))</f>
        <v>Luxury</v>
      </c>
    </row>
    <row r="2667" spans="1:20" x14ac:dyDescent="0.35">
      <c r="A2667" s="3">
        <v>1359155</v>
      </c>
      <c r="B2667" s="2" t="s">
        <v>17</v>
      </c>
      <c r="C2667">
        <v>89787</v>
      </c>
      <c r="D2667" s="2" t="s">
        <v>23</v>
      </c>
      <c r="E2667">
        <v>2</v>
      </c>
      <c r="F2667">
        <v>4</v>
      </c>
      <c r="G2667" s="4">
        <f>VALUE(SUBSTITUTE(SUBSTITUTE(Table1[[#This Row],[Price]],"$",""),",",""))</f>
        <v>1359155</v>
      </c>
      <c r="H2667" s="1">
        <f>Table1[[#This Row],[Price2]]/Table1[[#This Row],[Area]]</f>
        <v>344.4386720729853</v>
      </c>
      <c r="I2667">
        <v>3946</v>
      </c>
      <c r="J2667">
        <v>2019</v>
      </c>
      <c r="K2667">
        <v>22</v>
      </c>
      <c r="L2667" t="s">
        <v>19</v>
      </c>
      <c r="M2667" t="s">
        <v>1051</v>
      </c>
      <c r="N2667" s="2" t="s">
        <v>3027</v>
      </c>
      <c r="O2667" t="s">
        <v>3028</v>
      </c>
      <c r="P2667" t="s">
        <v>26</v>
      </c>
      <c r="Q2667">
        <v>344.4386720729853</v>
      </c>
      <c r="R2667">
        <f ca="1">YEAR(TODAY())-Table1[[#This Row],[Year Built]]</f>
        <v>7</v>
      </c>
      <c r="S2667" t="str">
        <f>IF(Table1[[#This Row],[Days on Market]] &lt; 30,"Fast",IF(Table1[[#This Row],[Days on Market]]&lt;= 90,"Average", "Slow"))</f>
        <v>Fast</v>
      </c>
      <c r="T2667" t="str">
        <f>IF(Table1[[#This Row],[Price2]]&lt;500000,"Affordable",IF(Table1[[#This Row],[Price2]]&lt;1000000,"Mid range","Luxury"))</f>
        <v>Luxury</v>
      </c>
    </row>
    <row r="2668" spans="1:20" x14ac:dyDescent="0.35">
      <c r="A2668" s="3">
        <v>1359466</v>
      </c>
      <c r="B2668" s="2" t="s">
        <v>12</v>
      </c>
      <c r="C2668">
        <v>56768</v>
      </c>
      <c r="D2668" s="2" t="s">
        <v>35</v>
      </c>
      <c r="E2668">
        <v>1</v>
      </c>
      <c r="F2668">
        <v>2</v>
      </c>
      <c r="G2668" s="4">
        <f>VALUE(SUBSTITUTE(SUBSTITUTE(Table1[[#This Row],[Price]],"$",""),",",""))</f>
        <v>1359466</v>
      </c>
      <c r="H2668" s="1">
        <f>Table1[[#This Row],[Price2]]/Table1[[#This Row],[Area]]</f>
        <v>429.25986738238078</v>
      </c>
      <c r="I2668">
        <v>3167</v>
      </c>
      <c r="J2668">
        <v>1950</v>
      </c>
      <c r="K2668">
        <v>77</v>
      </c>
      <c r="L2668" t="s">
        <v>19</v>
      </c>
      <c r="M2668" t="s">
        <v>1674</v>
      </c>
      <c r="N2668" s="2" t="s">
        <v>3031</v>
      </c>
      <c r="O2668" t="s">
        <v>3032</v>
      </c>
      <c r="P2668" t="s">
        <v>21</v>
      </c>
      <c r="Q2668">
        <v>429.25986738238078</v>
      </c>
      <c r="R2668">
        <f ca="1">YEAR(TODAY())-Table1[[#This Row],[Year Built]]</f>
        <v>76</v>
      </c>
      <c r="S2668" t="str">
        <f>IF(Table1[[#This Row],[Days on Market]] &lt; 30,"Fast",IF(Table1[[#This Row],[Days on Market]]&lt;= 90,"Average", "Slow"))</f>
        <v>Average</v>
      </c>
      <c r="T2668" t="str">
        <f>IF(Table1[[#This Row],[Price2]]&lt;500000,"Affordable",IF(Table1[[#This Row],[Price2]]&lt;1000000,"Mid range","Luxury"))</f>
        <v>Luxury</v>
      </c>
    </row>
    <row r="2669" spans="1:20" x14ac:dyDescent="0.35">
      <c r="A2669" s="3">
        <v>1359613</v>
      </c>
      <c r="B2669" s="2" t="s">
        <v>34</v>
      </c>
      <c r="C2669">
        <v>38037</v>
      </c>
      <c r="D2669" s="2" t="s">
        <v>23</v>
      </c>
      <c r="E2669">
        <v>5</v>
      </c>
      <c r="F2669">
        <v>4</v>
      </c>
      <c r="G2669" s="4">
        <f>VALUE(SUBSTITUTE(SUBSTITUTE(Table1[[#This Row],[Price]],"$",""),",",""))</f>
        <v>1359613</v>
      </c>
      <c r="H2669" s="1">
        <f>Table1[[#This Row],[Price2]]/Table1[[#This Row],[Area]]</f>
        <v>350.32543158979644</v>
      </c>
      <c r="I2669">
        <v>3881</v>
      </c>
      <c r="J2669">
        <v>1975</v>
      </c>
      <c r="K2669">
        <v>84</v>
      </c>
      <c r="L2669" t="s">
        <v>40</v>
      </c>
      <c r="M2669" t="s">
        <v>1465</v>
      </c>
      <c r="N2669" s="2" t="s">
        <v>3033</v>
      </c>
      <c r="O2669" t="s">
        <v>3034</v>
      </c>
      <c r="P2669" t="s">
        <v>21</v>
      </c>
      <c r="Q2669">
        <v>350.32543158979644</v>
      </c>
      <c r="R2669">
        <f ca="1">YEAR(TODAY())-Table1[[#This Row],[Year Built]]</f>
        <v>51</v>
      </c>
      <c r="S2669" t="str">
        <f>IF(Table1[[#This Row],[Days on Market]] &lt; 30,"Fast",IF(Table1[[#This Row],[Days on Market]]&lt;= 90,"Average", "Slow"))</f>
        <v>Average</v>
      </c>
      <c r="T2669" t="str">
        <f>IF(Table1[[#This Row],[Price2]]&lt;500000,"Affordable",IF(Table1[[#This Row],[Price2]]&lt;1000000,"Mid range","Luxury"))</f>
        <v>Luxury</v>
      </c>
    </row>
    <row r="2670" spans="1:20" x14ac:dyDescent="0.35">
      <c r="A2670" s="3">
        <v>1359843</v>
      </c>
      <c r="B2670" s="2" t="s">
        <v>34</v>
      </c>
      <c r="C2670">
        <v>41053</v>
      </c>
      <c r="D2670" s="2" t="s">
        <v>23</v>
      </c>
      <c r="E2670">
        <v>1</v>
      </c>
      <c r="F2670">
        <v>4</v>
      </c>
      <c r="G2670" s="4">
        <f>VALUE(SUBSTITUTE(SUBSTITUTE(Table1[[#This Row],[Price]],"$",""),",",""))</f>
        <v>1359843</v>
      </c>
      <c r="H2670" s="1">
        <f>Table1[[#This Row],[Price2]]/Table1[[#This Row],[Area]]</f>
        <v>517.05057034220533</v>
      </c>
      <c r="I2670">
        <v>2630</v>
      </c>
      <c r="J2670">
        <v>1960</v>
      </c>
      <c r="K2670">
        <v>30</v>
      </c>
      <c r="L2670" t="s">
        <v>52</v>
      </c>
      <c r="M2670" t="s">
        <v>767</v>
      </c>
      <c r="N2670" s="2" t="s">
        <v>3031</v>
      </c>
      <c r="O2670" t="s">
        <v>3032</v>
      </c>
      <c r="P2670" t="s">
        <v>26</v>
      </c>
      <c r="Q2670">
        <v>517.05057034220533</v>
      </c>
      <c r="R2670">
        <f ca="1">YEAR(TODAY())-Table1[[#This Row],[Year Built]]</f>
        <v>66</v>
      </c>
      <c r="S2670" t="str">
        <f>IF(Table1[[#This Row],[Days on Market]] &lt; 30,"Fast",IF(Table1[[#This Row],[Days on Market]]&lt;= 90,"Average", "Slow"))</f>
        <v>Average</v>
      </c>
      <c r="T2670" t="str">
        <f>IF(Table1[[#This Row],[Price2]]&lt;500000,"Affordable",IF(Table1[[#This Row],[Price2]]&lt;1000000,"Mid range","Luxury"))</f>
        <v>Luxury</v>
      </c>
    </row>
    <row r="2671" spans="1:20" x14ac:dyDescent="0.35">
      <c r="A2671" s="3">
        <v>1360197</v>
      </c>
      <c r="B2671" s="2" t="s">
        <v>27</v>
      </c>
      <c r="C2671">
        <v>86392</v>
      </c>
      <c r="D2671" s="2" t="s">
        <v>23</v>
      </c>
      <c r="E2671">
        <v>2</v>
      </c>
      <c r="F2671">
        <v>4</v>
      </c>
      <c r="G2671" s="4">
        <f>VALUE(SUBSTITUTE(SUBSTITUTE(Table1[[#This Row],[Price]],"$",""),",",""))</f>
        <v>1360197</v>
      </c>
      <c r="H2671" s="1">
        <f>Table1[[#This Row],[Price2]]/Table1[[#This Row],[Area]]</f>
        <v>608.31708407871201</v>
      </c>
      <c r="I2671">
        <v>2236</v>
      </c>
      <c r="J2671">
        <v>1969</v>
      </c>
      <c r="K2671">
        <v>103</v>
      </c>
      <c r="L2671" t="s">
        <v>14</v>
      </c>
      <c r="M2671" t="s">
        <v>2359</v>
      </c>
      <c r="N2671" s="2" t="s">
        <v>3035</v>
      </c>
      <c r="O2671" t="s">
        <v>3036</v>
      </c>
      <c r="P2671" t="s">
        <v>16</v>
      </c>
      <c r="Q2671">
        <v>608.31708407871201</v>
      </c>
      <c r="R2671">
        <f ca="1">YEAR(TODAY())-Table1[[#This Row],[Year Built]]</f>
        <v>57</v>
      </c>
      <c r="S2671" t="str">
        <f>IF(Table1[[#This Row],[Days on Market]] &lt; 30,"Fast",IF(Table1[[#This Row],[Days on Market]]&lt;= 90,"Average", "Slow"))</f>
        <v>Slow</v>
      </c>
      <c r="T2671" t="str">
        <f>IF(Table1[[#This Row],[Price2]]&lt;500000,"Affordable",IF(Table1[[#This Row],[Price2]]&lt;1000000,"Mid range","Luxury"))</f>
        <v>Luxury</v>
      </c>
    </row>
    <row r="2672" spans="1:20" x14ac:dyDescent="0.35">
      <c r="A2672" s="3">
        <v>1360246</v>
      </c>
      <c r="B2672" s="2" t="s">
        <v>22</v>
      </c>
      <c r="C2672">
        <v>10497</v>
      </c>
      <c r="D2672" s="2" t="s">
        <v>18</v>
      </c>
      <c r="E2672">
        <v>1</v>
      </c>
      <c r="F2672">
        <v>1</v>
      </c>
      <c r="G2672" s="4">
        <f>VALUE(SUBSTITUTE(SUBSTITUTE(Table1[[#This Row],[Price]],"$",""),",",""))</f>
        <v>1360246</v>
      </c>
      <c r="H2672" s="1">
        <f>Table1[[#This Row],[Price2]]/Table1[[#This Row],[Area]]</f>
        <v>592.44163763066206</v>
      </c>
      <c r="I2672">
        <v>2296</v>
      </c>
      <c r="J2672">
        <v>1959</v>
      </c>
      <c r="K2672">
        <v>66</v>
      </c>
      <c r="L2672" t="s">
        <v>14</v>
      </c>
      <c r="M2672" t="s">
        <v>747</v>
      </c>
      <c r="N2672" s="2" t="s">
        <v>3031</v>
      </c>
      <c r="O2672" t="s">
        <v>3032</v>
      </c>
      <c r="P2672" t="s">
        <v>26</v>
      </c>
      <c r="Q2672">
        <v>592.44163763066206</v>
      </c>
      <c r="R2672">
        <f ca="1">YEAR(TODAY())-Table1[[#This Row],[Year Built]]</f>
        <v>67</v>
      </c>
      <c r="S2672" t="str">
        <f>IF(Table1[[#This Row],[Days on Market]] &lt; 30,"Fast",IF(Table1[[#This Row],[Days on Market]]&lt;= 90,"Average", "Slow"))</f>
        <v>Average</v>
      </c>
      <c r="T2672" t="str">
        <f>IF(Table1[[#This Row],[Price2]]&lt;500000,"Affordable",IF(Table1[[#This Row],[Price2]]&lt;1000000,"Mid range","Luxury"))</f>
        <v>Luxury</v>
      </c>
    </row>
    <row r="2673" spans="1:20" x14ac:dyDescent="0.35">
      <c r="A2673" s="3">
        <v>1360547</v>
      </c>
      <c r="B2673" s="2" t="s">
        <v>22</v>
      </c>
      <c r="C2673">
        <v>36123</v>
      </c>
      <c r="D2673" s="2" t="s">
        <v>18</v>
      </c>
      <c r="E2673">
        <v>5</v>
      </c>
      <c r="F2673">
        <v>2</v>
      </c>
      <c r="G2673" s="4">
        <f>VALUE(SUBSTITUTE(SUBSTITUTE(Table1[[#This Row],[Price]],"$",""),",",""))</f>
        <v>1360547</v>
      </c>
      <c r="H2673" s="1">
        <f>Table1[[#This Row],[Price2]]/Table1[[#This Row],[Area]]</f>
        <v>2241.4283360790773</v>
      </c>
      <c r="I2673">
        <v>607</v>
      </c>
      <c r="J2673">
        <v>1997</v>
      </c>
      <c r="K2673">
        <v>86</v>
      </c>
      <c r="L2673" t="s">
        <v>40</v>
      </c>
      <c r="M2673" t="s">
        <v>2030</v>
      </c>
      <c r="N2673" s="2" t="s">
        <v>3031</v>
      </c>
      <c r="O2673" t="s">
        <v>3032</v>
      </c>
      <c r="P2673" t="s">
        <v>26</v>
      </c>
      <c r="Q2673">
        <v>2241.4283360790773</v>
      </c>
      <c r="R2673">
        <f ca="1">YEAR(TODAY())-Table1[[#This Row],[Year Built]]</f>
        <v>29</v>
      </c>
      <c r="S2673" t="str">
        <f>IF(Table1[[#This Row],[Days on Market]] &lt; 30,"Fast",IF(Table1[[#This Row],[Days on Market]]&lt;= 90,"Average", "Slow"))</f>
        <v>Average</v>
      </c>
      <c r="T2673" t="str">
        <f>IF(Table1[[#This Row],[Price2]]&lt;500000,"Affordable",IF(Table1[[#This Row],[Price2]]&lt;1000000,"Mid range","Luxury"))</f>
        <v>Luxury</v>
      </c>
    </row>
    <row r="2674" spans="1:20" x14ac:dyDescent="0.35">
      <c r="A2674" s="3">
        <v>1360828</v>
      </c>
      <c r="B2674" s="2" t="s">
        <v>22</v>
      </c>
      <c r="C2674">
        <v>43817</v>
      </c>
      <c r="D2674" s="2" t="s">
        <v>18</v>
      </c>
      <c r="E2674">
        <v>4</v>
      </c>
      <c r="F2674">
        <v>1</v>
      </c>
      <c r="G2674" s="4">
        <f>VALUE(SUBSTITUTE(SUBSTITUTE(Table1[[#This Row],[Price]],"$",""),",",""))</f>
        <v>1360828</v>
      </c>
      <c r="H2674" s="1">
        <f>Table1[[#This Row],[Price2]]/Table1[[#This Row],[Area]]</f>
        <v>375.09040793825801</v>
      </c>
      <c r="I2674">
        <v>3628</v>
      </c>
      <c r="J2674">
        <v>1995</v>
      </c>
      <c r="K2674">
        <v>5</v>
      </c>
      <c r="L2674" t="s">
        <v>30</v>
      </c>
      <c r="M2674" t="s">
        <v>1174</v>
      </c>
      <c r="N2674" s="2" t="s">
        <v>3035</v>
      </c>
      <c r="O2674" t="s">
        <v>3036</v>
      </c>
      <c r="P2674" t="s">
        <v>16</v>
      </c>
      <c r="Q2674">
        <v>375.09040793825801</v>
      </c>
      <c r="R2674">
        <f ca="1">YEAR(TODAY())-Table1[[#This Row],[Year Built]]</f>
        <v>31</v>
      </c>
      <c r="S2674" t="str">
        <f>IF(Table1[[#This Row],[Days on Market]] &lt; 30,"Fast",IF(Table1[[#This Row],[Days on Market]]&lt;= 90,"Average", "Slow"))</f>
        <v>Fast</v>
      </c>
      <c r="T2674" t="str">
        <f>IF(Table1[[#This Row],[Price2]]&lt;500000,"Affordable",IF(Table1[[#This Row],[Price2]]&lt;1000000,"Mid range","Luxury"))</f>
        <v>Luxury</v>
      </c>
    </row>
    <row r="2675" spans="1:20" x14ac:dyDescent="0.35">
      <c r="A2675" s="3">
        <v>1361056</v>
      </c>
      <c r="B2675" s="2" t="s">
        <v>27</v>
      </c>
      <c r="C2675">
        <v>39637</v>
      </c>
      <c r="D2675" s="2" t="s">
        <v>29</v>
      </c>
      <c r="E2675">
        <v>4</v>
      </c>
      <c r="F2675">
        <v>4</v>
      </c>
      <c r="G2675" s="4">
        <f>VALUE(SUBSTITUTE(SUBSTITUTE(Table1[[#This Row],[Price]],"$",""),",",""))</f>
        <v>1361056</v>
      </c>
      <c r="H2675" s="1">
        <f>Table1[[#This Row],[Price2]]/Table1[[#This Row],[Area]]</f>
        <v>1410.4207253886011</v>
      </c>
      <c r="I2675">
        <v>965</v>
      </c>
      <c r="J2675">
        <v>2022</v>
      </c>
      <c r="K2675">
        <v>82</v>
      </c>
      <c r="L2675" t="s">
        <v>19</v>
      </c>
      <c r="M2675" t="s">
        <v>1378</v>
      </c>
      <c r="N2675" s="2" t="s">
        <v>3035</v>
      </c>
      <c r="O2675" t="s">
        <v>3036</v>
      </c>
      <c r="P2675" t="s">
        <v>21</v>
      </c>
      <c r="Q2675">
        <v>1410.4207253886011</v>
      </c>
      <c r="R2675">
        <f ca="1">YEAR(TODAY())-Table1[[#This Row],[Year Built]]</f>
        <v>4</v>
      </c>
      <c r="S2675" t="str">
        <f>IF(Table1[[#This Row],[Days on Market]] &lt; 30,"Fast",IF(Table1[[#This Row],[Days on Market]]&lt;= 90,"Average", "Slow"))</f>
        <v>Average</v>
      </c>
      <c r="T2675" t="str">
        <f>IF(Table1[[#This Row],[Price2]]&lt;500000,"Affordable",IF(Table1[[#This Row],[Price2]]&lt;1000000,"Mid range","Luxury"))</f>
        <v>Luxury</v>
      </c>
    </row>
    <row r="2676" spans="1:20" x14ac:dyDescent="0.35">
      <c r="A2676" s="3">
        <v>1361614</v>
      </c>
      <c r="B2676" s="2" t="s">
        <v>34</v>
      </c>
      <c r="C2676">
        <v>32256</v>
      </c>
      <c r="D2676" s="2" t="s">
        <v>35</v>
      </c>
      <c r="E2676">
        <v>1</v>
      </c>
      <c r="F2676">
        <v>3</v>
      </c>
      <c r="G2676" s="4">
        <f>VALUE(SUBSTITUTE(SUBSTITUTE(Table1[[#This Row],[Price]],"$",""),",",""))</f>
        <v>1361614</v>
      </c>
      <c r="H2676" s="1">
        <f>Table1[[#This Row],[Price2]]/Table1[[#This Row],[Area]]</f>
        <v>341.42778335005016</v>
      </c>
      <c r="I2676">
        <v>3988</v>
      </c>
      <c r="J2676">
        <v>1960</v>
      </c>
      <c r="K2676">
        <v>84</v>
      </c>
      <c r="L2676" t="s">
        <v>52</v>
      </c>
      <c r="M2676" t="s">
        <v>1724</v>
      </c>
      <c r="N2676" s="2" t="s">
        <v>3033</v>
      </c>
      <c r="O2676" t="s">
        <v>3034</v>
      </c>
      <c r="P2676" t="s">
        <v>26</v>
      </c>
      <c r="Q2676">
        <v>341.42778335005016</v>
      </c>
      <c r="R2676">
        <f ca="1">YEAR(TODAY())-Table1[[#This Row],[Year Built]]</f>
        <v>66</v>
      </c>
      <c r="S2676" t="str">
        <f>IF(Table1[[#This Row],[Days on Market]] &lt; 30,"Fast",IF(Table1[[#This Row],[Days on Market]]&lt;= 90,"Average", "Slow"))</f>
        <v>Average</v>
      </c>
      <c r="T2676" t="str">
        <f>IF(Table1[[#This Row],[Price2]]&lt;500000,"Affordable",IF(Table1[[#This Row],[Price2]]&lt;1000000,"Mid range","Luxury"))</f>
        <v>Luxury</v>
      </c>
    </row>
    <row r="2677" spans="1:20" x14ac:dyDescent="0.35">
      <c r="A2677" s="3">
        <v>1361982</v>
      </c>
      <c r="B2677" s="2" t="s">
        <v>34</v>
      </c>
      <c r="C2677">
        <v>51332</v>
      </c>
      <c r="D2677" s="2" t="s">
        <v>29</v>
      </c>
      <c r="E2677">
        <v>1</v>
      </c>
      <c r="F2677">
        <v>4</v>
      </c>
      <c r="G2677" s="4">
        <f>VALUE(SUBSTITUTE(SUBSTITUTE(Table1[[#This Row],[Price]],"$",""),",",""))</f>
        <v>1361982</v>
      </c>
      <c r="H2677" s="1">
        <f>Table1[[#This Row],[Price2]]/Table1[[#This Row],[Area]]</f>
        <v>482.97234042553191</v>
      </c>
      <c r="I2677">
        <v>2820</v>
      </c>
      <c r="J2677">
        <v>1967</v>
      </c>
      <c r="K2677">
        <v>111</v>
      </c>
      <c r="L2677" t="s">
        <v>19</v>
      </c>
      <c r="M2677" t="s">
        <v>594</v>
      </c>
      <c r="N2677" s="2" t="s">
        <v>3033</v>
      </c>
      <c r="O2677" t="s">
        <v>3034</v>
      </c>
      <c r="P2677" t="s">
        <v>16</v>
      </c>
      <c r="Q2677">
        <v>482.97234042553191</v>
      </c>
      <c r="R2677">
        <f ca="1">YEAR(TODAY())-Table1[[#This Row],[Year Built]]</f>
        <v>59</v>
      </c>
      <c r="S2677" t="str">
        <f>IF(Table1[[#This Row],[Days on Market]] &lt; 30,"Fast",IF(Table1[[#This Row],[Days on Market]]&lt;= 90,"Average", "Slow"))</f>
        <v>Slow</v>
      </c>
      <c r="T2677" t="str">
        <f>IF(Table1[[#This Row],[Price2]]&lt;500000,"Affordable",IF(Table1[[#This Row],[Price2]]&lt;1000000,"Mid range","Luxury"))</f>
        <v>Luxury</v>
      </c>
    </row>
    <row r="2678" spans="1:20" x14ac:dyDescent="0.35">
      <c r="A2678" s="3">
        <v>1362246</v>
      </c>
      <c r="B2678" s="2" t="s">
        <v>22</v>
      </c>
      <c r="C2678">
        <v>64643</v>
      </c>
      <c r="D2678" s="2" t="s">
        <v>35</v>
      </c>
      <c r="E2678">
        <v>1</v>
      </c>
      <c r="F2678">
        <v>2</v>
      </c>
      <c r="G2678" s="4">
        <f>VALUE(SUBSTITUTE(SUBSTITUTE(Table1[[#This Row],[Price]],"$",""),",",""))</f>
        <v>1362246</v>
      </c>
      <c r="H2678" s="1">
        <f>Table1[[#This Row],[Price2]]/Table1[[#This Row],[Area]]</f>
        <v>760.60636515912893</v>
      </c>
      <c r="I2678">
        <v>1791</v>
      </c>
      <c r="J2678">
        <v>1959</v>
      </c>
      <c r="K2678">
        <v>100</v>
      </c>
      <c r="L2678" t="s">
        <v>14</v>
      </c>
      <c r="M2678" t="s">
        <v>2534</v>
      </c>
      <c r="N2678" s="2" t="s">
        <v>3029</v>
      </c>
      <c r="O2678" t="s">
        <v>3030</v>
      </c>
      <c r="P2678" t="s">
        <v>16</v>
      </c>
      <c r="Q2678">
        <v>760.60636515912893</v>
      </c>
      <c r="R2678">
        <f ca="1">YEAR(TODAY())-Table1[[#This Row],[Year Built]]</f>
        <v>67</v>
      </c>
      <c r="S2678" t="str">
        <f>IF(Table1[[#This Row],[Days on Market]] &lt; 30,"Fast",IF(Table1[[#This Row],[Days on Market]]&lt;= 90,"Average", "Slow"))</f>
        <v>Slow</v>
      </c>
      <c r="T2678" t="str">
        <f>IF(Table1[[#This Row],[Price2]]&lt;500000,"Affordable",IF(Table1[[#This Row],[Price2]]&lt;1000000,"Mid range","Luxury"))</f>
        <v>Luxury</v>
      </c>
    </row>
    <row r="2679" spans="1:20" x14ac:dyDescent="0.35">
      <c r="A2679" s="3">
        <v>1362472</v>
      </c>
      <c r="B2679" s="2" t="s">
        <v>12</v>
      </c>
      <c r="C2679">
        <v>62752</v>
      </c>
      <c r="D2679" s="2" t="s">
        <v>23</v>
      </c>
      <c r="E2679">
        <v>4</v>
      </c>
      <c r="F2679">
        <v>2</v>
      </c>
      <c r="G2679" s="4">
        <f>VALUE(SUBSTITUTE(SUBSTITUTE(Table1[[#This Row],[Price]],"$",""),",",""))</f>
        <v>1362472</v>
      </c>
      <c r="H2679" s="1">
        <f>Table1[[#This Row],[Price2]]/Table1[[#This Row],[Area]]</f>
        <v>432.94312043215763</v>
      </c>
      <c r="I2679">
        <v>3147</v>
      </c>
      <c r="J2679">
        <v>1959</v>
      </c>
      <c r="K2679">
        <v>26</v>
      </c>
      <c r="L2679" t="s">
        <v>40</v>
      </c>
      <c r="M2679" t="s">
        <v>1722</v>
      </c>
      <c r="N2679" s="2" t="s">
        <v>3035</v>
      </c>
      <c r="O2679" t="s">
        <v>3036</v>
      </c>
      <c r="P2679" t="s">
        <v>16</v>
      </c>
      <c r="Q2679">
        <v>432.94312043215763</v>
      </c>
      <c r="R2679">
        <f ca="1">YEAR(TODAY())-Table1[[#This Row],[Year Built]]</f>
        <v>67</v>
      </c>
      <c r="S2679" t="str">
        <f>IF(Table1[[#This Row],[Days on Market]] &lt; 30,"Fast",IF(Table1[[#This Row],[Days on Market]]&lt;= 90,"Average", "Slow"))</f>
        <v>Fast</v>
      </c>
      <c r="T2679" t="str">
        <f>IF(Table1[[#This Row],[Price2]]&lt;500000,"Affordable",IF(Table1[[#This Row],[Price2]]&lt;1000000,"Mid range","Luxury"))</f>
        <v>Luxury</v>
      </c>
    </row>
    <row r="2680" spans="1:20" x14ac:dyDescent="0.35">
      <c r="A2680" s="3">
        <v>1362844</v>
      </c>
      <c r="B2680" s="2" t="s">
        <v>34</v>
      </c>
      <c r="C2680">
        <v>28838</v>
      </c>
      <c r="D2680" s="2" t="s">
        <v>18</v>
      </c>
      <c r="E2680">
        <v>4</v>
      </c>
      <c r="F2680">
        <v>4</v>
      </c>
      <c r="G2680" s="4">
        <f>VALUE(SUBSTITUTE(SUBSTITUTE(Table1[[#This Row],[Price]],"$",""),",",""))</f>
        <v>1362844</v>
      </c>
      <c r="H2680" s="1">
        <f>Table1[[#This Row],[Price2]]/Table1[[#This Row],[Area]]</f>
        <v>828.47659574468082</v>
      </c>
      <c r="I2680">
        <v>1645</v>
      </c>
      <c r="J2680">
        <v>2014</v>
      </c>
      <c r="K2680">
        <v>7</v>
      </c>
      <c r="L2680" t="s">
        <v>19</v>
      </c>
      <c r="M2680" t="s">
        <v>1647</v>
      </c>
      <c r="N2680" s="2" t="s">
        <v>3033</v>
      </c>
      <c r="O2680" t="s">
        <v>3034</v>
      </c>
      <c r="P2680" t="s">
        <v>16</v>
      </c>
      <c r="Q2680">
        <v>828.47659574468082</v>
      </c>
      <c r="R2680">
        <f ca="1">YEAR(TODAY())-Table1[[#This Row],[Year Built]]</f>
        <v>12</v>
      </c>
      <c r="S2680" t="str">
        <f>IF(Table1[[#This Row],[Days on Market]] &lt; 30,"Fast",IF(Table1[[#This Row],[Days on Market]]&lt;= 90,"Average", "Slow"))</f>
        <v>Fast</v>
      </c>
      <c r="T2680" t="str">
        <f>IF(Table1[[#This Row],[Price2]]&lt;500000,"Affordable",IF(Table1[[#This Row],[Price2]]&lt;1000000,"Mid range","Luxury"))</f>
        <v>Luxury</v>
      </c>
    </row>
    <row r="2681" spans="1:20" x14ac:dyDescent="0.35">
      <c r="A2681" s="3">
        <v>1363186</v>
      </c>
      <c r="B2681" s="2" t="s">
        <v>17</v>
      </c>
      <c r="C2681">
        <v>91225</v>
      </c>
      <c r="D2681" s="2" t="s">
        <v>13</v>
      </c>
      <c r="E2681">
        <v>1</v>
      </c>
      <c r="F2681">
        <v>1</v>
      </c>
      <c r="G2681" s="4">
        <f>VALUE(SUBSTITUTE(SUBSTITUTE(Table1[[#This Row],[Price]],"$",""),",",""))</f>
        <v>1363186</v>
      </c>
      <c r="H2681" s="1">
        <f>Table1[[#This Row],[Price2]]/Table1[[#This Row],[Area]]</f>
        <v>1292.1194312796208</v>
      </c>
      <c r="I2681">
        <v>1055</v>
      </c>
      <c r="J2681">
        <v>2022</v>
      </c>
      <c r="K2681">
        <v>22</v>
      </c>
      <c r="L2681" t="s">
        <v>19</v>
      </c>
      <c r="M2681" t="s">
        <v>1850</v>
      </c>
      <c r="N2681" s="2" t="s">
        <v>3029</v>
      </c>
      <c r="O2681" t="s">
        <v>3030</v>
      </c>
      <c r="P2681" t="s">
        <v>16</v>
      </c>
      <c r="Q2681">
        <v>1292.1194312796208</v>
      </c>
      <c r="R2681">
        <f ca="1">YEAR(TODAY())-Table1[[#This Row],[Year Built]]</f>
        <v>4</v>
      </c>
      <c r="S2681" t="str">
        <f>IF(Table1[[#This Row],[Days on Market]] &lt; 30,"Fast",IF(Table1[[#This Row],[Days on Market]]&lt;= 90,"Average", "Slow"))</f>
        <v>Fast</v>
      </c>
      <c r="T2681" t="str">
        <f>IF(Table1[[#This Row],[Price2]]&lt;500000,"Affordable",IF(Table1[[#This Row],[Price2]]&lt;1000000,"Mid range","Luxury"))</f>
        <v>Luxury</v>
      </c>
    </row>
    <row r="2682" spans="1:20" x14ac:dyDescent="0.35">
      <c r="A2682" s="3">
        <v>1363548</v>
      </c>
      <c r="B2682" s="2" t="s">
        <v>17</v>
      </c>
      <c r="C2682">
        <v>33153</v>
      </c>
      <c r="D2682" s="2" t="s">
        <v>35</v>
      </c>
      <c r="E2682">
        <v>5</v>
      </c>
      <c r="F2682">
        <v>3</v>
      </c>
      <c r="G2682" s="4">
        <f>VALUE(SUBSTITUTE(SUBSTITUTE(Table1[[#This Row],[Price]],"$",""),",",""))</f>
        <v>1363548</v>
      </c>
      <c r="H2682" s="1">
        <f>Table1[[#This Row],[Price2]]/Table1[[#This Row],[Area]]</f>
        <v>710.92179353493225</v>
      </c>
      <c r="I2682">
        <v>1918</v>
      </c>
      <c r="J2682">
        <v>2023</v>
      </c>
      <c r="K2682">
        <v>24</v>
      </c>
      <c r="L2682" t="s">
        <v>30</v>
      </c>
      <c r="M2682" t="s">
        <v>380</v>
      </c>
      <c r="N2682" s="2" t="s">
        <v>3033</v>
      </c>
      <c r="O2682" t="s">
        <v>3034</v>
      </c>
      <c r="P2682" t="s">
        <v>21</v>
      </c>
      <c r="Q2682">
        <v>710.92179353493225</v>
      </c>
      <c r="R2682">
        <f ca="1">YEAR(TODAY())-Table1[[#This Row],[Year Built]]</f>
        <v>3</v>
      </c>
      <c r="S2682" t="str">
        <f>IF(Table1[[#This Row],[Days on Market]] &lt; 30,"Fast",IF(Table1[[#This Row],[Days on Market]]&lt;= 90,"Average", "Slow"))</f>
        <v>Fast</v>
      </c>
      <c r="T2682" t="str">
        <f>IF(Table1[[#This Row],[Price2]]&lt;500000,"Affordable",IF(Table1[[#This Row],[Price2]]&lt;1000000,"Mid range","Luxury"))</f>
        <v>Luxury</v>
      </c>
    </row>
    <row r="2683" spans="1:20" x14ac:dyDescent="0.35">
      <c r="A2683" s="3">
        <v>1363612</v>
      </c>
      <c r="B2683" s="2" t="s">
        <v>34</v>
      </c>
      <c r="C2683">
        <v>67802</v>
      </c>
      <c r="D2683" s="2" t="s">
        <v>18</v>
      </c>
      <c r="E2683">
        <v>1</v>
      </c>
      <c r="F2683">
        <v>1</v>
      </c>
      <c r="G2683" s="4">
        <f>VALUE(SUBSTITUTE(SUBSTITUTE(Table1[[#This Row],[Price]],"$",""),",",""))</f>
        <v>1363612</v>
      </c>
      <c r="H2683" s="1">
        <f>Table1[[#This Row],[Price2]]/Table1[[#This Row],[Area]]</f>
        <v>2008.2650957290132</v>
      </c>
      <c r="I2683">
        <v>679</v>
      </c>
      <c r="J2683">
        <v>1990</v>
      </c>
      <c r="K2683">
        <v>115</v>
      </c>
      <c r="L2683" t="s">
        <v>30</v>
      </c>
      <c r="M2683" t="s">
        <v>893</v>
      </c>
      <c r="N2683" s="2" t="s">
        <v>3029</v>
      </c>
      <c r="O2683" t="s">
        <v>3030</v>
      </c>
      <c r="P2683" t="s">
        <v>26</v>
      </c>
      <c r="Q2683">
        <v>2008.2650957290132</v>
      </c>
      <c r="R2683">
        <f ca="1">YEAR(TODAY())-Table1[[#This Row],[Year Built]]</f>
        <v>36</v>
      </c>
      <c r="S2683" t="str">
        <f>IF(Table1[[#This Row],[Days on Market]] &lt; 30,"Fast",IF(Table1[[#This Row],[Days on Market]]&lt;= 90,"Average", "Slow"))</f>
        <v>Slow</v>
      </c>
      <c r="T2683" t="str">
        <f>IF(Table1[[#This Row],[Price2]]&lt;500000,"Affordable",IF(Table1[[#This Row],[Price2]]&lt;1000000,"Mid range","Luxury"))</f>
        <v>Luxury</v>
      </c>
    </row>
    <row r="2684" spans="1:20" x14ac:dyDescent="0.35">
      <c r="A2684" s="3">
        <v>1363733</v>
      </c>
      <c r="B2684" s="2" t="s">
        <v>22</v>
      </c>
      <c r="C2684">
        <v>93874</v>
      </c>
      <c r="D2684" s="2" t="s">
        <v>23</v>
      </c>
      <c r="E2684">
        <v>1</v>
      </c>
      <c r="F2684">
        <v>3</v>
      </c>
      <c r="G2684" s="4">
        <f>VALUE(SUBSTITUTE(SUBSTITUTE(Table1[[#This Row],[Price]],"$",""),",",""))</f>
        <v>1363733</v>
      </c>
      <c r="H2684" s="1">
        <f>Table1[[#This Row],[Price2]]/Table1[[#This Row],[Area]]</f>
        <v>460.72060810810808</v>
      </c>
      <c r="I2684">
        <v>2960</v>
      </c>
      <c r="J2684">
        <v>1983</v>
      </c>
      <c r="K2684">
        <v>9</v>
      </c>
      <c r="L2684" t="s">
        <v>19</v>
      </c>
      <c r="M2684" t="s">
        <v>2729</v>
      </c>
      <c r="N2684" s="2" t="s">
        <v>3031</v>
      </c>
      <c r="O2684" t="s">
        <v>3032</v>
      </c>
      <c r="P2684" t="s">
        <v>21</v>
      </c>
      <c r="Q2684">
        <v>460.72060810810808</v>
      </c>
      <c r="R2684">
        <f ca="1">YEAR(TODAY())-Table1[[#This Row],[Year Built]]</f>
        <v>43</v>
      </c>
      <c r="S2684" t="str">
        <f>IF(Table1[[#This Row],[Days on Market]] &lt; 30,"Fast",IF(Table1[[#This Row],[Days on Market]]&lt;= 90,"Average", "Slow"))</f>
        <v>Fast</v>
      </c>
      <c r="T2684" t="str">
        <f>IF(Table1[[#This Row],[Price2]]&lt;500000,"Affordable",IF(Table1[[#This Row],[Price2]]&lt;1000000,"Mid range","Luxury"))</f>
        <v>Luxury</v>
      </c>
    </row>
    <row r="2685" spans="1:20" x14ac:dyDescent="0.35">
      <c r="A2685" s="3">
        <v>1363873</v>
      </c>
      <c r="B2685" s="2" t="s">
        <v>27</v>
      </c>
      <c r="C2685">
        <v>19011</v>
      </c>
      <c r="D2685" s="2" t="s">
        <v>29</v>
      </c>
      <c r="E2685">
        <v>4</v>
      </c>
      <c r="F2685">
        <v>1</v>
      </c>
      <c r="G2685" s="4">
        <f>VALUE(SUBSTITUTE(SUBSTITUTE(Table1[[#This Row],[Price]],"$",""),",",""))</f>
        <v>1363873</v>
      </c>
      <c r="H2685" s="1">
        <f>Table1[[#This Row],[Price2]]/Table1[[#This Row],[Area]]</f>
        <v>679.8968095712861</v>
      </c>
      <c r="I2685">
        <v>2006</v>
      </c>
      <c r="J2685">
        <v>1992</v>
      </c>
      <c r="K2685">
        <v>112</v>
      </c>
      <c r="L2685" t="s">
        <v>40</v>
      </c>
      <c r="M2685" t="s">
        <v>2245</v>
      </c>
      <c r="N2685" s="2" t="s">
        <v>3027</v>
      </c>
      <c r="O2685" t="s">
        <v>3028</v>
      </c>
      <c r="P2685" t="s">
        <v>21</v>
      </c>
      <c r="Q2685">
        <v>679.8968095712861</v>
      </c>
      <c r="R2685">
        <f ca="1">YEAR(TODAY())-Table1[[#This Row],[Year Built]]</f>
        <v>34</v>
      </c>
      <c r="S2685" t="str">
        <f>IF(Table1[[#This Row],[Days on Market]] &lt; 30,"Fast",IF(Table1[[#This Row],[Days on Market]]&lt;= 90,"Average", "Slow"))</f>
        <v>Slow</v>
      </c>
      <c r="T2685" t="str">
        <f>IF(Table1[[#This Row],[Price2]]&lt;500000,"Affordable",IF(Table1[[#This Row],[Price2]]&lt;1000000,"Mid range","Luxury"))</f>
        <v>Luxury</v>
      </c>
    </row>
    <row r="2686" spans="1:20" x14ac:dyDescent="0.35">
      <c r="A2686" s="3">
        <v>1364134</v>
      </c>
      <c r="B2686" s="2" t="s">
        <v>34</v>
      </c>
      <c r="C2686">
        <v>12385</v>
      </c>
      <c r="D2686" s="2" t="s">
        <v>35</v>
      </c>
      <c r="E2686">
        <v>2</v>
      </c>
      <c r="F2686">
        <v>3</v>
      </c>
      <c r="G2686" s="4">
        <f>VALUE(SUBSTITUTE(SUBSTITUTE(Table1[[#This Row],[Price]],"$",""),",",""))</f>
        <v>1364134</v>
      </c>
      <c r="H2686" s="1">
        <f>Table1[[#This Row],[Price2]]/Table1[[#This Row],[Area]]</f>
        <v>820.28502705953099</v>
      </c>
      <c r="I2686">
        <v>1663</v>
      </c>
      <c r="J2686">
        <v>2015</v>
      </c>
      <c r="K2686">
        <v>75</v>
      </c>
      <c r="L2686" t="s">
        <v>19</v>
      </c>
      <c r="M2686" t="s">
        <v>2008</v>
      </c>
      <c r="N2686" s="2" t="s">
        <v>3029</v>
      </c>
      <c r="O2686" t="s">
        <v>3030</v>
      </c>
      <c r="P2686" t="s">
        <v>16</v>
      </c>
      <c r="Q2686">
        <v>820.28502705953099</v>
      </c>
      <c r="R2686">
        <f ca="1">YEAR(TODAY())-Table1[[#This Row],[Year Built]]</f>
        <v>11</v>
      </c>
      <c r="S2686" t="str">
        <f>IF(Table1[[#This Row],[Days on Market]] &lt; 30,"Fast",IF(Table1[[#This Row],[Days on Market]]&lt;= 90,"Average", "Slow"))</f>
        <v>Average</v>
      </c>
      <c r="T2686" t="str">
        <f>IF(Table1[[#This Row],[Price2]]&lt;500000,"Affordable",IF(Table1[[#This Row],[Price2]]&lt;1000000,"Mid range","Luxury"))</f>
        <v>Luxury</v>
      </c>
    </row>
    <row r="2687" spans="1:20" x14ac:dyDescent="0.35">
      <c r="A2687" s="3">
        <v>1364608</v>
      </c>
      <c r="B2687" s="2" t="s">
        <v>34</v>
      </c>
      <c r="C2687">
        <v>19447</v>
      </c>
      <c r="D2687" s="2" t="s">
        <v>18</v>
      </c>
      <c r="E2687">
        <v>1</v>
      </c>
      <c r="F2687">
        <v>1</v>
      </c>
      <c r="G2687" s="4">
        <f>VALUE(SUBSTITUTE(SUBSTITUTE(Table1[[#This Row],[Price]],"$",""),",",""))</f>
        <v>1364608</v>
      </c>
      <c r="H2687" s="1">
        <f>Table1[[#This Row],[Price2]]/Table1[[#This Row],[Area]]</f>
        <v>413.0169491525424</v>
      </c>
      <c r="I2687">
        <v>3304</v>
      </c>
      <c r="J2687">
        <v>1989</v>
      </c>
      <c r="K2687">
        <v>83</v>
      </c>
      <c r="L2687" t="s">
        <v>19</v>
      </c>
      <c r="M2687" t="s">
        <v>1740</v>
      </c>
      <c r="N2687" s="2" t="s">
        <v>3031</v>
      </c>
      <c r="O2687" t="s">
        <v>3032</v>
      </c>
      <c r="P2687" t="s">
        <v>21</v>
      </c>
      <c r="Q2687">
        <v>413.0169491525424</v>
      </c>
      <c r="R2687">
        <f ca="1">YEAR(TODAY())-Table1[[#This Row],[Year Built]]</f>
        <v>37</v>
      </c>
      <c r="S2687" t="str">
        <f>IF(Table1[[#This Row],[Days on Market]] &lt; 30,"Fast",IF(Table1[[#This Row],[Days on Market]]&lt;= 90,"Average", "Slow"))</f>
        <v>Average</v>
      </c>
      <c r="T2687" t="str">
        <f>IF(Table1[[#This Row],[Price2]]&lt;500000,"Affordable",IF(Table1[[#This Row],[Price2]]&lt;1000000,"Mid range","Luxury"))</f>
        <v>Luxury</v>
      </c>
    </row>
    <row r="2688" spans="1:20" x14ac:dyDescent="0.35">
      <c r="A2688" s="3">
        <v>1364756</v>
      </c>
      <c r="B2688" s="2" t="s">
        <v>17</v>
      </c>
      <c r="C2688">
        <v>24152</v>
      </c>
      <c r="D2688" s="2" t="s">
        <v>29</v>
      </c>
      <c r="E2688">
        <v>6</v>
      </c>
      <c r="F2688">
        <v>2</v>
      </c>
      <c r="G2688" s="4">
        <f>VALUE(SUBSTITUTE(SUBSTITUTE(Table1[[#This Row],[Price]],"$",""),",",""))</f>
        <v>1364756</v>
      </c>
      <c r="H2688" s="1">
        <f>Table1[[#This Row],[Price2]]/Table1[[#This Row],[Area]]</f>
        <v>1223.9964125560539</v>
      </c>
      <c r="I2688">
        <v>1115</v>
      </c>
      <c r="J2688">
        <v>1998</v>
      </c>
      <c r="K2688">
        <v>112</v>
      </c>
      <c r="L2688" t="s">
        <v>30</v>
      </c>
      <c r="M2688" t="s">
        <v>1196</v>
      </c>
      <c r="N2688" s="2" t="s">
        <v>3031</v>
      </c>
      <c r="O2688" t="s">
        <v>3032</v>
      </c>
      <c r="P2688" t="s">
        <v>26</v>
      </c>
      <c r="Q2688">
        <v>1223.9964125560539</v>
      </c>
      <c r="R2688">
        <f ca="1">YEAR(TODAY())-Table1[[#This Row],[Year Built]]</f>
        <v>28</v>
      </c>
      <c r="S2688" t="str">
        <f>IF(Table1[[#This Row],[Days on Market]] &lt; 30,"Fast",IF(Table1[[#This Row],[Days on Market]]&lt;= 90,"Average", "Slow"))</f>
        <v>Slow</v>
      </c>
      <c r="T2688" t="str">
        <f>IF(Table1[[#This Row],[Price2]]&lt;500000,"Affordable",IF(Table1[[#This Row],[Price2]]&lt;1000000,"Mid range","Luxury"))</f>
        <v>Luxury</v>
      </c>
    </row>
    <row r="2689" spans="1:20" x14ac:dyDescent="0.35">
      <c r="A2689" s="3">
        <v>1364814</v>
      </c>
      <c r="B2689" s="2" t="s">
        <v>12</v>
      </c>
      <c r="C2689">
        <v>80943</v>
      </c>
      <c r="D2689" s="2" t="s">
        <v>29</v>
      </c>
      <c r="E2689">
        <v>4</v>
      </c>
      <c r="F2689">
        <v>1</v>
      </c>
      <c r="G2689" s="4">
        <f>VALUE(SUBSTITUTE(SUBSTITUTE(Table1[[#This Row],[Price]],"$",""),",",""))</f>
        <v>1364814</v>
      </c>
      <c r="H2689" s="1">
        <f>Table1[[#This Row],[Price2]]/Table1[[#This Row],[Area]]</f>
        <v>341.97293911300426</v>
      </c>
      <c r="I2689">
        <v>3991</v>
      </c>
      <c r="J2689">
        <v>1957</v>
      </c>
      <c r="K2689">
        <v>95</v>
      </c>
      <c r="L2689" t="s">
        <v>19</v>
      </c>
      <c r="M2689" t="s">
        <v>1587</v>
      </c>
      <c r="N2689" s="2" t="s">
        <v>3033</v>
      </c>
      <c r="O2689" t="s">
        <v>3034</v>
      </c>
      <c r="P2689" t="s">
        <v>21</v>
      </c>
      <c r="Q2689">
        <v>341.97293911300426</v>
      </c>
      <c r="R2689">
        <f ca="1">YEAR(TODAY())-Table1[[#This Row],[Year Built]]</f>
        <v>69</v>
      </c>
      <c r="S2689" t="str">
        <f>IF(Table1[[#This Row],[Days on Market]] &lt; 30,"Fast",IF(Table1[[#This Row],[Days on Market]]&lt;= 90,"Average", "Slow"))</f>
        <v>Slow</v>
      </c>
      <c r="T2689" t="str">
        <f>IF(Table1[[#This Row],[Price2]]&lt;500000,"Affordable",IF(Table1[[#This Row],[Price2]]&lt;1000000,"Mid range","Luxury"))</f>
        <v>Luxury</v>
      </c>
    </row>
    <row r="2690" spans="1:20" x14ac:dyDescent="0.35">
      <c r="A2690" s="3">
        <v>1365836</v>
      </c>
      <c r="B2690" s="2" t="s">
        <v>12</v>
      </c>
      <c r="C2690">
        <v>76487</v>
      </c>
      <c r="D2690" s="2" t="s">
        <v>29</v>
      </c>
      <c r="E2690">
        <v>2</v>
      </c>
      <c r="F2690">
        <v>3</v>
      </c>
      <c r="G2690" s="4">
        <f>VALUE(SUBSTITUTE(SUBSTITUTE(Table1[[#This Row],[Price]],"$",""),",",""))</f>
        <v>1365836</v>
      </c>
      <c r="H2690" s="1">
        <f>Table1[[#This Row],[Price2]]/Table1[[#This Row],[Area]]</f>
        <v>458.64204163868368</v>
      </c>
      <c r="I2690">
        <v>2978</v>
      </c>
      <c r="J2690">
        <v>1961</v>
      </c>
      <c r="K2690">
        <v>42</v>
      </c>
      <c r="L2690" t="s">
        <v>52</v>
      </c>
      <c r="M2690" t="s">
        <v>2508</v>
      </c>
      <c r="N2690" s="2" t="s">
        <v>3027</v>
      </c>
      <c r="O2690" t="s">
        <v>3028</v>
      </c>
      <c r="P2690" t="s">
        <v>21</v>
      </c>
      <c r="Q2690">
        <v>458.64204163868368</v>
      </c>
      <c r="R2690">
        <f ca="1">YEAR(TODAY())-Table1[[#This Row],[Year Built]]</f>
        <v>65</v>
      </c>
      <c r="S2690" t="str">
        <f>IF(Table1[[#This Row],[Days on Market]] &lt; 30,"Fast",IF(Table1[[#This Row],[Days on Market]]&lt;= 90,"Average", "Slow"))</f>
        <v>Average</v>
      </c>
      <c r="T2690" t="str">
        <f>IF(Table1[[#This Row],[Price2]]&lt;500000,"Affordable",IF(Table1[[#This Row],[Price2]]&lt;1000000,"Mid range","Luxury"))</f>
        <v>Luxury</v>
      </c>
    </row>
    <row r="2691" spans="1:20" x14ac:dyDescent="0.35">
      <c r="A2691" s="3">
        <v>1365874</v>
      </c>
      <c r="B2691" s="2" t="s">
        <v>34</v>
      </c>
      <c r="C2691">
        <v>24068</v>
      </c>
      <c r="D2691" s="2" t="s">
        <v>23</v>
      </c>
      <c r="E2691">
        <v>5</v>
      </c>
      <c r="F2691">
        <v>3</v>
      </c>
      <c r="G2691" s="4">
        <f>VALUE(SUBSTITUTE(SUBSTITUTE(Table1[[#This Row],[Price]],"$",""),",",""))</f>
        <v>1365874</v>
      </c>
      <c r="H2691" s="1">
        <f>Table1[[#This Row],[Price2]]/Table1[[#This Row],[Area]]</f>
        <v>925.38888888888891</v>
      </c>
      <c r="I2691">
        <v>1476</v>
      </c>
      <c r="J2691">
        <v>2011</v>
      </c>
      <c r="K2691">
        <v>45</v>
      </c>
      <c r="L2691" t="s">
        <v>30</v>
      </c>
      <c r="M2691" t="s">
        <v>2488</v>
      </c>
      <c r="N2691" s="2" t="s">
        <v>3029</v>
      </c>
      <c r="O2691" t="s">
        <v>3030</v>
      </c>
      <c r="P2691" t="s">
        <v>16</v>
      </c>
      <c r="Q2691">
        <v>925.38888888888891</v>
      </c>
      <c r="R2691">
        <f ca="1">YEAR(TODAY())-Table1[[#This Row],[Year Built]]</f>
        <v>15</v>
      </c>
      <c r="S2691" t="str">
        <f>IF(Table1[[#This Row],[Days on Market]] &lt; 30,"Fast",IF(Table1[[#This Row],[Days on Market]]&lt;= 90,"Average", "Slow"))</f>
        <v>Average</v>
      </c>
      <c r="T2691" t="str">
        <f>IF(Table1[[#This Row],[Price2]]&lt;500000,"Affordable",IF(Table1[[#This Row],[Price2]]&lt;1000000,"Mid range","Luxury"))</f>
        <v>Luxury</v>
      </c>
    </row>
    <row r="2692" spans="1:20" x14ac:dyDescent="0.35">
      <c r="A2692" s="3">
        <v>1366314</v>
      </c>
      <c r="B2692" s="2" t="s">
        <v>34</v>
      </c>
      <c r="C2692">
        <v>85201</v>
      </c>
      <c r="D2692" s="2" t="s">
        <v>29</v>
      </c>
      <c r="E2692">
        <v>2</v>
      </c>
      <c r="F2692">
        <v>1</v>
      </c>
      <c r="G2692" s="4">
        <f>VALUE(SUBSTITUTE(SUBSTITUTE(Table1[[#This Row],[Price]],"$",""),",",""))</f>
        <v>1366314</v>
      </c>
      <c r="H2692" s="1">
        <f>Table1[[#This Row],[Price2]]/Table1[[#This Row],[Area]]</f>
        <v>398.45844269466318</v>
      </c>
      <c r="I2692">
        <v>3429</v>
      </c>
      <c r="J2692">
        <v>2007</v>
      </c>
      <c r="K2692">
        <v>17</v>
      </c>
      <c r="L2692" t="s">
        <v>52</v>
      </c>
      <c r="M2692" t="s">
        <v>1302</v>
      </c>
      <c r="N2692" s="2" t="s">
        <v>3033</v>
      </c>
      <c r="O2692" t="s">
        <v>3034</v>
      </c>
      <c r="P2692" t="s">
        <v>21</v>
      </c>
      <c r="Q2692">
        <v>398.45844269466318</v>
      </c>
      <c r="R2692">
        <f ca="1">YEAR(TODAY())-Table1[[#This Row],[Year Built]]</f>
        <v>19</v>
      </c>
      <c r="S2692" t="str">
        <f>IF(Table1[[#This Row],[Days on Market]] &lt; 30,"Fast",IF(Table1[[#This Row],[Days on Market]]&lt;= 90,"Average", "Slow"))</f>
        <v>Fast</v>
      </c>
      <c r="T2692" t="str">
        <f>IF(Table1[[#This Row],[Price2]]&lt;500000,"Affordable",IF(Table1[[#This Row],[Price2]]&lt;1000000,"Mid range","Luxury"))</f>
        <v>Luxury</v>
      </c>
    </row>
    <row r="2693" spans="1:20" x14ac:dyDescent="0.35">
      <c r="A2693" s="3">
        <v>1367331</v>
      </c>
      <c r="B2693" s="2" t="s">
        <v>12</v>
      </c>
      <c r="C2693">
        <v>39662</v>
      </c>
      <c r="D2693" s="2" t="s">
        <v>29</v>
      </c>
      <c r="E2693">
        <v>5</v>
      </c>
      <c r="F2693">
        <v>1</v>
      </c>
      <c r="G2693" s="4">
        <f>VALUE(SUBSTITUTE(SUBSTITUTE(Table1[[#This Row],[Price]],"$",""),",",""))</f>
        <v>1367331</v>
      </c>
      <c r="H2693" s="1">
        <f>Table1[[#This Row],[Price2]]/Table1[[#This Row],[Area]]</f>
        <v>395.63975694444446</v>
      </c>
      <c r="I2693">
        <v>3456</v>
      </c>
      <c r="J2693">
        <v>1960</v>
      </c>
      <c r="K2693">
        <v>69</v>
      </c>
      <c r="L2693" t="s">
        <v>52</v>
      </c>
      <c r="M2693" t="s">
        <v>2336</v>
      </c>
      <c r="N2693" s="2" t="s">
        <v>3033</v>
      </c>
      <c r="O2693" t="s">
        <v>3034</v>
      </c>
      <c r="P2693" t="s">
        <v>21</v>
      </c>
      <c r="Q2693">
        <v>395.63975694444446</v>
      </c>
      <c r="R2693">
        <f ca="1">YEAR(TODAY())-Table1[[#This Row],[Year Built]]</f>
        <v>66</v>
      </c>
      <c r="S2693" t="str">
        <f>IF(Table1[[#This Row],[Days on Market]] &lt; 30,"Fast",IF(Table1[[#This Row],[Days on Market]]&lt;= 90,"Average", "Slow"))</f>
        <v>Average</v>
      </c>
      <c r="T2693" t="str">
        <f>IF(Table1[[#This Row],[Price2]]&lt;500000,"Affordable",IF(Table1[[#This Row],[Price2]]&lt;1000000,"Mid range","Luxury"))</f>
        <v>Luxury</v>
      </c>
    </row>
    <row r="2694" spans="1:20" x14ac:dyDescent="0.35">
      <c r="A2694" s="3">
        <v>1367380</v>
      </c>
      <c r="B2694" s="2" t="s">
        <v>27</v>
      </c>
      <c r="C2694">
        <v>28260</v>
      </c>
      <c r="D2694" s="2" t="s">
        <v>35</v>
      </c>
      <c r="E2694">
        <v>6</v>
      </c>
      <c r="F2694">
        <v>2</v>
      </c>
      <c r="G2694" s="4">
        <f>VALUE(SUBSTITUTE(SUBSTITUTE(Table1[[#This Row],[Price]],"$",""),",",""))</f>
        <v>1367380</v>
      </c>
      <c r="H2694" s="1">
        <f>Table1[[#This Row],[Price2]]/Table1[[#This Row],[Area]]</f>
        <v>461.95270270270271</v>
      </c>
      <c r="I2694">
        <v>2960</v>
      </c>
      <c r="J2694">
        <v>2011</v>
      </c>
      <c r="K2694">
        <v>33</v>
      </c>
      <c r="L2694" t="s">
        <v>30</v>
      </c>
      <c r="M2694" t="s">
        <v>111</v>
      </c>
      <c r="N2694" s="2" t="s">
        <v>3031</v>
      </c>
      <c r="O2694" t="s">
        <v>3032</v>
      </c>
      <c r="P2694" t="s">
        <v>21</v>
      </c>
      <c r="Q2694">
        <v>461.95270270270271</v>
      </c>
      <c r="R2694">
        <f ca="1">YEAR(TODAY())-Table1[[#This Row],[Year Built]]</f>
        <v>15</v>
      </c>
      <c r="S2694" t="str">
        <f>IF(Table1[[#This Row],[Days on Market]] &lt; 30,"Fast",IF(Table1[[#This Row],[Days on Market]]&lt;= 90,"Average", "Slow"))</f>
        <v>Average</v>
      </c>
      <c r="T2694" t="str">
        <f>IF(Table1[[#This Row],[Price2]]&lt;500000,"Affordable",IF(Table1[[#This Row],[Price2]]&lt;1000000,"Mid range","Luxury"))</f>
        <v>Luxury</v>
      </c>
    </row>
    <row r="2695" spans="1:20" x14ac:dyDescent="0.35">
      <c r="A2695" s="3">
        <v>1367995</v>
      </c>
      <c r="B2695" s="2" t="s">
        <v>17</v>
      </c>
      <c r="C2695">
        <v>60346</v>
      </c>
      <c r="D2695" s="2" t="s">
        <v>35</v>
      </c>
      <c r="E2695">
        <v>1</v>
      </c>
      <c r="F2695">
        <v>1</v>
      </c>
      <c r="G2695" s="4">
        <f>VALUE(SUBSTITUTE(SUBSTITUTE(Table1[[#This Row],[Price]],"$",""),",",""))</f>
        <v>1367995</v>
      </c>
      <c r="H2695" s="1">
        <f>Table1[[#This Row],[Price2]]/Table1[[#This Row],[Area]]</f>
        <v>348.17892593535248</v>
      </c>
      <c r="I2695">
        <v>3929</v>
      </c>
      <c r="J2695">
        <v>1981</v>
      </c>
      <c r="K2695">
        <v>64</v>
      </c>
      <c r="L2695" t="s">
        <v>30</v>
      </c>
      <c r="M2695" t="s">
        <v>339</v>
      </c>
      <c r="N2695" s="2" t="s">
        <v>3031</v>
      </c>
      <c r="O2695" t="s">
        <v>3032</v>
      </c>
      <c r="P2695" t="s">
        <v>16</v>
      </c>
      <c r="Q2695">
        <v>348.17892593535248</v>
      </c>
      <c r="R2695">
        <f ca="1">YEAR(TODAY())-Table1[[#This Row],[Year Built]]</f>
        <v>45</v>
      </c>
      <c r="S2695" t="str">
        <f>IF(Table1[[#This Row],[Days on Market]] &lt; 30,"Fast",IF(Table1[[#This Row],[Days on Market]]&lt;= 90,"Average", "Slow"))</f>
        <v>Average</v>
      </c>
      <c r="T2695" t="str">
        <f>IF(Table1[[#This Row],[Price2]]&lt;500000,"Affordable",IF(Table1[[#This Row],[Price2]]&lt;1000000,"Mid range","Luxury"))</f>
        <v>Luxury</v>
      </c>
    </row>
    <row r="2696" spans="1:20" x14ac:dyDescent="0.35">
      <c r="A2696" s="3">
        <v>1368329</v>
      </c>
      <c r="B2696" s="2" t="s">
        <v>34</v>
      </c>
      <c r="C2696">
        <v>57861</v>
      </c>
      <c r="D2696" s="2" t="s">
        <v>18</v>
      </c>
      <c r="E2696">
        <v>6</v>
      </c>
      <c r="F2696">
        <v>2</v>
      </c>
      <c r="G2696" s="4">
        <f>VALUE(SUBSTITUTE(SUBSTITUTE(Table1[[#This Row],[Price]],"$",""),",",""))</f>
        <v>1368329</v>
      </c>
      <c r="H2696" s="1">
        <f>Table1[[#This Row],[Price2]]/Table1[[#This Row],[Area]]</f>
        <v>437.58522545570833</v>
      </c>
      <c r="I2696">
        <v>3127</v>
      </c>
      <c r="J2696">
        <v>1986</v>
      </c>
      <c r="K2696">
        <v>85</v>
      </c>
      <c r="L2696" t="s">
        <v>19</v>
      </c>
      <c r="M2696" t="s">
        <v>2148</v>
      </c>
      <c r="N2696" s="2" t="s">
        <v>3033</v>
      </c>
      <c r="O2696" t="s">
        <v>3034</v>
      </c>
      <c r="P2696" t="s">
        <v>16</v>
      </c>
      <c r="Q2696">
        <v>437.58522545570833</v>
      </c>
      <c r="R2696">
        <f ca="1">YEAR(TODAY())-Table1[[#This Row],[Year Built]]</f>
        <v>40</v>
      </c>
      <c r="S2696" t="str">
        <f>IF(Table1[[#This Row],[Days on Market]] &lt; 30,"Fast",IF(Table1[[#This Row],[Days on Market]]&lt;= 90,"Average", "Slow"))</f>
        <v>Average</v>
      </c>
      <c r="T2696" t="str">
        <f>IF(Table1[[#This Row],[Price2]]&lt;500000,"Affordable",IF(Table1[[#This Row],[Price2]]&lt;1000000,"Mid range","Luxury"))</f>
        <v>Luxury</v>
      </c>
    </row>
    <row r="2697" spans="1:20" x14ac:dyDescent="0.35">
      <c r="A2697" s="3">
        <v>1368349</v>
      </c>
      <c r="B2697" s="2" t="s">
        <v>22</v>
      </c>
      <c r="C2697">
        <v>40452</v>
      </c>
      <c r="D2697" s="2" t="s">
        <v>23</v>
      </c>
      <c r="E2697">
        <v>4</v>
      </c>
      <c r="F2697">
        <v>3</v>
      </c>
      <c r="G2697" s="4">
        <f>VALUE(SUBSTITUTE(SUBSTITUTE(Table1[[#This Row],[Price]],"$",""),",",""))</f>
        <v>1368349</v>
      </c>
      <c r="H2697" s="1">
        <f>Table1[[#This Row],[Price2]]/Table1[[#This Row],[Area]]</f>
        <v>473.80505540166206</v>
      </c>
      <c r="I2697">
        <v>2888</v>
      </c>
      <c r="J2697">
        <v>1975</v>
      </c>
      <c r="K2697">
        <v>16</v>
      </c>
      <c r="L2697" t="s">
        <v>30</v>
      </c>
      <c r="M2697" t="s">
        <v>1426</v>
      </c>
      <c r="N2697" s="2" t="s">
        <v>3027</v>
      </c>
      <c r="O2697" t="s">
        <v>3028</v>
      </c>
      <c r="P2697" t="s">
        <v>16</v>
      </c>
      <c r="Q2697">
        <v>473.80505540166206</v>
      </c>
      <c r="R2697">
        <f ca="1">YEAR(TODAY())-Table1[[#This Row],[Year Built]]</f>
        <v>51</v>
      </c>
      <c r="S2697" t="str">
        <f>IF(Table1[[#This Row],[Days on Market]] &lt; 30,"Fast",IF(Table1[[#This Row],[Days on Market]]&lt;= 90,"Average", "Slow"))</f>
        <v>Fast</v>
      </c>
      <c r="T2697" t="str">
        <f>IF(Table1[[#This Row],[Price2]]&lt;500000,"Affordable",IF(Table1[[#This Row],[Price2]]&lt;1000000,"Mid range","Luxury"))</f>
        <v>Luxury</v>
      </c>
    </row>
    <row r="2698" spans="1:20" x14ac:dyDescent="0.35">
      <c r="A2698" s="3">
        <v>1368821</v>
      </c>
      <c r="B2698" s="2" t="s">
        <v>17</v>
      </c>
      <c r="C2698">
        <v>87047</v>
      </c>
      <c r="D2698" s="2" t="s">
        <v>23</v>
      </c>
      <c r="E2698">
        <v>6</v>
      </c>
      <c r="F2698">
        <v>2</v>
      </c>
      <c r="G2698" s="4">
        <f>VALUE(SUBSTITUTE(SUBSTITUTE(Table1[[#This Row],[Price]],"$",""),",",""))</f>
        <v>1368821</v>
      </c>
      <c r="H2698" s="1">
        <f>Table1[[#This Row],[Price2]]/Table1[[#This Row],[Area]]</f>
        <v>348.92199847055826</v>
      </c>
      <c r="I2698">
        <v>3923</v>
      </c>
      <c r="J2698">
        <v>1985</v>
      </c>
      <c r="K2698">
        <v>29</v>
      </c>
      <c r="L2698" t="s">
        <v>19</v>
      </c>
      <c r="M2698" t="s">
        <v>2590</v>
      </c>
      <c r="N2698" s="2" t="s">
        <v>3031</v>
      </c>
      <c r="O2698" t="s">
        <v>3032</v>
      </c>
      <c r="P2698" t="s">
        <v>21</v>
      </c>
      <c r="Q2698">
        <v>348.92199847055826</v>
      </c>
      <c r="R2698">
        <f ca="1">YEAR(TODAY())-Table1[[#This Row],[Year Built]]</f>
        <v>41</v>
      </c>
      <c r="S2698" t="str">
        <f>IF(Table1[[#This Row],[Days on Market]] &lt; 30,"Fast",IF(Table1[[#This Row],[Days on Market]]&lt;= 90,"Average", "Slow"))</f>
        <v>Fast</v>
      </c>
      <c r="T2698" t="str">
        <f>IF(Table1[[#This Row],[Price2]]&lt;500000,"Affordable",IF(Table1[[#This Row],[Price2]]&lt;1000000,"Mid range","Luxury"))</f>
        <v>Luxury</v>
      </c>
    </row>
    <row r="2699" spans="1:20" x14ac:dyDescent="0.35">
      <c r="A2699" s="3">
        <v>1368906</v>
      </c>
      <c r="B2699" s="2" t="s">
        <v>12</v>
      </c>
      <c r="C2699">
        <v>73100</v>
      </c>
      <c r="D2699" s="2" t="s">
        <v>23</v>
      </c>
      <c r="E2699">
        <v>2</v>
      </c>
      <c r="F2699">
        <v>2</v>
      </c>
      <c r="G2699" s="4">
        <f>VALUE(SUBSTITUTE(SUBSTITUTE(Table1[[#This Row],[Price]],"$",""),",",""))</f>
        <v>1368906</v>
      </c>
      <c r="H2699" s="1">
        <f>Table1[[#This Row],[Price2]]/Table1[[#This Row],[Area]]</f>
        <v>1978.1878612716764</v>
      </c>
      <c r="I2699">
        <v>692</v>
      </c>
      <c r="J2699">
        <v>2003</v>
      </c>
      <c r="K2699">
        <v>57</v>
      </c>
      <c r="L2699" t="s">
        <v>14</v>
      </c>
      <c r="M2699" t="s">
        <v>300</v>
      </c>
      <c r="N2699" s="2" t="s">
        <v>3035</v>
      </c>
      <c r="O2699" t="s">
        <v>3036</v>
      </c>
      <c r="P2699" t="s">
        <v>26</v>
      </c>
      <c r="Q2699">
        <v>1978.1878612716764</v>
      </c>
      <c r="R2699">
        <f ca="1">YEAR(TODAY())-Table1[[#This Row],[Year Built]]</f>
        <v>23</v>
      </c>
      <c r="S2699" t="str">
        <f>IF(Table1[[#This Row],[Days on Market]] &lt; 30,"Fast",IF(Table1[[#This Row],[Days on Market]]&lt;= 90,"Average", "Slow"))</f>
        <v>Average</v>
      </c>
      <c r="T2699" t="str">
        <f>IF(Table1[[#This Row],[Price2]]&lt;500000,"Affordable",IF(Table1[[#This Row],[Price2]]&lt;1000000,"Mid range","Luxury"))</f>
        <v>Luxury</v>
      </c>
    </row>
    <row r="2700" spans="1:20" x14ac:dyDescent="0.35">
      <c r="A2700" s="3">
        <v>1369287</v>
      </c>
      <c r="B2700" s="2" t="s">
        <v>27</v>
      </c>
      <c r="C2700">
        <v>62853</v>
      </c>
      <c r="D2700" s="2" t="s">
        <v>35</v>
      </c>
      <c r="E2700">
        <v>5</v>
      </c>
      <c r="F2700">
        <v>4</v>
      </c>
      <c r="G2700" s="4">
        <f>VALUE(SUBSTITUTE(SUBSTITUTE(Table1[[#This Row],[Price]],"$",""),",",""))</f>
        <v>1369287</v>
      </c>
      <c r="H2700" s="1">
        <f>Table1[[#This Row],[Price2]]/Table1[[#This Row],[Area]]</f>
        <v>387.9</v>
      </c>
      <c r="I2700">
        <v>3530</v>
      </c>
      <c r="J2700">
        <v>1996</v>
      </c>
      <c r="K2700">
        <v>63</v>
      </c>
      <c r="L2700" t="s">
        <v>30</v>
      </c>
      <c r="M2700" t="s">
        <v>2680</v>
      </c>
      <c r="N2700" s="2" t="s">
        <v>3031</v>
      </c>
      <c r="O2700" t="s">
        <v>3032</v>
      </c>
      <c r="P2700" t="s">
        <v>26</v>
      </c>
      <c r="Q2700">
        <v>387.9</v>
      </c>
      <c r="R2700">
        <f ca="1">YEAR(TODAY())-Table1[[#This Row],[Year Built]]</f>
        <v>30</v>
      </c>
      <c r="S2700" t="str">
        <f>IF(Table1[[#This Row],[Days on Market]] &lt; 30,"Fast",IF(Table1[[#This Row],[Days on Market]]&lt;= 90,"Average", "Slow"))</f>
        <v>Average</v>
      </c>
      <c r="T2700" t="str">
        <f>IF(Table1[[#This Row],[Price2]]&lt;500000,"Affordable",IF(Table1[[#This Row],[Price2]]&lt;1000000,"Mid range","Luxury"))</f>
        <v>Luxury</v>
      </c>
    </row>
    <row r="2701" spans="1:20" x14ac:dyDescent="0.35">
      <c r="A2701" s="3">
        <v>1369617</v>
      </c>
      <c r="B2701" s="2" t="s">
        <v>12</v>
      </c>
      <c r="C2701">
        <v>35654</v>
      </c>
      <c r="D2701" s="2" t="s">
        <v>35</v>
      </c>
      <c r="E2701">
        <v>4</v>
      </c>
      <c r="F2701">
        <v>3</v>
      </c>
      <c r="G2701" s="4">
        <f>VALUE(SUBSTITUTE(SUBSTITUTE(Table1[[#This Row],[Price]],"$",""),",",""))</f>
        <v>1369617</v>
      </c>
      <c r="H2701" s="1">
        <f>Table1[[#This Row],[Price2]]/Table1[[#This Row],[Area]]</f>
        <v>622.83628922237381</v>
      </c>
      <c r="I2701">
        <v>2199</v>
      </c>
      <c r="J2701">
        <v>1974</v>
      </c>
      <c r="K2701">
        <v>64</v>
      </c>
      <c r="L2701" t="s">
        <v>19</v>
      </c>
      <c r="M2701" t="s">
        <v>110</v>
      </c>
      <c r="N2701" s="2" t="s">
        <v>3027</v>
      </c>
      <c r="O2701" t="s">
        <v>3028</v>
      </c>
      <c r="P2701" t="s">
        <v>26</v>
      </c>
      <c r="Q2701">
        <v>622.83628922237381</v>
      </c>
      <c r="R2701">
        <f ca="1">YEAR(TODAY())-Table1[[#This Row],[Year Built]]</f>
        <v>52</v>
      </c>
      <c r="S2701" t="str">
        <f>IF(Table1[[#This Row],[Days on Market]] &lt; 30,"Fast",IF(Table1[[#This Row],[Days on Market]]&lt;= 90,"Average", "Slow"))</f>
        <v>Average</v>
      </c>
      <c r="T2701" t="str">
        <f>IF(Table1[[#This Row],[Price2]]&lt;500000,"Affordable",IF(Table1[[#This Row],[Price2]]&lt;1000000,"Mid range","Luxury"))</f>
        <v>Luxury</v>
      </c>
    </row>
    <row r="2702" spans="1:20" x14ac:dyDescent="0.35">
      <c r="A2702" s="3">
        <v>1371316</v>
      </c>
      <c r="B2702" s="2" t="s">
        <v>22</v>
      </c>
      <c r="C2702">
        <v>17784</v>
      </c>
      <c r="D2702" s="2" t="s">
        <v>23</v>
      </c>
      <c r="E2702">
        <v>1</v>
      </c>
      <c r="F2702">
        <v>4</v>
      </c>
      <c r="G2702" s="4">
        <f>VALUE(SUBSTITUTE(SUBSTITUTE(Table1[[#This Row],[Price]],"$",""),",",""))</f>
        <v>1371316</v>
      </c>
      <c r="H2702" s="1">
        <f>Table1[[#This Row],[Price2]]/Table1[[#This Row],[Area]]</f>
        <v>1169.0673486786018</v>
      </c>
      <c r="I2702">
        <v>1173</v>
      </c>
      <c r="J2702">
        <v>2012</v>
      </c>
      <c r="K2702">
        <v>98</v>
      </c>
      <c r="L2702" t="s">
        <v>52</v>
      </c>
      <c r="M2702" t="s">
        <v>303</v>
      </c>
      <c r="N2702" s="2" t="s">
        <v>3029</v>
      </c>
      <c r="O2702" t="s">
        <v>3030</v>
      </c>
      <c r="P2702" t="s">
        <v>26</v>
      </c>
      <c r="Q2702">
        <v>1169.0673486786018</v>
      </c>
      <c r="R2702">
        <f ca="1">YEAR(TODAY())-Table1[[#This Row],[Year Built]]</f>
        <v>14</v>
      </c>
      <c r="S2702" t="str">
        <f>IF(Table1[[#This Row],[Days on Market]] &lt; 30,"Fast",IF(Table1[[#This Row],[Days on Market]]&lt;= 90,"Average", "Slow"))</f>
        <v>Slow</v>
      </c>
      <c r="T2702" t="str">
        <f>IF(Table1[[#This Row],[Price2]]&lt;500000,"Affordable",IF(Table1[[#This Row],[Price2]]&lt;1000000,"Mid range","Luxury"))</f>
        <v>Luxury</v>
      </c>
    </row>
    <row r="2703" spans="1:20" x14ac:dyDescent="0.35">
      <c r="A2703" s="3">
        <v>1371610</v>
      </c>
      <c r="B2703" s="2" t="s">
        <v>17</v>
      </c>
      <c r="C2703">
        <v>22296</v>
      </c>
      <c r="D2703" s="2" t="s">
        <v>29</v>
      </c>
      <c r="E2703">
        <v>4</v>
      </c>
      <c r="F2703">
        <v>2</v>
      </c>
      <c r="G2703" s="4">
        <f>VALUE(SUBSTITUTE(SUBSTITUTE(Table1[[#This Row],[Price]],"$",""),",",""))</f>
        <v>1371610</v>
      </c>
      <c r="H2703" s="1">
        <f>Table1[[#This Row],[Price2]]/Table1[[#This Row],[Area]]</f>
        <v>514.09670164917543</v>
      </c>
      <c r="I2703">
        <v>2668</v>
      </c>
      <c r="J2703">
        <v>1968</v>
      </c>
      <c r="K2703">
        <v>89</v>
      </c>
      <c r="L2703" t="s">
        <v>40</v>
      </c>
      <c r="M2703" t="s">
        <v>229</v>
      </c>
      <c r="N2703" s="2" t="s">
        <v>3031</v>
      </c>
      <c r="O2703" t="s">
        <v>3032</v>
      </c>
      <c r="P2703" t="s">
        <v>16</v>
      </c>
      <c r="Q2703">
        <v>514.09670164917543</v>
      </c>
      <c r="R2703">
        <f ca="1">YEAR(TODAY())-Table1[[#This Row],[Year Built]]</f>
        <v>58</v>
      </c>
      <c r="S2703" t="str">
        <f>IF(Table1[[#This Row],[Days on Market]] &lt; 30,"Fast",IF(Table1[[#This Row],[Days on Market]]&lt;= 90,"Average", "Slow"))</f>
        <v>Average</v>
      </c>
      <c r="T2703" t="str">
        <f>IF(Table1[[#This Row],[Price2]]&lt;500000,"Affordable",IF(Table1[[#This Row],[Price2]]&lt;1000000,"Mid range","Luxury"))</f>
        <v>Luxury</v>
      </c>
    </row>
    <row r="2704" spans="1:20" x14ac:dyDescent="0.35">
      <c r="A2704" s="3">
        <v>1372278</v>
      </c>
      <c r="B2704" s="2" t="s">
        <v>12</v>
      </c>
      <c r="C2704">
        <v>22444</v>
      </c>
      <c r="D2704" s="2" t="s">
        <v>13</v>
      </c>
      <c r="E2704">
        <v>3</v>
      </c>
      <c r="F2704">
        <v>1</v>
      </c>
      <c r="G2704" s="4">
        <f>VALUE(SUBSTITUTE(SUBSTITUTE(Table1[[#This Row],[Price]],"$",""),",",""))</f>
        <v>1372278</v>
      </c>
      <c r="H2704" s="1">
        <f>Table1[[#This Row],[Price2]]/Table1[[#This Row],[Area]]</f>
        <v>816.34622248661515</v>
      </c>
      <c r="I2704">
        <v>1681</v>
      </c>
      <c r="J2704">
        <v>1984</v>
      </c>
      <c r="K2704">
        <v>76</v>
      </c>
      <c r="L2704" t="s">
        <v>14</v>
      </c>
      <c r="M2704" t="s">
        <v>1762</v>
      </c>
      <c r="N2704" s="2" t="s">
        <v>3035</v>
      </c>
      <c r="O2704" t="s">
        <v>3036</v>
      </c>
      <c r="P2704" t="s">
        <v>21</v>
      </c>
      <c r="Q2704">
        <v>816.34622248661515</v>
      </c>
      <c r="R2704">
        <f ca="1">YEAR(TODAY())-Table1[[#This Row],[Year Built]]</f>
        <v>42</v>
      </c>
      <c r="S2704" t="str">
        <f>IF(Table1[[#This Row],[Days on Market]] &lt; 30,"Fast",IF(Table1[[#This Row],[Days on Market]]&lt;= 90,"Average", "Slow"))</f>
        <v>Average</v>
      </c>
      <c r="T2704" t="str">
        <f>IF(Table1[[#This Row],[Price2]]&lt;500000,"Affordable",IF(Table1[[#This Row],[Price2]]&lt;1000000,"Mid range","Luxury"))</f>
        <v>Luxury</v>
      </c>
    </row>
    <row r="2705" spans="1:20" x14ac:dyDescent="0.35">
      <c r="A2705" s="3">
        <v>1372428</v>
      </c>
      <c r="B2705" s="2" t="s">
        <v>12</v>
      </c>
      <c r="C2705">
        <v>57376</v>
      </c>
      <c r="D2705" s="2" t="s">
        <v>23</v>
      </c>
      <c r="E2705">
        <v>4</v>
      </c>
      <c r="F2705">
        <v>1</v>
      </c>
      <c r="G2705" s="4">
        <f>VALUE(SUBSTITUTE(SUBSTITUTE(Table1[[#This Row],[Price]],"$",""),",",""))</f>
        <v>1372428</v>
      </c>
      <c r="H2705" s="1">
        <f>Table1[[#This Row],[Price2]]/Table1[[#This Row],[Area]]</f>
        <v>793.76980913823024</v>
      </c>
      <c r="I2705">
        <v>1729</v>
      </c>
      <c r="J2705">
        <v>1954</v>
      </c>
      <c r="K2705">
        <v>64</v>
      </c>
      <c r="L2705" t="s">
        <v>14</v>
      </c>
      <c r="M2705" t="s">
        <v>729</v>
      </c>
      <c r="N2705" s="2" t="s">
        <v>3027</v>
      </c>
      <c r="O2705" t="s">
        <v>3028</v>
      </c>
      <c r="P2705" t="s">
        <v>26</v>
      </c>
      <c r="Q2705">
        <v>793.76980913823024</v>
      </c>
      <c r="R2705">
        <f ca="1">YEAR(TODAY())-Table1[[#This Row],[Year Built]]</f>
        <v>72</v>
      </c>
      <c r="S2705" t="str">
        <f>IF(Table1[[#This Row],[Days on Market]] &lt; 30,"Fast",IF(Table1[[#This Row],[Days on Market]]&lt;= 90,"Average", "Slow"))</f>
        <v>Average</v>
      </c>
      <c r="T2705" t="str">
        <f>IF(Table1[[#This Row],[Price2]]&lt;500000,"Affordable",IF(Table1[[#This Row],[Price2]]&lt;1000000,"Mid range","Luxury"))</f>
        <v>Luxury</v>
      </c>
    </row>
    <row r="2706" spans="1:20" x14ac:dyDescent="0.35">
      <c r="A2706" s="3">
        <v>1374709</v>
      </c>
      <c r="B2706" s="2" t="s">
        <v>34</v>
      </c>
      <c r="C2706">
        <v>62173</v>
      </c>
      <c r="D2706" s="2" t="s">
        <v>35</v>
      </c>
      <c r="E2706">
        <v>4</v>
      </c>
      <c r="F2706">
        <v>3</v>
      </c>
      <c r="G2706" s="4">
        <f>VALUE(SUBSTITUTE(SUBSTITUTE(Table1[[#This Row],[Price]],"$",""),",",""))</f>
        <v>1374709</v>
      </c>
      <c r="H2706" s="1">
        <f>Table1[[#This Row],[Price2]]/Table1[[#This Row],[Area]]</f>
        <v>2105.2205206738131</v>
      </c>
      <c r="I2706">
        <v>653</v>
      </c>
      <c r="J2706">
        <v>2015</v>
      </c>
      <c r="K2706">
        <v>86</v>
      </c>
      <c r="L2706" t="s">
        <v>14</v>
      </c>
      <c r="M2706" t="s">
        <v>2807</v>
      </c>
      <c r="N2706" s="2" t="s">
        <v>3033</v>
      </c>
      <c r="O2706" t="s">
        <v>3034</v>
      </c>
      <c r="P2706" t="s">
        <v>21</v>
      </c>
      <c r="Q2706">
        <v>2105.2205206738131</v>
      </c>
      <c r="R2706">
        <f ca="1">YEAR(TODAY())-Table1[[#This Row],[Year Built]]</f>
        <v>11</v>
      </c>
      <c r="S2706" t="str">
        <f>IF(Table1[[#This Row],[Days on Market]] &lt; 30,"Fast",IF(Table1[[#This Row],[Days on Market]]&lt;= 90,"Average", "Slow"))</f>
        <v>Average</v>
      </c>
      <c r="T2706" t="str">
        <f>IF(Table1[[#This Row],[Price2]]&lt;500000,"Affordable",IF(Table1[[#This Row],[Price2]]&lt;1000000,"Mid range","Luxury"))</f>
        <v>Luxury</v>
      </c>
    </row>
    <row r="2707" spans="1:20" x14ac:dyDescent="0.35">
      <c r="A2707" s="3">
        <v>1375641</v>
      </c>
      <c r="B2707" s="2" t="s">
        <v>12</v>
      </c>
      <c r="C2707">
        <v>63599</v>
      </c>
      <c r="D2707" s="2" t="s">
        <v>13</v>
      </c>
      <c r="E2707">
        <v>2</v>
      </c>
      <c r="F2707">
        <v>2</v>
      </c>
      <c r="G2707" s="4">
        <f>VALUE(SUBSTITUTE(SUBSTITUTE(Table1[[#This Row],[Price]],"$",""),",",""))</f>
        <v>1375641</v>
      </c>
      <c r="H2707" s="1">
        <f>Table1[[#This Row],[Price2]]/Table1[[#This Row],[Area]]</f>
        <v>706.18121149897331</v>
      </c>
      <c r="I2707">
        <v>1948</v>
      </c>
      <c r="J2707">
        <v>2009</v>
      </c>
      <c r="K2707">
        <v>48</v>
      </c>
      <c r="L2707" t="s">
        <v>52</v>
      </c>
      <c r="M2707" t="s">
        <v>621</v>
      </c>
      <c r="N2707" s="2" t="s">
        <v>3029</v>
      </c>
      <c r="O2707" t="s">
        <v>3030</v>
      </c>
      <c r="P2707" t="s">
        <v>26</v>
      </c>
      <c r="Q2707">
        <v>706.18121149897331</v>
      </c>
      <c r="R2707">
        <f ca="1">YEAR(TODAY())-Table1[[#This Row],[Year Built]]</f>
        <v>17</v>
      </c>
      <c r="S2707" t="str">
        <f>IF(Table1[[#This Row],[Days on Market]] &lt; 30,"Fast",IF(Table1[[#This Row],[Days on Market]]&lt;= 90,"Average", "Slow"))</f>
        <v>Average</v>
      </c>
      <c r="T2707" t="str">
        <f>IF(Table1[[#This Row],[Price2]]&lt;500000,"Affordable",IF(Table1[[#This Row],[Price2]]&lt;1000000,"Mid range","Luxury"))</f>
        <v>Luxury</v>
      </c>
    </row>
    <row r="2708" spans="1:20" x14ac:dyDescent="0.35">
      <c r="A2708" s="3">
        <v>1376066</v>
      </c>
      <c r="B2708" s="2" t="s">
        <v>22</v>
      </c>
      <c r="C2708">
        <v>36185</v>
      </c>
      <c r="D2708" s="2" t="s">
        <v>29</v>
      </c>
      <c r="E2708">
        <v>1</v>
      </c>
      <c r="F2708">
        <v>2</v>
      </c>
      <c r="G2708" s="4">
        <f>VALUE(SUBSTITUTE(SUBSTITUTE(Table1[[#This Row],[Price]],"$",""),",",""))</f>
        <v>1376066</v>
      </c>
      <c r="H2708" s="1">
        <f>Table1[[#This Row],[Price2]]/Table1[[#This Row],[Area]]</f>
        <v>481.81582633053222</v>
      </c>
      <c r="I2708">
        <v>2856</v>
      </c>
      <c r="J2708">
        <v>2005</v>
      </c>
      <c r="K2708">
        <v>25</v>
      </c>
      <c r="L2708" t="s">
        <v>30</v>
      </c>
      <c r="M2708" t="s">
        <v>2213</v>
      </c>
      <c r="N2708" s="2" t="s">
        <v>3029</v>
      </c>
      <c r="O2708" t="s">
        <v>3030</v>
      </c>
      <c r="P2708" t="s">
        <v>21</v>
      </c>
      <c r="Q2708">
        <v>481.81582633053222</v>
      </c>
      <c r="R2708">
        <f ca="1">YEAR(TODAY())-Table1[[#This Row],[Year Built]]</f>
        <v>21</v>
      </c>
      <c r="S2708" t="str">
        <f>IF(Table1[[#This Row],[Days on Market]] &lt; 30,"Fast",IF(Table1[[#This Row],[Days on Market]]&lt;= 90,"Average", "Slow"))</f>
        <v>Fast</v>
      </c>
      <c r="T2708" t="str">
        <f>IF(Table1[[#This Row],[Price2]]&lt;500000,"Affordable",IF(Table1[[#This Row],[Price2]]&lt;1000000,"Mid range","Luxury"))</f>
        <v>Luxury</v>
      </c>
    </row>
    <row r="2709" spans="1:20" x14ac:dyDescent="0.35">
      <c r="A2709" s="3">
        <v>1376159</v>
      </c>
      <c r="B2709" s="2" t="s">
        <v>34</v>
      </c>
      <c r="C2709">
        <v>20764</v>
      </c>
      <c r="D2709" s="2" t="s">
        <v>29</v>
      </c>
      <c r="E2709">
        <v>5</v>
      </c>
      <c r="F2709">
        <v>4</v>
      </c>
      <c r="G2709" s="4">
        <f>VALUE(SUBSTITUTE(SUBSTITUTE(Table1[[#This Row],[Price]],"$",""),",",""))</f>
        <v>1376159</v>
      </c>
      <c r="H2709" s="1">
        <f>Table1[[#This Row],[Price2]]/Table1[[#This Row],[Area]]</f>
        <v>634.75968634686342</v>
      </c>
      <c r="I2709">
        <v>2168</v>
      </c>
      <c r="J2709">
        <v>1978</v>
      </c>
      <c r="K2709">
        <v>68</v>
      </c>
      <c r="L2709" t="s">
        <v>30</v>
      </c>
      <c r="M2709" t="s">
        <v>595</v>
      </c>
      <c r="N2709" s="2" t="s">
        <v>3033</v>
      </c>
      <c r="O2709" t="s">
        <v>3034</v>
      </c>
      <c r="P2709" t="s">
        <v>21</v>
      </c>
      <c r="Q2709">
        <v>634.75968634686342</v>
      </c>
      <c r="R2709">
        <f ca="1">YEAR(TODAY())-Table1[[#This Row],[Year Built]]</f>
        <v>48</v>
      </c>
      <c r="S2709" t="str">
        <f>IF(Table1[[#This Row],[Days on Market]] &lt; 30,"Fast",IF(Table1[[#This Row],[Days on Market]]&lt;= 90,"Average", "Slow"))</f>
        <v>Average</v>
      </c>
      <c r="T2709" t="str">
        <f>IF(Table1[[#This Row],[Price2]]&lt;500000,"Affordable",IF(Table1[[#This Row],[Price2]]&lt;1000000,"Mid range","Luxury"))</f>
        <v>Luxury</v>
      </c>
    </row>
    <row r="2710" spans="1:20" x14ac:dyDescent="0.35">
      <c r="A2710" s="3">
        <v>1376673</v>
      </c>
      <c r="B2710" s="2" t="s">
        <v>27</v>
      </c>
      <c r="C2710">
        <v>25054</v>
      </c>
      <c r="D2710" s="2" t="s">
        <v>13</v>
      </c>
      <c r="E2710">
        <v>6</v>
      </c>
      <c r="F2710">
        <v>1</v>
      </c>
      <c r="G2710" s="4">
        <f>VALUE(SUBSTITUTE(SUBSTITUTE(Table1[[#This Row],[Price]],"$",""),",",""))</f>
        <v>1376673</v>
      </c>
      <c r="H2710" s="1">
        <f>Table1[[#This Row],[Price2]]/Table1[[#This Row],[Area]]</f>
        <v>490.26816239316241</v>
      </c>
      <c r="I2710">
        <v>2808</v>
      </c>
      <c r="J2710">
        <v>1975</v>
      </c>
      <c r="K2710">
        <v>104</v>
      </c>
      <c r="L2710" t="s">
        <v>19</v>
      </c>
      <c r="M2710" t="s">
        <v>2122</v>
      </c>
      <c r="N2710" s="2" t="s">
        <v>3029</v>
      </c>
      <c r="O2710" t="s">
        <v>3030</v>
      </c>
      <c r="P2710" t="s">
        <v>16</v>
      </c>
      <c r="Q2710">
        <v>490.26816239316241</v>
      </c>
      <c r="R2710">
        <f ca="1">YEAR(TODAY())-Table1[[#This Row],[Year Built]]</f>
        <v>51</v>
      </c>
      <c r="S2710" t="str">
        <f>IF(Table1[[#This Row],[Days on Market]] &lt; 30,"Fast",IF(Table1[[#This Row],[Days on Market]]&lt;= 90,"Average", "Slow"))</f>
        <v>Slow</v>
      </c>
      <c r="T2710" t="str">
        <f>IF(Table1[[#This Row],[Price2]]&lt;500000,"Affordable",IF(Table1[[#This Row],[Price2]]&lt;1000000,"Mid range","Luxury"))</f>
        <v>Luxury</v>
      </c>
    </row>
    <row r="2711" spans="1:20" x14ac:dyDescent="0.35">
      <c r="A2711" s="3">
        <v>1376734</v>
      </c>
      <c r="B2711" s="2" t="s">
        <v>12</v>
      </c>
      <c r="C2711">
        <v>66643</v>
      </c>
      <c r="D2711" s="2" t="s">
        <v>29</v>
      </c>
      <c r="E2711">
        <v>4</v>
      </c>
      <c r="F2711">
        <v>1</v>
      </c>
      <c r="G2711" s="4">
        <f>VALUE(SUBSTITUTE(SUBSTITUTE(Table1[[#This Row],[Price]],"$",""),",",""))</f>
        <v>1376734</v>
      </c>
      <c r="H2711" s="1">
        <f>Table1[[#This Row],[Price2]]/Table1[[#This Row],[Area]]</f>
        <v>973.64497878359259</v>
      </c>
      <c r="I2711">
        <v>1414</v>
      </c>
      <c r="J2711">
        <v>1983</v>
      </c>
      <c r="K2711">
        <v>11</v>
      </c>
      <c r="L2711" t="s">
        <v>19</v>
      </c>
      <c r="M2711" t="s">
        <v>1947</v>
      </c>
      <c r="N2711" s="2" t="s">
        <v>3031</v>
      </c>
      <c r="O2711" t="s">
        <v>3032</v>
      </c>
      <c r="P2711" t="s">
        <v>21</v>
      </c>
      <c r="Q2711">
        <v>973.64497878359259</v>
      </c>
      <c r="R2711">
        <f ca="1">YEAR(TODAY())-Table1[[#This Row],[Year Built]]</f>
        <v>43</v>
      </c>
      <c r="S2711" t="str">
        <f>IF(Table1[[#This Row],[Days on Market]] &lt; 30,"Fast",IF(Table1[[#This Row],[Days on Market]]&lt;= 90,"Average", "Slow"))</f>
        <v>Fast</v>
      </c>
      <c r="T2711" t="str">
        <f>IF(Table1[[#This Row],[Price2]]&lt;500000,"Affordable",IF(Table1[[#This Row],[Price2]]&lt;1000000,"Mid range","Luxury"))</f>
        <v>Luxury</v>
      </c>
    </row>
    <row r="2712" spans="1:20" x14ac:dyDescent="0.35">
      <c r="A2712" s="3">
        <v>1376960</v>
      </c>
      <c r="B2712" s="2" t="s">
        <v>27</v>
      </c>
      <c r="C2712">
        <v>27723</v>
      </c>
      <c r="D2712" s="2" t="s">
        <v>18</v>
      </c>
      <c r="E2712">
        <v>3</v>
      </c>
      <c r="F2712">
        <v>2</v>
      </c>
      <c r="G2712" s="4">
        <f>VALUE(SUBSTITUTE(SUBSTITUTE(Table1[[#This Row],[Price]],"$",""),",",""))</f>
        <v>1376960</v>
      </c>
      <c r="H2712" s="1">
        <f>Table1[[#This Row],[Price2]]/Table1[[#This Row],[Area]]</f>
        <v>464.87508440243079</v>
      </c>
      <c r="I2712">
        <v>2962</v>
      </c>
      <c r="J2712">
        <v>1992</v>
      </c>
      <c r="K2712">
        <v>67</v>
      </c>
      <c r="L2712" t="s">
        <v>14</v>
      </c>
      <c r="M2712" t="s">
        <v>2715</v>
      </c>
      <c r="N2712" s="2" t="s">
        <v>3033</v>
      </c>
      <c r="O2712" t="s">
        <v>3034</v>
      </c>
      <c r="P2712" t="s">
        <v>16</v>
      </c>
      <c r="Q2712">
        <v>464.87508440243079</v>
      </c>
      <c r="R2712">
        <f ca="1">YEAR(TODAY())-Table1[[#This Row],[Year Built]]</f>
        <v>34</v>
      </c>
      <c r="S2712" t="str">
        <f>IF(Table1[[#This Row],[Days on Market]] &lt; 30,"Fast",IF(Table1[[#This Row],[Days on Market]]&lt;= 90,"Average", "Slow"))</f>
        <v>Average</v>
      </c>
      <c r="T2712" t="str">
        <f>IF(Table1[[#This Row],[Price2]]&lt;500000,"Affordable",IF(Table1[[#This Row],[Price2]]&lt;1000000,"Mid range","Luxury"))</f>
        <v>Luxury</v>
      </c>
    </row>
    <row r="2713" spans="1:20" x14ac:dyDescent="0.35">
      <c r="A2713" s="3">
        <v>1377069</v>
      </c>
      <c r="B2713" s="2" t="s">
        <v>17</v>
      </c>
      <c r="C2713">
        <v>87610</v>
      </c>
      <c r="D2713" s="2" t="s">
        <v>18</v>
      </c>
      <c r="E2713">
        <v>4</v>
      </c>
      <c r="F2713">
        <v>4</v>
      </c>
      <c r="G2713" s="4">
        <f>VALUE(SUBSTITUTE(SUBSTITUTE(Table1[[#This Row],[Price]],"$",""),",",""))</f>
        <v>1377069</v>
      </c>
      <c r="H2713" s="1">
        <f>Table1[[#This Row],[Price2]]/Table1[[#This Row],[Area]]</f>
        <v>356.84607411246435</v>
      </c>
      <c r="I2713">
        <v>3859</v>
      </c>
      <c r="J2713">
        <v>1979</v>
      </c>
      <c r="K2713">
        <v>107</v>
      </c>
      <c r="L2713" t="s">
        <v>14</v>
      </c>
      <c r="M2713" t="s">
        <v>444</v>
      </c>
      <c r="N2713" s="2" t="s">
        <v>3035</v>
      </c>
      <c r="O2713" t="s">
        <v>3036</v>
      </c>
      <c r="P2713" t="s">
        <v>26</v>
      </c>
      <c r="Q2713">
        <v>356.84607411246435</v>
      </c>
      <c r="R2713">
        <f ca="1">YEAR(TODAY())-Table1[[#This Row],[Year Built]]</f>
        <v>47</v>
      </c>
      <c r="S2713" t="str">
        <f>IF(Table1[[#This Row],[Days on Market]] &lt; 30,"Fast",IF(Table1[[#This Row],[Days on Market]]&lt;= 90,"Average", "Slow"))</f>
        <v>Slow</v>
      </c>
      <c r="T2713" t="str">
        <f>IF(Table1[[#This Row],[Price2]]&lt;500000,"Affordable",IF(Table1[[#This Row],[Price2]]&lt;1000000,"Mid range","Luxury"))</f>
        <v>Luxury</v>
      </c>
    </row>
    <row r="2714" spans="1:20" x14ac:dyDescent="0.35">
      <c r="A2714" s="3">
        <v>1377244</v>
      </c>
      <c r="B2714" s="2" t="s">
        <v>17</v>
      </c>
      <c r="C2714">
        <v>60525</v>
      </c>
      <c r="D2714" s="2" t="s">
        <v>18</v>
      </c>
      <c r="E2714">
        <v>2</v>
      </c>
      <c r="F2714">
        <v>3</v>
      </c>
      <c r="G2714" s="4">
        <f>VALUE(SUBSTITUTE(SUBSTITUTE(Table1[[#This Row],[Price]],"$",""),",",""))</f>
        <v>1377244</v>
      </c>
      <c r="H2714" s="1">
        <f>Table1[[#This Row],[Price2]]/Table1[[#This Row],[Area]]</f>
        <v>662.45502645502643</v>
      </c>
      <c r="I2714">
        <v>2079</v>
      </c>
      <c r="J2714">
        <v>2020</v>
      </c>
      <c r="K2714">
        <v>23</v>
      </c>
      <c r="L2714" t="s">
        <v>52</v>
      </c>
      <c r="M2714" t="s">
        <v>3009</v>
      </c>
      <c r="N2714" s="2" t="s">
        <v>3033</v>
      </c>
      <c r="O2714" t="s">
        <v>3034</v>
      </c>
      <c r="P2714" t="s">
        <v>26</v>
      </c>
      <c r="Q2714">
        <v>662.45502645502643</v>
      </c>
      <c r="R2714">
        <f ca="1">YEAR(TODAY())-Table1[[#This Row],[Year Built]]</f>
        <v>6</v>
      </c>
      <c r="S2714" t="str">
        <f>IF(Table1[[#This Row],[Days on Market]] &lt; 30,"Fast",IF(Table1[[#This Row],[Days on Market]]&lt;= 90,"Average", "Slow"))</f>
        <v>Fast</v>
      </c>
      <c r="T2714" t="str">
        <f>IF(Table1[[#This Row],[Price2]]&lt;500000,"Affordable",IF(Table1[[#This Row],[Price2]]&lt;1000000,"Mid range","Luxury"))</f>
        <v>Luxury</v>
      </c>
    </row>
    <row r="2715" spans="1:20" x14ac:dyDescent="0.35">
      <c r="A2715" s="3">
        <v>1377628</v>
      </c>
      <c r="B2715" s="2" t="s">
        <v>34</v>
      </c>
      <c r="C2715">
        <v>15650</v>
      </c>
      <c r="D2715" s="2" t="s">
        <v>29</v>
      </c>
      <c r="E2715">
        <v>2</v>
      </c>
      <c r="F2715">
        <v>2</v>
      </c>
      <c r="G2715" s="4">
        <f>VALUE(SUBSTITUTE(SUBSTITUTE(Table1[[#This Row],[Price]],"$",""),",",""))</f>
        <v>1377628</v>
      </c>
      <c r="H2715" s="1">
        <f>Table1[[#This Row],[Price2]]/Table1[[#This Row],[Area]]</f>
        <v>393.72049156901971</v>
      </c>
      <c r="I2715">
        <v>3499</v>
      </c>
      <c r="J2715">
        <v>1988</v>
      </c>
      <c r="K2715">
        <v>23</v>
      </c>
      <c r="L2715" t="s">
        <v>30</v>
      </c>
      <c r="M2715" t="s">
        <v>1430</v>
      </c>
      <c r="N2715" s="2" t="s">
        <v>3033</v>
      </c>
      <c r="O2715" t="s">
        <v>3034</v>
      </c>
      <c r="P2715" t="s">
        <v>26</v>
      </c>
      <c r="Q2715">
        <v>393.72049156901971</v>
      </c>
      <c r="R2715">
        <f ca="1">YEAR(TODAY())-Table1[[#This Row],[Year Built]]</f>
        <v>38</v>
      </c>
      <c r="S2715" t="str">
        <f>IF(Table1[[#This Row],[Days on Market]] &lt; 30,"Fast",IF(Table1[[#This Row],[Days on Market]]&lt;= 90,"Average", "Slow"))</f>
        <v>Fast</v>
      </c>
      <c r="T2715" t="str">
        <f>IF(Table1[[#This Row],[Price2]]&lt;500000,"Affordable",IF(Table1[[#This Row],[Price2]]&lt;1000000,"Mid range","Luxury"))</f>
        <v>Luxury</v>
      </c>
    </row>
    <row r="2716" spans="1:20" x14ac:dyDescent="0.35">
      <c r="A2716" s="3">
        <v>1377802</v>
      </c>
      <c r="B2716" s="2" t="s">
        <v>34</v>
      </c>
      <c r="C2716">
        <v>75282</v>
      </c>
      <c r="D2716" s="2" t="s">
        <v>13</v>
      </c>
      <c r="E2716">
        <v>4</v>
      </c>
      <c r="F2716">
        <v>4</v>
      </c>
      <c r="G2716" s="4">
        <f>VALUE(SUBSTITUTE(SUBSTITUTE(Table1[[#This Row],[Price]],"$",""),",",""))</f>
        <v>1377802</v>
      </c>
      <c r="H2716" s="1">
        <f>Table1[[#This Row],[Price2]]/Table1[[#This Row],[Area]]</f>
        <v>731.70578863515664</v>
      </c>
      <c r="I2716">
        <v>1883</v>
      </c>
      <c r="J2716">
        <v>1986</v>
      </c>
      <c r="K2716">
        <v>10</v>
      </c>
      <c r="L2716" t="s">
        <v>14</v>
      </c>
      <c r="M2716" t="s">
        <v>467</v>
      </c>
      <c r="N2716" s="2" t="s">
        <v>3033</v>
      </c>
      <c r="O2716" t="s">
        <v>3034</v>
      </c>
      <c r="P2716" t="s">
        <v>26</v>
      </c>
      <c r="Q2716">
        <v>731.70578863515664</v>
      </c>
      <c r="R2716">
        <f ca="1">YEAR(TODAY())-Table1[[#This Row],[Year Built]]</f>
        <v>40</v>
      </c>
      <c r="S2716" t="str">
        <f>IF(Table1[[#This Row],[Days on Market]] &lt; 30,"Fast",IF(Table1[[#This Row],[Days on Market]]&lt;= 90,"Average", "Slow"))</f>
        <v>Fast</v>
      </c>
      <c r="T2716" t="str">
        <f>IF(Table1[[#This Row],[Price2]]&lt;500000,"Affordable",IF(Table1[[#This Row],[Price2]]&lt;1000000,"Mid range","Luxury"))</f>
        <v>Luxury</v>
      </c>
    </row>
    <row r="2717" spans="1:20" x14ac:dyDescent="0.35">
      <c r="A2717" s="3">
        <v>1378903</v>
      </c>
      <c r="B2717" s="2" t="s">
        <v>17</v>
      </c>
      <c r="C2717">
        <v>59274</v>
      </c>
      <c r="D2717" s="2" t="s">
        <v>13</v>
      </c>
      <c r="E2717">
        <v>6</v>
      </c>
      <c r="F2717">
        <v>1</v>
      </c>
      <c r="G2717" s="4">
        <f>VALUE(SUBSTITUTE(SUBSTITUTE(Table1[[#This Row],[Price]],"$",""),",",""))</f>
        <v>1378903</v>
      </c>
      <c r="H2717" s="1">
        <f>Table1[[#This Row],[Price2]]/Table1[[#This Row],[Area]]</f>
        <v>772.9276905829596</v>
      </c>
      <c r="I2717">
        <v>1784</v>
      </c>
      <c r="J2717">
        <v>1985</v>
      </c>
      <c r="K2717">
        <v>110</v>
      </c>
      <c r="L2717" t="s">
        <v>19</v>
      </c>
      <c r="M2717" t="s">
        <v>2262</v>
      </c>
      <c r="N2717" s="2" t="s">
        <v>3033</v>
      </c>
      <c r="O2717" t="s">
        <v>3034</v>
      </c>
      <c r="P2717" t="s">
        <v>21</v>
      </c>
      <c r="Q2717">
        <v>772.9276905829596</v>
      </c>
      <c r="R2717">
        <f ca="1">YEAR(TODAY())-Table1[[#This Row],[Year Built]]</f>
        <v>41</v>
      </c>
      <c r="S2717" t="str">
        <f>IF(Table1[[#This Row],[Days on Market]] &lt; 30,"Fast",IF(Table1[[#This Row],[Days on Market]]&lt;= 90,"Average", "Slow"))</f>
        <v>Slow</v>
      </c>
      <c r="T2717" t="str">
        <f>IF(Table1[[#This Row],[Price2]]&lt;500000,"Affordable",IF(Table1[[#This Row],[Price2]]&lt;1000000,"Mid range","Luxury"))</f>
        <v>Luxury</v>
      </c>
    </row>
    <row r="2718" spans="1:20" x14ac:dyDescent="0.35">
      <c r="A2718" s="3">
        <v>1378973</v>
      </c>
      <c r="B2718" s="2" t="s">
        <v>27</v>
      </c>
      <c r="C2718">
        <v>39632</v>
      </c>
      <c r="D2718" s="2" t="s">
        <v>13</v>
      </c>
      <c r="E2718">
        <v>1</v>
      </c>
      <c r="F2718">
        <v>2</v>
      </c>
      <c r="G2718" s="4">
        <f>VALUE(SUBSTITUTE(SUBSTITUTE(Table1[[#This Row],[Price]],"$",""),",",""))</f>
        <v>1378973</v>
      </c>
      <c r="H2718" s="1">
        <f>Table1[[#This Row],[Price2]]/Table1[[#This Row],[Area]]</f>
        <v>713.38489394723229</v>
      </c>
      <c r="I2718">
        <v>1933</v>
      </c>
      <c r="J2718">
        <v>1977</v>
      </c>
      <c r="K2718">
        <v>45</v>
      </c>
      <c r="L2718" t="s">
        <v>19</v>
      </c>
      <c r="M2718" t="s">
        <v>2362</v>
      </c>
      <c r="N2718" s="2" t="s">
        <v>3029</v>
      </c>
      <c r="O2718" t="s">
        <v>3030</v>
      </c>
      <c r="P2718" t="s">
        <v>21</v>
      </c>
      <c r="Q2718">
        <v>713.38489394723229</v>
      </c>
      <c r="R2718">
        <f ca="1">YEAR(TODAY())-Table1[[#This Row],[Year Built]]</f>
        <v>49</v>
      </c>
      <c r="S2718" t="str">
        <f>IF(Table1[[#This Row],[Days on Market]] &lt; 30,"Fast",IF(Table1[[#This Row],[Days on Market]]&lt;= 90,"Average", "Slow"))</f>
        <v>Average</v>
      </c>
      <c r="T2718" t="str">
        <f>IF(Table1[[#This Row],[Price2]]&lt;500000,"Affordable",IF(Table1[[#This Row],[Price2]]&lt;1000000,"Mid range","Luxury"))</f>
        <v>Luxury</v>
      </c>
    </row>
    <row r="2719" spans="1:20" x14ac:dyDescent="0.35">
      <c r="A2719" s="3">
        <v>1379446</v>
      </c>
      <c r="B2719" s="2" t="s">
        <v>34</v>
      </c>
      <c r="C2719">
        <v>48164</v>
      </c>
      <c r="D2719" s="2" t="s">
        <v>18</v>
      </c>
      <c r="E2719">
        <v>1</v>
      </c>
      <c r="F2719">
        <v>2</v>
      </c>
      <c r="G2719" s="4">
        <f>VALUE(SUBSTITUTE(SUBSTITUTE(Table1[[#This Row],[Price]],"$",""),",",""))</f>
        <v>1379446</v>
      </c>
      <c r="H2719" s="1">
        <f>Table1[[#This Row],[Price2]]/Table1[[#This Row],[Area]]</f>
        <v>933.95125253893025</v>
      </c>
      <c r="I2719">
        <v>1477</v>
      </c>
      <c r="J2719">
        <v>1983</v>
      </c>
      <c r="K2719">
        <v>48</v>
      </c>
      <c r="L2719" t="s">
        <v>14</v>
      </c>
      <c r="M2719" t="s">
        <v>1326</v>
      </c>
      <c r="N2719" s="2" t="s">
        <v>3029</v>
      </c>
      <c r="O2719" t="s">
        <v>3030</v>
      </c>
      <c r="P2719" t="s">
        <v>26</v>
      </c>
      <c r="Q2719">
        <v>933.95125253893025</v>
      </c>
      <c r="R2719">
        <f ca="1">YEAR(TODAY())-Table1[[#This Row],[Year Built]]</f>
        <v>43</v>
      </c>
      <c r="S2719" t="str">
        <f>IF(Table1[[#This Row],[Days on Market]] &lt; 30,"Fast",IF(Table1[[#This Row],[Days on Market]]&lt;= 90,"Average", "Slow"))</f>
        <v>Average</v>
      </c>
      <c r="T2719" t="str">
        <f>IF(Table1[[#This Row],[Price2]]&lt;500000,"Affordable",IF(Table1[[#This Row],[Price2]]&lt;1000000,"Mid range","Luxury"))</f>
        <v>Luxury</v>
      </c>
    </row>
    <row r="2720" spans="1:20" x14ac:dyDescent="0.35">
      <c r="A2720" s="3">
        <v>1379623</v>
      </c>
      <c r="B2720" s="2" t="s">
        <v>17</v>
      </c>
      <c r="C2720">
        <v>97298</v>
      </c>
      <c r="D2720" s="2" t="s">
        <v>18</v>
      </c>
      <c r="E2720">
        <v>4</v>
      </c>
      <c r="F2720">
        <v>3</v>
      </c>
      <c r="G2720" s="4">
        <f>VALUE(SUBSTITUTE(SUBSTITUTE(Table1[[#This Row],[Price]],"$",""),",",""))</f>
        <v>1379623</v>
      </c>
      <c r="H2720" s="1">
        <f>Table1[[#This Row],[Price2]]/Table1[[#This Row],[Area]]</f>
        <v>1317.6914995224452</v>
      </c>
      <c r="I2720">
        <v>1047</v>
      </c>
      <c r="J2720">
        <v>1989</v>
      </c>
      <c r="K2720">
        <v>55</v>
      </c>
      <c r="L2720" t="s">
        <v>40</v>
      </c>
      <c r="M2720" t="s">
        <v>2142</v>
      </c>
      <c r="N2720" s="2" t="s">
        <v>3035</v>
      </c>
      <c r="O2720" t="s">
        <v>3036</v>
      </c>
      <c r="P2720" t="s">
        <v>16</v>
      </c>
      <c r="Q2720">
        <v>1317.6914995224452</v>
      </c>
      <c r="R2720">
        <f ca="1">YEAR(TODAY())-Table1[[#This Row],[Year Built]]</f>
        <v>37</v>
      </c>
      <c r="S2720" t="str">
        <f>IF(Table1[[#This Row],[Days on Market]] &lt; 30,"Fast",IF(Table1[[#This Row],[Days on Market]]&lt;= 90,"Average", "Slow"))</f>
        <v>Average</v>
      </c>
      <c r="T2720" t="str">
        <f>IF(Table1[[#This Row],[Price2]]&lt;500000,"Affordable",IF(Table1[[#This Row],[Price2]]&lt;1000000,"Mid range","Luxury"))</f>
        <v>Luxury</v>
      </c>
    </row>
    <row r="2721" spans="1:20" x14ac:dyDescent="0.35">
      <c r="A2721" s="3">
        <v>1380179</v>
      </c>
      <c r="B2721" s="2" t="s">
        <v>17</v>
      </c>
      <c r="C2721">
        <v>43605</v>
      </c>
      <c r="D2721" s="2" t="s">
        <v>29</v>
      </c>
      <c r="E2721">
        <v>6</v>
      </c>
      <c r="F2721">
        <v>1</v>
      </c>
      <c r="G2721" s="4">
        <f>VALUE(SUBSTITUTE(SUBSTITUTE(Table1[[#This Row],[Price]],"$",""),",",""))</f>
        <v>1380179</v>
      </c>
      <c r="H2721" s="1">
        <f>Table1[[#This Row],[Price2]]/Table1[[#This Row],[Area]]</f>
        <v>724.12329485834209</v>
      </c>
      <c r="I2721">
        <v>1906</v>
      </c>
      <c r="J2721">
        <v>2014</v>
      </c>
      <c r="K2721">
        <v>73</v>
      </c>
      <c r="L2721" t="s">
        <v>19</v>
      </c>
      <c r="M2721" t="s">
        <v>2928</v>
      </c>
      <c r="N2721" s="2" t="s">
        <v>3031</v>
      </c>
      <c r="O2721" t="s">
        <v>3032</v>
      </c>
      <c r="P2721" t="s">
        <v>26</v>
      </c>
      <c r="Q2721">
        <v>724.12329485834209</v>
      </c>
      <c r="R2721">
        <f ca="1">YEAR(TODAY())-Table1[[#This Row],[Year Built]]</f>
        <v>12</v>
      </c>
      <c r="S2721" t="str">
        <f>IF(Table1[[#This Row],[Days on Market]] &lt; 30,"Fast",IF(Table1[[#This Row],[Days on Market]]&lt;= 90,"Average", "Slow"))</f>
        <v>Average</v>
      </c>
      <c r="T2721" t="str">
        <f>IF(Table1[[#This Row],[Price2]]&lt;500000,"Affordable",IF(Table1[[#This Row],[Price2]]&lt;1000000,"Mid range","Luxury"))</f>
        <v>Luxury</v>
      </c>
    </row>
    <row r="2722" spans="1:20" x14ac:dyDescent="0.35">
      <c r="A2722" s="3">
        <v>1380476</v>
      </c>
      <c r="B2722" s="2" t="s">
        <v>22</v>
      </c>
      <c r="C2722">
        <v>51838</v>
      </c>
      <c r="D2722" s="2" t="s">
        <v>23</v>
      </c>
      <c r="E2722">
        <v>4</v>
      </c>
      <c r="F2722">
        <v>4</v>
      </c>
      <c r="G2722" s="4">
        <f>VALUE(SUBSTITUTE(SUBSTITUTE(Table1[[#This Row],[Price]],"$",""),",",""))</f>
        <v>1380476</v>
      </c>
      <c r="H2722" s="1">
        <f>Table1[[#This Row],[Price2]]/Table1[[#This Row],[Area]]</f>
        <v>989.58853046594982</v>
      </c>
      <c r="I2722">
        <v>1395</v>
      </c>
      <c r="J2722">
        <v>1960</v>
      </c>
      <c r="K2722">
        <v>67</v>
      </c>
      <c r="L2722" t="s">
        <v>14</v>
      </c>
      <c r="M2722" t="s">
        <v>2159</v>
      </c>
      <c r="N2722" s="2" t="s">
        <v>3029</v>
      </c>
      <c r="O2722" t="s">
        <v>3030</v>
      </c>
      <c r="P2722" t="s">
        <v>26</v>
      </c>
      <c r="Q2722">
        <v>989.58853046594982</v>
      </c>
      <c r="R2722">
        <f ca="1">YEAR(TODAY())-Table1[[#This Row],[Year Built]]</f>
        <v>66</v>
      </c>
      <c r="S2722" t="str">
        <f>IF(Table1[[#This Row],[Days on Market]] &lt; 30,"Fast",IF(Table1[[#This Row],[Days on Market]]&lt;= 90,"Average", "Slow"))</f>
        <v>Average</v>
      </c>
      <c r="T2722" t="str">
        <f>IF(Table1[[#This Row],[Price2]]&lt;500000,"Affordable",IF(Table1[[#This Row],[Price2]]&lt;1000000,"Mid range","Luxury"))</f>
        <v>Luxury</v>
      </c>
    </row>
    <row r="2723" spans="1:20" x14ac:dyDescent="0.35">
      <c r="A2723" s="3">
        <v>1380632</v>
      </c>
      <c r="B2723" s="2" t="s">
        <v>22</v>
      </c>
      <c r="C2723">
        <v>14136</v>
      </c>
      <c r="D2723" s="2" t="s">
        <v>23</v>
      </c>
      <c r="E2723">
        <v>3</v>
      </c>
      <c r="F2723">
        <v>3</v>
      </c>
      <c r="G2723" s="4">
        <f>VALUE(SUBSTITUTE(SUBSTITUTE(Table1[[#This Row],[Price]],"$",""),",",""))</f>
        <v>1380632</v>
      </c>
      <c r="H2723" s="1">
        <f>Table1[[#This Row],[Price2]]/Table1[[#This Row],[Area]]</f>
        <v>578.63872590108974</v>
      </c>
      <c r="I2723">
        <v>2386</v>
      </c>
      <c r="J2723">
        <v>1960</v>
      </c>
      <c r="K2723">
        <v>103</v>
      </c>
      <c r="L2723" t="s">
        <v>30</v>
      </c>
      <c r="M2723" t="s">
        <v>1589</v>
      </c>
      <c r="N2723" s="2" t="s">
        <v>3029</v>
      </c>
      <c r="O2723" t="s">
        <v>3030</v>
      </c>
      <c r="P2723" t="s">
        <v>21</v>
      </c>
      <c r="Q2723">
        <v>578.63872590108974</v>
      </c>
      <c r="R2723">
        <f ca="1">YEAR(TODAY())-Table1[[#This Row],[Year Built]]</f>
        <v>66</v>
      </c>
      <c r="S2723" t="str">
        <f>IF(Table1[[#This Row],[Days on Market]] &lt; 30,"Fast",IF(Table1[[#This Row],[Days on Market]]&lt;= 90,"Average", "Slow"))</f>
        <v>Slow</v>
      </c>
      <c r="T2723" t="str">
        <f>IF(Table1[[#This Row],[Price2]]&lt;500000,"Affordable",IF(Table1[[#This Row],[Price2]]&lt;1000000,"Mid range","Luxury"))</f>
        <v>Luxury</v>
      </c>
    </row>
    <row r="2724" spans="1:20" x14ac:dyDescent="0.35">
      <c r="A2724" s="3">
        <v>1381863</v>
      </c>
      <c r="B2724" s="2" t="s">
        <v>34</v>
      </c>
      <c r="C2724">
        <v>48888</v>
      </c>
      <c r="D2724" s="2" t="s">
        <v>18</v>
      </c>
      <c r="E2724">
        <v>1</v>
      </c>
      <c r="F2724">
        <v>4</v>
      </c>
      <c r="G2724" s="4">
        <f>VALUE(SUBSTITUTE(SUBSTITUTE(Table1[[#This Row],[Price]],"$",""),",",""))</f>
        <v>1381863</v>
      </c>
      <c r="H2724" s="1">
        <f>Table1[[#This Row],[Price2]]/Table1[[#This Row],[Area]]</f>
        <v>497.96864864864864</v>
      </c>
      <c r="I2724">
        <v>2775</v>
      </c>
      <c r="J2724">
        <v>1979</v>
      </c>
      <c r="K2724">
        <v>119</v>
      </c>
      <c r="L2724" t="s">
        <v>30</v>
      </c>
      <c r="M2724" t="s">
        <v>2261</v>
      </c>
      <c r="N2724" s="2" t="s">
        <v>3029</v>
      </c>
      <c r="O2724" t="s">
        <v>3030</v>
      </c>
      <c r="P2724" t="s">
        <v>26</v>
      </c>
      <c r="Q2724">
        <v>497.96864864864864</v>
      </c>
      <c r="R2724">
        <f ca="1">YEAR(TODAY())-Table1[[#This Row],[Year Built]]</f>
        <v>47</v>
      </c>
      <c r="S2724" t="str">
        <f>IF(Table1[[#This Row],[Days on Market]] &lt; 30,"Fast",IF(Table1[[#This Row],[Days on Market]]&lt;= 90,"Average", "Slow"))</f>
        <v>Slow</v>
      </c>
      <c r="T2724" t="str">
        <f>IF(Table1[[#This Row],[Price2]]&lt;500000,"Affordable",IF(Table1[[#This Row],[Price2]]&lt;1000000,"Mid range","Luxury"))</f>
        <v>Luxury</v>
      </c>
    </row>
    <row r="2725" spans="1:20" x14ac:dyDescent="0.35">
      <c r="A2725" s="3">
        <v>1381948</v>
      </c>
      <c r="B2725" s="2" t="s">
        <v>27</v>
      </c>
      <c r="C2725">
        <v>62062</v>
      </c>
      <c r="D2725" s="2" t="s">
        <v>18</v>
      </c>
      <c r="E2725">
        <v>2</v>
      </c>
      <c r="F2725">
        <v>3</v>
      </c>
      <c r="G2725" s="4">
        <f>VALUE(SUBSTITUTE(SUBSTITUTE(Table1[[#This Row],[Price]],"$",""),",",""))</f>
        <v>1381948</v>
      </c>
      <c r="H2725" s="1">
        <f>Table1[[#This Row],[Price2]]/Table1[[#This Row],[Area]]</f>
        <v>823.56853396901067</v>
      </c>
      <c r="I2725">
        <v>1678</v>
      </c>
      <c r="J2725">
        <v>2016</v>
      </c>
      <c r="K2725">
        <v>47</v>
      </c>
      <c r="L2725" t="s">
        <v>40</v>
      </c>
      <c r="M2725" t="s">
        <v>1293</v>
      </c>
      <c r="N2725" s="2" t="s">
        <v>3029</v>
      </c>
      <c r="O2725" t="s">
        <v>3030</v>
      </c>
      <c r="P2725" t="s">
        <v>16</v>
      </c>
      <c r="Q2725">
        <v>823.56853396901067</v>
      </c>
      <c r="R2725">
        <f ca="1">YEAR(TODAY())-Table1[[#This Row],[Year Built]]</f>
        <v>10</v>
      </c>
      <c r="S2725" t="str">
        <f>IF(Table1[[#This Row],[Days on Market]] &lt; 30,"Fast",IF(Table1[[#This Row],[Days on Market]]&lt;= 90,"Average", "Slow"))</f>
        <v>Average</v>
      </c>
      <c r="T2725" t="str">
        <f>IF(Table1[[#This Row],[Price2]]&lt;500000,"Affordable",IF(Table1[[#This Row],[Price2]]&lt;1000000,"Mid range","Luxury"))</f>
        <v>Luxury</v>
      </c>
    </row>
    <row r="2726" spans="1:20" x14ac:dyDescent="0.35">
      <c r="A2726" s="3">
        <v>1381949</v>
      </c>
      <c r="B2726" s="2" t="s">
        <v>34</v>
      </c>
      <c r="C2726">
        <v>33081</v>
      </c>
      <c r="D2726" s="2" t="s">
        <v>23</v>
      </c>
      <c r="E2726">
        <v>4</v>
      </c>
      <c r="F2726">
        <v>4</v>
      </c>
      <c r="G2726" s="4">
        <f>VALUE(SUBSTITUTE(SUBSTITUTE(Table1[[#This Row],[Price]],"$",""),",",""))</f>
        <v>1381949</v>
      </c>
      <c r="H2726" s="1">
        <f>Table1[[#This Row],[Price2]]/Table1[[#This Row],[Area]]</f>
        <v>465.93020903573836</v>
      </c>
      <c r="I2726">
        <v>2966</v>
      </c>
      <c r="J2726">
        <v>1997</v>
      </c>
      <c r="K2726">
        <v>38</v>
      </c>
      <c r="L2726" t="s">
        <v>52</v>
      </c>
      <c r="M2726" t="s">
        <v>53</v>
      </c>
      <c r="N2726" s="2" t="s">
        <v>3029</v>
      </c>
      <c r="O2726" t="s">
        <v>3030</v>
      </c>
      <c r="P2726" t="s">
        <v>21</v>
      </c>
      <c r="Q2726">
        <v>465.93020903573836</v>
      </c>
      <c r="R2726">
        <f ca="1">YEAR(TODAY())-Table1[[#This Row],[Year Built]]</f>
        <v>29</v>
      </c>
      <c r="S2726" t="str">
        <f>IF(Table1[[#This Row],[Days on Market]] &lt; 30,"Fast",IF(Table1[[#This Row],[Days on Market]]&lt;= 90,"Average", "Slow"))</f>
        <v>Average</v>
      </c>
      <c r="T2726" t="str">
        <f>IF(Table1[[#This Row],[Price2]]&lt;500000,"Affordable",IF(Table1[[#This Row],[Price2]]&lt;1000000,"Mid range","Luxury"))</f>
        <v>Luxury</v>
      </c>
    </row>
    <row r="2727" spans="1:20" x14ac:dyDescent="0.35">
      <c r="A2727" s="3">
        <v>1382451</v>
      </c>
      <c r="B2727" s="2" t="s">
        <v>34</v>
      </c>
      <c r="C2727">
        <v>80206</v>
      </c>
      <c r="D2727" s="2" t="s">
        <v>13</v>
      </c>
      <c r="E2727">
        <v>6</v>
      </c>
      <c r="F2727">
        <v>2</v>
      </c>
      <c r="G2727" s="4">
        <f>VALUE(SUBSTITUTE(SUBSTITUTE(Table1[[#This Row],[Price]],"$",""),",",""))</f>
        <v>1382451</v>
      </c>
      <c r="H2727" s="1">
        <f>Table1[[#This Row],[Price2]]/Table1[[#This Row],[Area]]</f>
        <v>690.19021467798302</v>
      </c>
      <c r="I2727">
        <v>2003</v>
      </c>
      <c r="J2727">
        <v>1962</v>
      </c>
      <c r="K2727">
        <v>9</v>
      </c>
      <c r="L2727" t="s">
        <v>14</v>
      </c>
      <c r="M2727" t="s">
        <v>630</v>
      </c>
      <c r="N2727" s="2" t="s">
        <v>3035</v>
      </c>
      <c r="O2727" t="s">
        <v>3036</v>
      </c>
      <c r="P2727" t="s">
        <v>26</v>
      </c>
      <c r="Q2727">
        <v>690.19021467798302</v>
      </c>
      <c r="R2727">
        <f ca="1">YEAR(TODAY())-Table1[[#This Row],[Year Built]]</f>
        <v>64</v>
      </c>
      <c r="S2727" t="str">
        <f>IF(Table1[[#This Row],[Days on Market]] &lt; 30,"Fast",IF(Table1[[#This Row],[Days on Market]]&lt;= 90,"Average", "Slow"))</f>
        <v>Fast</v>
      </c>
      <c r="T2727" t="str">
        <f>IF(Table1[[#This Row],[Price2]]&lt;500000,"Affordable",IF(Table1[[#This Row],[Price2]]&lt;1000000,"Mid range","Luxury"))</f>
        <v>Luxury</v>
      </c>
    </row>
    <row r="2728" spans="1:20" x14ac:dyDescent="0.35">
      <c r="A2728" s="3">
        <v>1382618</v>
      </c>
      <c r="B2728" s="2" t="s">
        <v>22</v>
      </c>
      <c r="C2728">
        <v>33285</v>
      </c>
      <c r="D2728" s="2" t="s">
        <v>23</v>
      </c>
      <c r="E2728">
        <v>5</v>
      </c>
      <c r="F2728">
        <v>1</v>
      </c>
      <c r="G2728" s="4">
        <f>VALUE(SUBSTITUTE(SUBSTITUTE(Table1[[#This Row],[Price]],"$",""),",",""))</f>
        <v>1382618</v>
      </c>
      <c r="H2728" s="1">
        <f>Table1[[#This Row],[Price2]]/Table1[[#This Row],[Area]]</f>
        <v>371.57162053211505</v>
      </c>
      <c r="I2728">
        <v>3721</v>
      </c>
      <c r="J2728">
        <v>1955</v>
      </c>
      <c r="K2728">
        <v>65</v>
      </c>
      <c r="L2728" t="s">
        <v>30</v>
      </c>
      <c r="M2728" t="s">
        <v>805</v>
      </c>
      <c r="N2728" s="2" t="s">
        <v>3029</v>
      </c>
      <c r="O2728" t="s">
        <v>3030</v>
      </c>
      <c r="P2728" t="s">
        <v>26</v>
      </c>
      <c r="Q2728">
        <v>371.57162053211505</v>
      </c>
      <c r="R2728">
        <f ca="1">YEAR(TODAY())-Table1[[#This Row],[Year Built]]</f>
        <v>71</v>
      </c>
      <c r="S2728" t="str">
        <f>IF(Table1[[#This Row],[Days on Market]] &lt; 30,"Fast",IF(Table1[[#This Row],[Days on Market]]&lt;= 90,"Average", "Slow"))</f>
        <v>Average</v>
      </c>
      <c r="T2728" t="str">
        <f>IF(Table1[[#This Row],[Price2]]&lt;500000,"Affordable",IF(Table1[[#This Row],[Price2]]&lt;1000000,"Mid range","Luxury"))</f>
        <v>Luxury</v>
      </c>
    </row>
    <row r="2729" spans="1:20" x14ac:dyDescent="0.35">
      <c r="A2729" s="3">
        <v>1382669</v>
      </c>
      <c r="B2729" s="2" t="s">
        <v>17</v>
      </c>
      <c r="C2729">
        <v>79516</v>
      </c>
      <c r="D2729" s="2" t="s">
        <v>13</v>
      </c>
      <c r="E2729">
        <v>4</v>
      </c>
      <c r="F2729">
        <v>2</v>
      </c>
      <c r="G2729" s="4">
        <f>VALUE(SUBSTITUTE(SUBSTITUTE(Table1[[#This Row],[Price]],"$",""),",",""))</f>
        <v>1382669</v>
      </c>
      <c r="H2729" s="1">
        <f>Table1[[#This Row],[Price2]]/Table1[[#This Row],[Area]]</f>
        <v>1053.8635670731708</v>
      </c>
      <c r="I2729">
        <v>1312</v>
      </c>
      <c r="J2729">
        <v>1973</v>
      </c>
      <c r="K2729">
        <v>54</v>
      </c>
      <c r="L2729" t="s">
        <v>40</v>
      </c>
      <c r="M2729" t="s">
        <v>1165</v>
      </c>
      <c r="N2729" s="2" t="s">
        <v>3027</v>
      </c>
      <c r="O2729" t="s">
        <v>3028</v>
      </c>
      <c r="P2729" t="s">
        <v>16</v>
      </c>
      <c r="Q2729">
        <v>1053.8635670731708</v>
      </c>
      <c r="R2729">
        <f ca="1">YEAR(TODAY())-Table1[[#This Row],[Year Built]]</f>
        <v>53</v>
      </c>
      <c r="S2729" t="str">
        <f>IF(Table1[[#This Row],[Days on Market]] &lt; 30,"Fast",IF(Table1[[#This Row],[Days on Market]]&lt;= 90,"Average", "Slow"))</f>
        <v>Average</v>
      </c>
      <c r="T2729" t="str">
        <f>IF(Table1[[#This Row],[Price2]]&lt;500000,"Affordable",IF(Table1[[#This Row],[Price2]]&lt;1000000,"Mid range","Luxury"))</f>
        <v>Luxury</v>
      </c>
    </row>
    <row r="2730" spans="1:20" x14ac:dyDescent="0.35">
      <c r="A2730" s="3">
        <v>1382800</v>
      </c>
      <c r="B2730" s="2" t="s">
        <v>12</v>
      </c>
      <c r="C2730">
        <v>10617</v>
      </c>
      <c r="D2730" s="2" t="s">
        <v>18</v>
      </c>
      <c r="E2730">
        <v>4</v>
      </c>
      <c r="F2730">
        <v>3</v>
      </c>
      <c r="G2730" s="4">
        <f>VALUE(SUBSTITUTE(SUBSTITUTE(Table1[[#This Row],[Price]],"$",""),",",""))</f>
        <v>1382800</v>
      </c>
      <c r="H2730" s="1">
        <f>Table1[[#This Row],[Price2]]/Table1[[#This Row],[Area]]</f>
        <v>374.74254742547424</v>
      </c>
      <c r="I2730">
        <v>3690</v>
      </c>
      <c r="J2730">
        <v>1978</v>
      </c>
      <c r="K2730">
        <v>29</v>
      </c>
      <c r="L2730" t="s">
        <v>40</v>
      </c>
      <c r="M2730" t="s">
        <v>1505</v>
      </c>
      <c r="N2730" s="2" t="s">
        <v>3031</v>
      </c>
      <c r="O2730" t="s">
        <v>3032</v>
      </c>
      <c r="P2730" t="s">
        <v>26</v>
      </c>
      <c r="Q2730">
        <v>374.74254742547424</v>
      </c>
      <c r="R2730">
        <f ca="1">YEAR(TODAY())-Table1[[#This Row],[Year Built]]</f>
        <v>48</v>
      </c>
      <c r="S2730" t="str">
        <f>IF(Table1[[#This Row],[Days on Market]] &lt; 30,"Fast",IF(Table1[[#This Row],[Days on Market]]&lt;= 90,"Average", "Slow"))</f>
        <v>Fast</v>
      </c>
      <c r="T2730" t="str">
        <f>IF(Table1[[#This Row],[Price2]]&lt;500000,"Affordable",IF(Table1[[#This Row],[Price2]]&lt;1000000,"Mid range","Luxury"))</f>
        <v>Luxury</v>
      </c>
    </row>
    <row r="2731" spans="1:20" x14ac:dyDescent="0.35">
      <c r="A2731" s="3">
        <v>1383766</v>
      </c>
      <c r="B2731" s="2" t="s">
        <v>17</v>
      </c>
      <c r="C2731">
        <v>54737</v>
      </c>
      <c r="D2731" s="2" t="s">
        <v>13</v>
      </c>
      <c r="E2731">
        <v>3</v>
      </c>
      <c r="F2731">
        <v>2</v>
      </c>
      <c r="G2731" s="4">
        <f>VALUE(SUBSTITUTE(SUBSTITUTE(Table1[[#This Row],[Price]],"$",""),",",""))</f>
        <v>1383766</v>
      </c>
      <c r="H2731" s="1">
        <f>Table1[[#This Row],[Price2]]/Table1[[#This Row],[Area]]</f>
        <v>559.77588996763757</v>
      </c>
      <c r="I2731">
        <v>2472</v>
      </c>
      <c r="J2731">
        <v>1997</v>
      </c>
      <c r="K2731">
        <v>53</v>
      </c>
      <c r="L2731" t="s">
        <v>14</v>
      </c>
      <c r="M2731" t="s">
        <v>2558</v>
      </c>
      <c r="N2731" s="2" t="s">
        <v>3035</v>
      </c>
      <c r="O2731" t="s">
        <v>3036</v>
      </c>
      <c r="P2731" t="s">
        <v>26</v>
      </c>
      <c r="Q2731">
        <v>559.77588996763757</v>
      </c>
      <c r="R2731">
        <f ca="1">YEAR(TODAY())-Table1[[#This Row],[Year Built]]</f>
        <v>29</v>
      </c>
      <c r="S2731" t="str">
        <f>IF(Table1[[#This Row],[Days on Market]] &lt; 30,"Fast",IF(Table1[[#This Row],[Days on Market]]&lt;= 90,"Average", "Slow"))</f>
        <v>Average</v>
      </c>
      <c r="T2731" t="str">
        <f>IF(Table1[[#This Row],[Price2]]&lt;500000,"Affordable",IF(Table1[[#This Row],[Price2]]&lt;1000000,"Mid range","Luxury"))</f>
        <v>Luxury</v>
      </c>
    </row>
    <row r="2732" spans="1:20" x14ac:dyDescent="0.35">
      <c r="A2732" s="3">
        <v>1383914</v>
      </c>
      <c r="B2732" s="2" t="s">
        <v>17</v>
      </c>
      <c r="C2732">
        <v>23016</v>
      </c>
      <c r="D2732" s="2" t="s">
        <v>13</v>
      </c>
      <c r="E2732">
        <v>2</v>
      </c>
      <c r="F2732">
        <v>4</v>
      </c>
      <c r="G2732" s="4">
        <f>VALUE(SUBSTITUTE(SUBSTITUTE(Table1[[#This Row],[Price]],"$",""),",",""))</f>
        <v>1383914</v>
      </c>
      <c r="H2732" s="1">
        <f>Table1[[#This Row],[Price2]]/Table1[[#This Row],[Area]]</f>
        <v>1893.1792065663474</v>
      </c>
      <c r="I2732">
        <v>731</v>
      </c>
      <c r="J2732">
        <v>1992</v>
      </c>
      <c r="K2732">
        <v>25</v>
      </c>
      <c r="L2732" t="s">
        <v>52</v>
      </c>
      <c r="M2732" t="s">
        <v>2779</v>
      </c>
      <c r="N2732" s="2" t="s">
        <v>3031</v>
      </c>
      <c r="O2732" t="s">
        <v>3032</v>
      </c>
      <c r="P2732" t="s">
        <v>26</v>
      </c>
      <c r="Q2732">
        <v>1893.1792065663474</v>
      </c>
      <c r="R2732">
        <f ca="1">YEAR(TODAY())-Table1[[#This Row],[Year Built]]</f>
        <v>34</v>
      </c>
      <c r="S2732" t="str">
        <f>IF(Table1[[#This Row],[Days on Market]] &lt; 30,"Fast",IF(Table1[[#This Row],[Days on Market]]&lt;= 90,"Average", "Slow"))</f>
        <v>Fast</v>
      </c>
      <c r="T2732" t="str">
        <f>IF(Table1[[#This Row],[Price2]]&lt;500000,"Affordable",IF(Table1[[#This Row],[Price2]]&lt;1000000,"Mid range","Luxury"))</f>
        <v>Luxury</v>
      </c>
    </row>
    <row r="2733" spans="1:20" x14ac:dyDescent="0.35">
      <c r="A2733" s="3">
        <v>1384056</v>
      </c>
      <c r="B2733" s="2" t="s">
        <v>17</v>
      </c>
      <c r="C2733">
        <v>89688</v>
      </c>
      <c r="D2733" s="2" t="s">
        <v>13</v>
      </c>
      <c r="E2733">
        <v>1</v>
      </c>
      <c r="F2733">
        <v>1</v>
      </c>
      <c r="G2733" s="4">
        <f>VALUE(SUBSTITUTE(SUBSTITUTE(Table1[[#This Row],[Price]],"$",""),",",""))</f>
        <v>1384056</v>
      </c>
      <c r="H2733" s="1">
        <f>Table1[[#This Row],[Price2]]/Table1[[#This Row],[Area]]</f>
        <v>727.30215449290597</v>
      </c>
      <c r="I2733">
        <v>1903</v>
      </c>
      <c r="J2733">
        <v>1951</v>
      </c>
      <c r="K2733">
        <v>55</v>
      </c>
      <c r="L2733" t="s">
        <v>40</v>
      </c>
      <c r="M2733" t="s">
        <v>1789</v>
      </c>
      <c r="N2733" s="2" t="s">
        <v>3033</v>
      </c>
      <c r="O2733" t="s">
        <v>3034</v>
      </c>
      <c r="P2733" t="s">
        <v>26</v>
      </c>
      <c r="Q2733">
        <v>727.30215449290597</v>
      </c>
      <c r="R2733">
        <f ca="1">YEAR(TODAY())-Table1[[#This Row],[Year Built]]</f>
        <v>75</v>
      </c>
      <c r="S2733" t="str">
        <f>IF(Table1[[#This Row],[Days on Market]] &lt; 30,"Fast",IF(Table1[[#This Row],[Days on Market]]&lt;= 90,"Average", "Slow"))</f>
        <v>Average</v>
      </c>
      <c r="T2733" t="str">
        <f>IF(Table1[[#This Row],[Price2]]&lt;500000,"Affordable",IF(Table1[[#This Row],[Price2]]&lt;1000000,"Mid range","Luxury"))</f>
        <v>Luxury</v>
      </c>
    </row>
    <row r="2734" spans="1:20" x14ac:dyDescent="0.35">
      <c r="A2734" s="3">
        <v>1385988</v>
      </c>
      <c r="B2734" s="2" t="s">
        <v>27</v>
      </c>
      <c r="C2734">
        <v>89134</v>
      </c>
      <c r="D2734" s="2" t="s">
        <v>23</v>
      </c>
      <c r="E2734">
        <v>5</v>
      </c>
      <c r="F2734">
        <v>2</v>
      </c>
      <c r="G2734" s="4">
        <f>VALUE(SUBSTITUTE(SUBSTITUTE(Table1[[#This Row],[Price]],"$",""),",",""))</f>
        <v>1385988</v>
      </c>
      <c r="H2734" s="1">
        <f>Table1[[#This Row],[Price2]]/Table1[[#This Row],[Area]]</f>
        <v>538.24776699029121</v>
      </c>
      <c r="I2734">
        <v>2575</v>
      </c>
      <c r="J2734">
        <v>1982</v>
      </c>
      <c r="K2734">
        <v>34</v>
      </c>
      <c r="L2734" t="s">
        <v>40</v>
      </c>
      <c r="M2734" t="s">
        <v>1490</v>
      </c>
      <c r="N2734" s="2" t="s">
        <v>3033</v>
      </c>
      <c r="O2734" t="s">
        <v>3034</v>
      </c>
      <c r="P2734" t="s">
        <v>21</v>
      </c>
      <c r="Q2734">
        <v>538.24776699029121</v>
      </c>
      <c r="R2734">
        <f ca="1">YEAR(TODAY())-Table1[[#This Row],[Year Built]]</f>
        <v>44</v>
      </c>
      <c r="S2734" t="str">
        <f>IF(Table1[[#This Row],[Days on Market]] &lt; 30,"Fast",IF(Table1[[#This Row],[Days on Market]]&lt;= 90,"Average", "Slow"))</f>
        <v>Average</v>
      </c>
      <c r="T2734" t="str">
        <f>IF(Table1[[#This Row],[Price2]]&lt;500000,"Affordable",IF(Table1[[#This Row],[Price2]]&lt;1000000,"Mid range","Luxury"))</f>
        <v>Luxury</v>
      </c>
    </row>
    <row r="2735" spans="1:20" x14ac:dyDescent="0.35">
      <c r="A2735" s="3">
        <v>1386947</v>
      </c>
      <c r="B2735" s="2" t="s">
        <v>22</v>
      </c>
      <c r="C2735">
        <v>50757</v>
      </c>
      <c r="D2735" s="2" t="s">
        <v>13</v>
      </c>
      <c r="E2735">
        <v>4</v>
      </c>
      <c r="F2735">
        <v>4</v>
      </c>
      <c r="G2735" s="4">
        <f>VALUE(SUBSTITUTE(SUBSTITUTE(Table1[[#This Row],[Price]],"$",""),",",""))</f>
        <v>1386947</v>
      </c>
      <c r="H2735" s="1">
        <f>Table1[[#This Row],[Price2]]/Table1[[#This Row],[Area]]</f>
        <v>1861.6738255033556</v>
      </c>
      <c r="I2735">
        <v>745</v>
      </c>
      <c r="J2735">
        <v>1969</v>
      </c>
      <c r="K2735">
        <v>24</v>
      </c>
      <c r="L2735" t="s">
        <v>40</v>
      </c>
      <c r="M2735" t="s">
        <v>343</v>
      </c>
      <c r="N2735" s="2" t="s">
        <v>3027</v>
      </c>
      <c r="O2735" t="s">
        <v>3028</v>
      </c>
      <c r="P2735" t="s">
        <v>21</v>
      </c>
      <c r="Q2735">
        <v>1861.6738255033556</v>
      </c>
      <c r="R2735">
        <f ca="1">YEAR(TODAY())-Table1[[#This Row],[Year Built]]</f>
        <v>57</v>
      </c>
      <c r="S2735" t="str">
        <f>IF(Table1[[#This Row],[Days on Market]] &lt; 30,"Fast",IF(Table1[[#This Row],[Days on Market]]&lt;= 90,"Average", "Slow"))</f>
        <v>Fast</v>
      </c>
      <c r="T2735" t="str">
        <f>IF(Table1[[#This Row],[Price2]]&lt;500000,"Affordable",IF(Table1[[#This Row],[Price2]]&lt;1000000,"Mid range","Luxury"))</f>
        <v>Luxury</v>
      </c>
    </row>
    <row r="2736" spans="1:20" x14ac:dyDescent="0.35">
      <c r="A2736" s="3">
        <v>1386972</v>
      </c>
      <c r="B2736" s="2" t="s">
        <v>22</v>
      </c>
      <c r="C2736">
        <v>37203</v>
      </c>
      <c r="D2736" s="2" t="s">
        <v>29</v>
      </c>
      <c r="E2736">
        <v>4</v>
      </c>
      <c r="F2736">
        <v>3</v>
      </c>
      <c r="G2736" s="4">
        <f>VALUE(SUBSTITUTE(SUBSTITUTE(Table1[[#This Row],[Price]],"$",""),",",""))</f>
        <v>1386972</v>
      </c>
      <c r="H2736" s="1">
        <f>Table1[[#This Row],[Price2]]/Table1[[#This Row],[Area]]</f>
        <v>679.22233104799216</v>
      </c>
      <c r="I2736">
        <v>2042</v>
      </c>
      <c r="J2736">
        <v>2010</v>
      </c>
      <c r="K2736">
        <v>45</v>
      </c>
      <c r="L2736" t="s">
        <v>30</v>
      </c>
      <c r="M2736" t="s">
        <v>2389</v>
      </c>
      <c r="N2736" s="2" t="s">
        <v>3029</v>
      </c>
      <c r="O2736" t="s">
        <v>3030</v>
      </c>
      <c r="P2736" t="s">
        <v>26</v>
      </c>
      <c r="Q2736">
        <v>679.22233104799216</v>
      </c>
      <c r="R2736">
        <f ca="1">YEAR(TODAY())-Table1[[#This Row],[Year Built]]</f>
        <v>16</v>
      </c>
      <c r="S2736" t="str">
        <f>IF(Table1[[#This Row],[Days on Market]] &lt; 30,"Fast",IF(Table1[[#This Row],[Days on Market]]&lt;= 90,"Average", "Slow"))</f>
        <v>Average</v>
      </c>
      <c r="T2736" t="str">
        <f>IF(Table1[[#This Row],[Price2]]&lt;500000,"Affordable",IF(Table1[[#This Row],[Price2]]&lt;1000000,"Mid range","Luxury"))</f>
        <v>Luxury</v>
      </c>
    </row>
    <row r="2737" spans="1:20" x14ac:dyDescent="0.35">
      <c r="A2737" s="3">
        <v>1387098</v>
      </c>
      <c r="B2737" s="2" t="s">
        <v>27</v>
      </c>
      <c r="C2737">
        <v>70939</v>
      </c>
      <c r="D2737" s="2" t="s">
        <v>23</v>
      </c>
      <c r="E2737">
        <v>5</v>
      </c>
      <c r="F2737">
        <v>3</v>
      </c>
      <c r="G2737" s="4">
        <f>VALUE(SUBSTITUTE(SUBSTITUTE(Table1[[#This Row],[Price]],"$",""),",",""))</f>
        <v>1387098</v>
      </c>
      <c r="H2737" s="1">
        <f>Table1[[#This Row],[Price2]]/Table1[[#This Row],[Area]]</f>
        <v>1126.8058489033306</v>
      </c>
      <c r="I2737">
        <v>1231</v>
      </c>
      <c r="J2737">
        <v>2016</v>
      </c>
      <c r="K2737">
        <v>81</v>
      </c>
      <c r="L2737" t="s">
        <v>19</v>
      </c>
      <c r="M2737" t="s">
        <v>656</v>
      </c>
      <c r="N2737" s="2" t="s">
        <v>3031</v>
      </c>
      <c r="O2737" t="s">
        <v>3032</v>
      </c>
      <c r="P2737" t="s">
        <v>21</v>
      </c>
      <c r="Q2737">
        <v>1126.8058489033306</v>
      </c>
      <c r="R2737">
        <f ca="1">YEAR(TODAY())-Table1[[#This Row],[Year Built]]</f>
        <v>10</v>
      </c>
      <c r="S2737" t="str">
        <f>IF(Table1[[#This Row],[Days on Market]] &lt; 30,"Fast",IF(Table1[[#This Row],[Days on Market]]&lt;= 90,"Average", "Slow"))</f>
        <v>Average</v>
      </c>
      <c r="T2737" t="str">
        <f>IF(Table1[[#This Row],[Price2]]&lt;500000,"Affordable",IF(Table1[[#This Row],[Price2]]&lt;1000000,"Mid range","Luxury"))</f>
        <v>Luxury</v>
      </c>
    </row>
    <row r="2738" spans="1:20" x14ac:dyDescent="0.35">
      <c r="A2738" s="3">
        <v>1387108</v>
      </c>
      <c r="B2738" s="2" t="s">
        <v>27</v>
      </c>
      <c r="C2738">
        <v>36541</v>
      </c>
      <c r="D2738" s="2" t="s">
        <v>35</v>
      </c>
      <c r="E2738">
        <v>3</v>
      </c>
      <c r="F2738">
        <v>4</v>
      </c>
      <c r="G2738" s="4">
        <f>VALUE(SUBSTITUTE(SUBSTITUTE(Table1[[#This Row],[Price]],"$",""),",",""))</f>
        <v>1387108</v>
      </c>
      <c r="H2738" s="1">
        <f>Table1[[#This Row],[Price2]]/Table1[[#This Row],[Area]]</f>
        <v>648.48433847592332</v>
      </c>
      <c r="I2738">
        <v>2139</v>
      </c>
      <c r="J2738">
        <v>1976</v>
      </c>
      <c r="K2738">
        <v>46</v>
      </c>
      <c r="L2738" t="s">
        <v>52</v>
      </c>
      <c r="M2738" t="s">
        <v>1612</v>
      </c>
      <c r="N2738" s="2" t="s">
        <v>3027</v>
      </c>
      <c r="O2738" t="s">
        <v>3028</v>
      </c>
      <c r="P2738" t="s">
        <v>21</v>
      </c>
      <c r="Q2738">
        <v>648.48433847592332</v>
      </c>
      <c r="R2738">
        <f ca="1">YEAR(TODAY())-Table1[[#This Row],[Year Built]]</f>
        <v>50</v>
      </c>
      <c r="S2738" t="str">
        <f>IF(Table1[[#This Row],[Days on Market]] &lt; 30,"Fast",IF(Table1[[#This Row],[Days on Market]]&lt;= 90,"Average", "Slow"))</f>
        <v>Average</v>
      </c>
      <c r="T2738" t="str">
        <f>IF(Table1[[#This Row],[Price2]]&lt;500000,"Affordable",IF(Table1[[#This Row],[Price2]]&lt;1000000,"Mid range","Luxury"))</f>
        <v>Luxury</v>
      </c>
    </row>
    <row r="2739" spans="1:20" x14ac:dyDescent="0.35">
      <c r="A2739" s="3">
        <v>1387365</v>
      </c>
      <c r="B2739" s="2" t="s">
        <v>17</v>
      </c>
      <c r="C2739">
        <v>44922</v>
      </c>
      <c r="D2739" s="2" t="s">
        <v>35</v>
      </c>
      <c r="E2739">
        <v>6</v>
      </c>
      <c r="F2739">
        <v>4</v>
      </c>
      <c r="G2739" s="4">
        <f>VALUE(SUBSTITUTE(SUBSTITUTE(Table1[[#This Row],[Price]],"$",""),",",""))</f>
        <v>1387365</v>
      </c>
      <c r="H2739" s="1">
        <f>Table1[[#This Row],[Price2]]/Table1[[#This Row],[Area]]</f>
        <v>758.95240700218824</v>
      </c>
      <c r="I2739">
        <v>1828</v>
      </c>
      <c r="J2739">
        <v>1974</v>
      </c>
      <c r="K2739">
        <v>71</v>
      </c>
      <c r="L2739" t="s">
        <v>19</v>
      </c>
      <c r="M2739" t="s">
        <v>1937</v>
      </c>
      <c r="N2739" s="2" t="s">
        <v>3029</v>
      </c>
      <c r="O2739" t="s">
        <v>3030</v>
      </c>
      <c r="P2739" t="s">
        <v>26</v>
      </c>
      <c r="Q2739">
        <v>758.95240700218824</v>
      </c>
      <c r="R2739">
        <f ca="1">YEAR(TODAY())-Table1[[#This Row],[Year Built]]</f>
        <v>52</v>
      </c>
      <c r="S2739" t="str">
        <f>IF(Table1[[#This Row],[Days on Market]] &lt; 30,"Fast",IF(Table1[[#This Row],[Days on Market]]&lt;= 90,"Average", "Slow"))</f>
        <v>Average</v>
      </c>
      <c r="T2739" t="str">
        <f>IF(Table1[[#This Row],[Price2]]&lt;500000,"Affordable",IF(Table1[[#This Row],[Price2]]&lt;1000000,"Mid range","Luxury"))</f>
        <v>Luxury</v>
      </c>
    </row>
    <row r="2740" spans="1:20" x14ac:dyDescent="0.35">
      <c r="A2740" s="3">
        <v>1387365</v>
      </c>
      <c r="B2740" s="2" t="s">
        <v>34</v>
      </c>
      <c r="C2740">
        <v>76206</v>
      </c>
      <c r="D2740" s="2" t="s">
        <v>18</v>
      </c>
      <c r="E2740">
        <v>6</v>
      </c>
      <c r="F2740">
        <v>4</v>
      </c>
      <c r="G2740" s="4">
        <f>VALUE(SUBSTITUTE(SUBSTITUTE(Table1[[#This Row],[Price]],"$",""),",",""))</f>
        <v>1387365</v>
      </c>
      <c r="H2740" s="1">
        <f>Table1[[#This Row],[Price2]]/Table1[[#This Row],[Area]]</f>
        <v>1364.174041297935</v>
      </c>
      <c r="I2740">
        <v>1017</v>
      </c>
      <c r="J2740">
        <v>2021</v>
      </c>
      <c r="K2740">
        <v>37</v>
      </c>
      <c r="L2740" t="s">
        <v>14</v>
      </c>
      <c r="M2740" t="s">
        <v>2096</v>
      </c>
      <c r="N2740" s="2" t="s">
        <v>3035</v>
      </c>
      <c r="O2740" t="s">
        <v>3036</v>
      </c>
      <c r="P2740" t="s">
        <v>21</v>
      </c>
      <c r="Q2740">
        <v>1364.174041297935</v>
      </c>
      <c r="R2740">
        <f ca="1">YEAR(TODAY())-Table1[[#This Row],[Year Built]]</f>
        <v>5</v>
      </c>
      <c r="S2740" t="str">
        <f>IF(Table1[[#This Row],[Days on Market]] &lt; 30,"Fast",IF(Table1[[#This Row],[Days on Market]]&lt;= 90,"Average", "Slow"))</f>
        <v>Average</v>
      </c>
      <c r="T2740" t="str">
        <f>IF(Table1[[#This Row],[Price2]]&lt;500000,"Affordable",IF(Table1[[#This Row],[Price2]]&lt;1000000,"Mid range","Luxury"))</f>
        <v>Luxury</v>
      </c>
    </row>
    <row r="2741" spans="1:20" x14ac:dyDescent="0.35">
      <c r="A2741" s="3">
        <v>1387573</v>
      </c>
      <c r="B2741" s="2" t="s">
        <v>12</v>
      </c>
      <c r="C2741">
        <v>98587</v>
      </c>
      <c r="D2741" s="2" t="s">
        <v>18</v>
      </c>
      <c r="E2741">
        <v>3</v>
      </c>
      <c r="F2741">
        <v>4</v>
      </c>
      <c r="G2741" s="4">
        <f>VALUE(SUBSTITUTE(SUBSTITUTE(Table1[[#This Row],[Price]],"$",""),",",""))</f>
        <v>1387573</v>
      </c>
      <c r="H2741" s="1">
        <f>Table1[[#This Row],[Price2]]/Table1[[#This Row],[Area]]</f>
        <v>711.94099538224725</v>
      </c>
      <c r="I2741">
        <v>1949</v>
      </c>
      <c r="J2741">
        <v>1975</v>
      </c>
      <c r="K2741">
        <v>84</v>
      </c>
      <c r="L2741" t="s">
        <v>52</v>
      </c>
      <c r="M2741" t="s">
        <v>107</v>
      </c>
      <c r="N2741" s="2" t="s">
        <v>3027</v>
      </c>
      <c r="O2741" t="s">
        <v>3028</v>
      </c>
      <c r="P2741" t="s">
        <v>26</v>
      </c>
      <c r="Q2741">
        <v>711.94099538224725</v>
      </c>
      <c r="R2741">
        <f ca="1">YEAR(TODAY())-Table1[[#This Row],[Year Built]]</f>
        <v>51</v>
      </c>
      <c r="S2741" t="str">
        <f>IF(Table1[[#This Row],[Days on Market]] &lt; 30,"Fast",IF(Table1[[#This Row],[Days on Market]]&lt;= 90,"Average", "Slow"))</f>
        <v>Average</v>
      </c>
      <c r="T2741" t="str">
        <f>IF(Table1[[#This Row],[Price2]]&lt;500000,"Affordable",IF(Table1[[#This Row],[Price2]]&lt;1000000,"Mid range","Luxury"))</f>
        <v>Luxury</v>
      </c>
    </row>
    <row r="2742" spans="1:20" x14ac:dyDescent="0.35">
      <c r="A2742" s="3">
        <v>1387582</v>
      </c>
      <c r="B2742" s="2" t="s">
        <v>12</v>
      </c>
      <c r="C2742">
        <v>76921</v>
      </c>
      <c r="D2742" s="2" t="s">
        <v>29</v>
      </c>
      <c r="E2742">
        <v>2</v>
      </c>
      <c r="F2742">
        <v>1</v>
      </c>
      <c r="G2742" s="4">
        <f>VALUE(SUBSTITUTE(SUBSTITUTE(Table1[[#This Row],[Price]],"$",""),",",""))</f>
        <v>1387582</v>
      </c>
      <c r="H2742" s="1">
        <f>Table1[[#This Row],[Price2]]/Table1[[#This Row],[Area]]</f>
        <v>2304.953488372093</v>
      </c>
      <c r="I2742">
        <v>602</v>
      </c>
      <c r="J2742">
        <v>1994</v>
      </c>
      <c r="K2742">
        <v>51</v>
      </c>
      <c r="L2742" t="s">
        <v>14</v>
      </c>
      <c r="M2742" t="s">
        <v>377</v>
      </c>
      <c r="N2742" s="2" t="s">
        <v>3029</v>
      </c>
      <c r="O2742" t="s">
        <v>3030</v>
      </c>
      <c r="P2742" t="s">
        <v>21</v>
      </c>
      <c r="Q2742">
        <v>2304.953488372093</v>
      </c>
      <c r="R2742">
        <f ca="1">YEAR(TODAY())-Table1[[#This Row],[Year Built]]</f>
        <v>32</v>
      </c>
      <c r="S2742" t="str">
        <f>IF(Table1[[#This Row],[Days on Market]] &lt; 30,"Fast",IF(Table1[[#This Row],[Days on Market]]&lt;= 90,"Average", "Slow"))</f>
        <v>Average</v>
      </c>
      <c r="T2742" t="str">
        <f>IF(Table1[[#This Row],[Price2]]&lt;500000,"Affordable",IF(Table1[[#This Row],[Price2]]&lt;1000000,"Mid range","Luxury"))</f>
        <v>Luxury</v>
      </c>
    </row>
    <row r="2743" spans="1:20" x14ac:dyDescent="0.35">
      <c r="A2743" s="3">
        <v>1388656</v>
      </c>
      <c r="B2743" s="2" t="s">
        <v>22</v>
      </c>
      <c r="C2743">
        <v>23470</v>
      </c>
      <c r="D2743" s="2" t="s">
        <v>29</v>
      </c>
      <c r="E2743">
        <v>5</v>
      </c>
      <c r="F2743">
        <v>3</v>
      </c>
      <c r="G2743" s="4">
        <f>VALUE(SUBSTITUTE(SUBSTITUTE(Table1[[#This Row],[Price]],"$",""),",",""))</f>
        <v>1388656</v>
      </c>
      <c r="H2743" s="1">
        <f>Table1[[#This Row],[Price2]]/Table1[[#This Row],[Area]]</f>
        <v>852.982800982801</v>
      </c>
      <c r="I2743">
        <v>1628</v>
      </c>
      <c r="J2743">
        <v>2002</v>
      </c>
      <c r="K2743">
        <v>76</v>
      </c>
      <c r="L2743" t="s">
        <v>19</v>
      </c>
      <c r="M2743" t="s">
        <v>152</v>
      </c>
      <c r="N2743" s="2" t="s">
        <v>3031</v>
      </c>
      <c r="O2743" t="s">
        <v>3032</v>
      </c>
      <c r="P2743" t="s">
        <v>26</v>
      </c>
      <c r="Q2743">
        <v>852.982800982801</v>
      </c>
      <c r="R2743">
        <f ca="1">YEAR(TODAY())-Table1[[#This Row],[Year Built]]</f>
        <v>24</v>
      </c>
      <c r="S2743" t="str">
        <f>IF(Table1[[#This Row],[Days on Market]] &lt; 30,"Fast",IF(Table1[[#This Row],[Days on Market]]&lt;= 90,"Average", "Slow"))</f>
        <v>Average</v>
      </c>
      <c r="T2743" t="str">
        <f>IF(Table1[[#This Row],[Price2]]&lt;500000,"Affordable",IF(Table1[[#This Row],[Price2]]&lt;1000000,"Mid range","Luxury"))</f>
        <v>Luxury</v>
      </c>
    </row>
    <row r="2744" spans="1:20" x14ac:dyDescent="0.35">
      <c r="A2744" s="3">
        <v>1389237</v>
      </c>
      <c r="B2744" s="2" t="s">
        <v>22</v>
      </c>
      <c r="C2744">
        <v>36216</v>
      </c>
      <c r="D2744" s="2" t="s">
        <v>29</v>
      </c>
      <c r="E2744">
        <v>4</v>
      </c>
      <c r="F2744">
        <v>4</v>
      </c>
      <c r="G2744" s="4">
        <f>VALUE(SUBSTITUTE(SUBSTITUTE(Table1[[#This Row],[Price]],"$",""),",",""))</f>
        <v>1389237</v>
      </c>
      <c r="H2744" s="1">
        <f>Table1[[#This Row],[Price2]]/Table1[[#This Row],[Area]]</f>
        <v>390.89392234102422</v>
      </c>
      <c r="I2744">
        <v>3554</v>
      </c>
      <c r="J2744">
        <v>1969</v>
      </c>
      <c r="K2744">
        <v>77</v>
      </c>
      <c r="L2744" t="s">
        <v>52</v>
      </c>
      <c r="M2744" t="s">
        <v>2054</v>
      </c>
      <c r="N2744" s="2" t="s">
        <v>3035</v>
      </c>
      <c r="O2744" t="s">
        <v>3036</v>
      </c>
      <c r="P2744" t="s">
        <v>26</v>
      </c>
      <c r="Q2744">
        <v>390.89392234102422</v>
      </c>
      <c r="R2744">
        <f ca="1">YEAR(TODAY())-Table1[[#This Row],[Year Built]]</f>
        <v>57</v>
      </c>
      <c r="S2744" t="str">
        <f>IF(Table1[[#This Row],[Days on Market]] &lt; 30,"Fast",IF(Table1[[#This Row],[Days on Market]]&lt;= 90,"Average", "Slow"))</f>
        <v>Average</v>
      </c>
      <c r="T2744" t="str">
        <f>IF(Table1[[#This Row],[Price2]]&lt;500000,"Affordable",IF(Table1[[#This Row],[Price2]]&lt;1000000,"Mid range","Luxury"))</f>
        <v>Luxury</v>
      </c>
    </row>
    <row r="2745" spans="1:20" x14ac:dyDescent="0.35">
      <c r="A2745" s="3">
        <v>1389794</v>
      </c>
      <c r="B2745" s="2" t="s">
        <v>34</v>
      </c>
      <c r="C2745">
        <v>38367</v>
      </c>
      <c r="D2745" s="2" t="s">
        <v>13</v>
      </c>
      <c r="E2745">
        <v>2</v>
      </c>
      <c r="F2745">
        <v>2</v>
      </c>
      <c r="G2745" s="4">
        <f>VALUE(SUBSTITUTE(SUBSTITUTE(Table1[[#This Row],[Price]],"$",""),",",""))</f>
        <v>1389794</v>
      </c>
      <c r="H2745" s="1">
        <f>Table1[[#This Row],[Price2]]/Table1[[#This Row],[Area]]</f>
        <v>398.5643819902495</v>
      </c>
      <c r="I2745">
        <v>3487</v>
      </c>
      <c r="J2745">
        <v>1993</v>
      </c>
      <c r="K2745">
        <v>24</v>
      </c>
      <c r="L2745" t="s">
        <v>40</v>
      </c>
      <c r="M2745" t="s">
        <v>1588</v>
      </c>
      <c r="N2745" s="2" t="s">
        <v>3031</v>
      </c>
      <c r="O2745" t="s">
        <v>3032</v>
      </c>
      <c r="P2745" t="s">
        <v>21</v>
      </c>
      <c r="Q2745">
        <v>398.5643819902495</v>
      </c>
      <c r="R2745">
        <f ca="1">YEAR(TODAY())-Table1[[#This Row],[Year Built]]</f>
        <v>33</v>
      </c>
      <c r="S2745" t="str">
        <f>IF(Table1[[#This Row],[Days on Market]] &lt; 30,"Fast",IF(Table1[[#This Row],[Days on Market]]&lt;= 90,"Average", "Slow"))</f>
        <v>Fast</v>
      </c>
      <c r="T2745" t="str">
        <f>IF(Table1[[#This Row],[Price2]]&lt;500000,"Affordable",IF(Table1[[#This Row],[Price2]]&lt;1000000,"Mid range","Luxury"))</f>
        <v>Luxury</v>
      </c>
    </row>
    <row r="2746" spans="1:20" x14ac:dyDescent="0.35">
      <c r="A2746" s="3">
        <v>1389856</v>
      </c>
      <c r="B2746" s="2" t="s">
        <v>17</v>
      </c>
      <c r="C2746">
        <v>57171</v>
      </c>
      <c r="D2746" s="2" t="s">
        <v>29</v>
      </c>
      <c r="E2746">
        <v>2</v>
      </c>
      <c r="F2746">
        <v>2</v>
      </c>
      <c r="G2746" s="4">
        <f>VALUE(SUBSTITUTE(SUBSTITUTE(Table1[[#This Row],[Price]],"$",""),",",""))</f>
        <v>1389856</v>
      </c>
      <c r="H2746" s="1">
        <f>Table1[[#This Row],[Price2]]/Table1[[#This Row],[Area]]</f>
        <v>1314.9063386944181</v>
      </c>
      <c r="I2746">
        <v>1057</v>
      </c>
      <c r="J2746">
        <v>1967</v>
      </c>
      <c r="K2746">
        <v>14</v>
      </c>
      <c r="L2746" t="s">
        <v>52</v>
      </c>
      <c r="M2746" t="s">
        <v>2773</v>
      </c>
      <c r="N2746" s="2" t="s">
        <v>3033</v>
      </c>
      <c r="O2746" t="s">
        <v>3034</v>
      </c>
      <c r="P2746" t="s">
        <v>16</v>
      </c>
      <c r="Q2746">
        <v>1314.9063386944181</v>
      </c>
      <c r="R2746">
        <f ca="1">YEAR(TODAY())-Table1[[#This Row],[Year Built]]</f>
        <v>59</v>
      </c>
      <c r="S2746" t="str">
        <f>IF(Table1[[#This Row],[Days on Market]] &lt; 30,"Fast",IF(Table1[[#This Row],[Days on Market]]&lt;= 90,"Average", "Slow"))</f>
        <v>Fast</v>
      </c>
      <c r="T2746" t="str">
        <f>IF(Table1[[#This Row],[Price2]]&lt;500000,"Affordable",IF(Table1[[#This Row],[Price2]]&lt;1000000,"Mid range","Luxury"))</f>
        <v>Luxury</v>
      </c>
    </row>
    <row r="2747" spans="1:20" x14ac:dyDescent="0.35">
      <c r="A2747" s="3">
        <v>1390208</v>
      </c>
      <c r="B2747" s="2" t="s">
        <v>17</v>
      </c>
      <c r="C2747">
        <v>84482</v>
      </c>
      <c r="D2747" s="2" t="s">
        <v>23</v>
      </c>
      <c r="E2747">
        <v>2</v>
      </c>
      <c r="F2747">
        <v>4</v>
      </c>
      <c r="G2747" s="4">
        <f>VALUE(SUBSTITUTE(SUBSTITUTE(Table1[[#This Row],[Price]],"$",""),",",""))</f>
        <v>1390208</v>
      </c>
      <c r="H2747" s="1">
        <f>Table1[[#This Row],[Price2]]/Table1[[#This Row],[Area]]</f>
        <v>1572.6334841628959</v>
      </c>
      <c r="I2747">
        <v>884</v>
      </c>
      <c r="J2747">
        <v>2000</v>
      </c>
      <c r="K2747">
        <v>74</v>
      </c>
      <c r="L2747" t="s">
        <v>19</v>
      </c>
      <c r="M2747" t="s">
        <v>1747</v>
      </c>
      <c r="N2747" s="2" t="s">
        <v>3027</v>
      </c>
      <c r="O2747" t="s">
        <v>3028</v>
      </c>
      <c r="P2747" t="s">
        <v>21</v>
      </c>
      <c r="Q2747">
        <v>1572.6334841628959</v>
      </c>
      <c r="R2747">
        <f ca="1">YEAR(TODAY())-Table1[[#This Row],[Year Built]]</f>
        <v>26</v>
      </c>
      <c r="S2747" t="str">
        <f>IF(Table1[[#This Row],[Days on Market]] &lt; 30,"Fast",IF(Table1[[#This Row],[Days on Market]]&lt;= 90,"Average", "Slow"))</f>
        <v>Average</v>
      </c>
      <c r="T2747" t="str">
        <f>IF(Table1[[#This Row],[Price2]]&lt;500000,"Affordable",IF(Table1[[#This Row],[Price2]]&lt;1000000,"Mid range","Luxury"))</f>
        <v>Luxury</v>
      </c>
    </row>
    <row r="2748" spans="1:20" x14ac:dyDescent="0.35">
      <c r="A2748" s="3">
        <v>1390353</v>
      </c>
      <c r="B2748" s="2" t="s">
        <v>17</v>
      </c>
      <c r="C2748">
        <v>81291</v>
      </c>
      <c r="D2748" s="2" t="s">
        <v>18</v>
      </c>
      <c r="E2748">
        <v>2</v>
      </c>
      <c r="F2748">
        <v>3</v>
      </c>
      <c r="G2748" s="4">
        <f>VALUE(SUBSTITUTE(SUBSTITUTE(Table1[[#This Row],[Price]],"$",""),",",""))</f>
        <v>1390353</v>
      </c>
      <c r="H2748" s="1">
        <f>Table1[[#This Row],[Price2]]/Table1[[#This Row],[Area]]</f>
        <v>613.84238410596026</v>
      </c>
      <c r="I2748">
        <v>2265</v>
      </c>
      <c r="J2748">
        <v>2009</v>
      </c>
      <c r="K2748">
        <v>39</v>
      </c>
      <c r="L2748" t="s">
        <v>14</v>
      </c>
      <c r="M2748" t="s">
        <v>1105</v>
      </c>
      <c r="N2748" s="2" t="s">
        <v>3027</v>
      </c>
      <c r="O2748" t="s">
        <v>3028</v>
      </c>
      <c r="P2748" t="s">
        <v>26</v>
      </c>
      <c r="Q2748">
        <v>613.84238410596026</v>
      </c>
      <c r="R2748">
        <f ca="1">YEAR(TODAY())-Table1[[#This Row],[Year Built]]</f>
        <v>17</v>
      </c>
      <c r="S2748" t="str">
        <f>IF(Table1[[#This Row],[Days on Market]] &lt; 30,"Fast",IF(Table1[[#This Row],[Days on Market]]&lt;= 90,"Average", "Slow"))</f>
        <v>Average</v>
      </c>
      <c r="T2748" t="str">
        <f>IF(Table1[[#This Row],[Price2]]&lt;500000,"Affordable",IF(Table1[[#This Row],[Price2]]&lt;1000000,"Mid range","Luxury"))</f>
        <v>Luxury</v>
      </c>
    </row>
    <row r="2749" spans="1:20" x14ac:dyDescent="0.35">
      <c r="A2749" s="3">
        <v>1391650</v>
      </c>
      <c r="B2749" s="2" t="s">
        <v>34</v>
      </c>
      <c r="C2749">
        <v>75736</v>
      </c>
      <c r="D2749" s="2" t="s">
        <v>18</v>
      </c>
      <c r="E2749">
        <v>1</v>
      </c>
      <c r="F2749">
        <v>1</v>
      </c>
      <c r="G2749" s="4">
        <f>VALUE(SUBSTITUTE(SUBSTITUTE(Table1[[#This Row],[Price]],"$",""),",",""))</f>
        <v>1391650</v>
      </c>
      <c r="H2749" s="1">
        <f>Table1[[#This Row],[Price2]]/Table1[[#This Row],[Area]]</f>
        <v>1551.4492753623188</v>
      </c>
      <c r="I2749">
        <v>897</v>
      </c>
      <c r="J2749">
        <v>2010</v>
      </c>
      <c r="K2749">
        <v>28</v>
      </c>
      <c r="L2749" t="s">
        <v>19</v>
      </c>
      <c r="M2749" t="s">
        <v>1217</v>
      </c>
      <c r="N2749" s="2" t="s">
        <v>3031</v>
      </c>
      <c r="O2749" t="s">
        <v>3032</v>
      </c>
      <c r="P2749" t="s">
        <v>21</v>
      </c>
      <c r="Q2749">
        <v>1551.4492753623188</v>
      </c>
      <c r="R2749">
        <f ca="1">YEAR(TODAY())-Table1[[#This Row],[Year Built]]</f>
        <v>16</v>
      </c>
      <c r="S2749" t="str">
        <f>IF(Table1[[#This Row],[Days on Market]] &lt; 30,"Fast",IF(Table1[[#This Row],[Days on Market]]&lt;= 90,"Average", "Slow"))</f>
        <v>Fast</v>
      </c>
      <c r="T2749" t="str">
        <f>IF(Table1[[#This Row],[Price2]]&lt;500000,"Affordable",IF(Table1[[#This Row],[Price2]]&lt;1000000,"Mid range","Luxury"))</f>
        <v>Luxury</v>
      </c>
    </row>
    <row r="2750" spans="1:20" x14ac:dyDescent="0.35">
      <c r="A2750" s="3">
        <v>1392019</v>
      </c>
      <c r="B2750" s="2" t="s">
        <v>12</v>
      </c>
      <c r="C2750">
        <v>23325</v>
      </c>
      <c r="D2750" s="2" t="s">
        <v>18</v>
      </c>
      <c r="E2750">
        <v>3</v>
      </c>
      <c r="F2750">
        <v>1</v>
      </c>
      <c r="G2750" s="4">
        <f>VALUE(SUBSTITUTE(SUBSTITUTE(Table1[[#This Row],[Price]],"$",""),",",""))</f>
        <v>1392019</v>
      </c>
      <c r="H2750" s="1">
        <f>Table1[[#This Row],[Price2]]/Table1[[#This Row],[Area]]</f>
        <v>1946.8797202797202</v>
      </c>
      <c r="I2750">
        <v>715</v>
      </c>
      <c r="J2750">
        <v>2018</v>
      </c>
      <c r="K2750">
        <v>68</v>
      </c>
      <c r="L2750" t="s">
        <v>19</v>
      </c>
      <c r="M2750" t="s">
        <v>2302</v>
      </c>
      <c r="N2750" s="2" t="s">
        <v>3033</v>
      </c>
      <c r="O2750" t="s">
        <v>3034</v>
      </c>
      <c r="P2750" t="s">
        <v>21</v>
      </c>
      <c r="Q2750">
        <v>1946.8797202797202</v>
      </c>
      <c r="R2750">
        <f ca="1">YEAR(TODAY())-Table1[[#This Row],[Year Built]]</f>
        <v>8</v>
      </c>
      <c r="S2750" t="str">
        <f>IF(Table1[[#This Row],[Days on Market]] &lt; 30,"Fast",IF(Table1[[#This Row],[Days on Market]]&lt;= 90,"Average", "Slow"))</f>
        <v>Average</v>
      </c>
      <c r="T2750" t="str">
        <f>IF(Table1[[#This Row],[Price2]]&lt;500000,"Affordable",IF(Table1[[#This Row],[Price2]]&lt;1000000,"Mid range","Luxury"))</f>
        <v>Luxury</v>
      </c>
    </row>
    <row r="2751" spans="1:20" x14ac:dyDescent="0.35">
      <c r="A2751" s="3">
        <v>1392133</v>
      </c>
      <c r="B2751" s="2" t="s">
        <v>34</v>
      </c>
      <c r="C2751">
        <v>87961</v>
      </c>
      <c r="D2751" s="2" t="s">
        <v>29</v>
      </c>
      <c r="E2751">
        <v>4</v>
      </c>
      <c r="F2751">
        <v>1</v>
      </c>
      <c r="G2751" s="4">
        <f>VALUE(SUBSTITUTE(SUBSTITUTE(Table1[[#This Row],[Price]],"$",""),",",""))</f>
        <v>1392133</v>
      </c>
      <c r="H2751" s="1">
        <f>Table1[[#This Row],[Price2]]/Table1[[#This Row],[Area]]</f>
        <v>576.21399006622516</v>
      </c>
      <c r="I2751">
        <v>2416</v>
      </c>
      <c r="J2751">
        <v>2018</v>
      </c>
      <c r="K2751">
        <v>16</v>
      </c>
      <c r="L2751" t="s">
        <v>40</v>
      </c>
      <c r="M2751" t="s">
        <v>1353</v>
      </c>
      <c r="N2751" s="2" t="s">
        <v>3035</v>
      </c>
      <c r="O2751" t="s">
        <v>3036</v>
      </c>
      <c r="P2751" t="s">
        <v>21</v>
      </c>
      <c r="Q2751">
        <v>576.21399006622516</v>
      </c>
      <c r="R2751">
        <f ca="1">YEAR(TODAY())-Table1[[#This Row],[Year Built]]</f>
        <v>8</v>
      </c>
      <c r="S2751" t="str">
        <f>IF(Table1[[#This Row],[Days on Market]] &lt; 30,"Fast",IF(Table1[[#This Row],[Days on Market]]&lt;= 90,"Average", "Slow"))</f>
        <v>Fast</v>
      </c>
      <c r="T2751" t="str">
        <f>IF(Table1[[#This Row],[Price2]]&lt;500000,"Affordable",IF(Table1[[#This Row],[Price2]]&lt;1000000,"Mid range","Luxury"))</f>
        <v>Luxury</v>
      </c>
    </row>
    <row r="2752" spans="1:20" x14ac:dyDescent="0.35">
      <c r="A2752" s="3">
        <v>1392483</v>
      </c>
      <c r="B2752" s="2" t="s">
        <v>34</v>
      </c>
      <c r="C2752">
        <v>29839</v>
      </c>
      <c r="D2752" s="2" t="s">
        <v>23</v>
      </c>
      <c r="E2752">
        <v>4</v>
      </c>
      <c r="F2752">
        <v>1</v>
      </c>
      <c r="G2752" s="4">
        <f>VALUE(SUBSTITUTE(SUBSTITUTE(Table1[[#This Row],[Price]],"$",""),",",""))</f>
        <v>1392483</v>
      </c>
      <c r="H2752" s="1">
        <f>Table1[[#This Row],[Price2]]/Table1[[#This Row],[Area]]</f>
        <v>1245.5125223613595</v>
      </c>
      <c r="I2752">
        <v>1118</v>
      </c>
      <c r="J2752">
        <v>2012</v>
      </c>
      <c r="K2752">
        <v>57</v>
      </c>
      <c r="L2752" t="s">
        <v>14</v>
      </c>
      <c r="M2752" t="s">
        <v>2039</v>
      </c>
      <c r="N2752" s="2" t="s">
        <v>3027</v>
      </c>
      <c r="O2752" t="s">
        <v>3028</v>
      </c>
      <c r="P2752" t="s">
        <v>26</v>
      </c>
      <c r="Q2752">
        <v>1245.5125223613595</v>
      </c>
      <c r="R2752">
        <f ca="1">YEAR(TODAY())-Table1[[#This Row],[Year Built]]</f>
        <v>14</v>
      </c>
      <c r="S2752" t="str">
        <f>IF(Table1[[#This Row],[Days on Market]] &lt; 30,"Fast",IF(Table1[[#This Row],[Days on Market]]&lt;= 90,"Average", "Slow"))</f>
        <v>Average</v>
      </c>
      <c r="T2752" t="str">
        <f>IF(Table1[[#This Row],[Price2]]&lt;500000,"Affordable",IF(Table1[[#This Row],[Price2]]&lt;1000000,"Mid range","Luxury"))</f>
        <v>Luxury</v>
      </c>
    </row>
    <row r="2753" spans="1:20" x14ac:dyDescent="0.35">
      <c r="A2753" s="3">
        <v>1394289</v>
      </c>
      <c r="B2753" s="2" t="s">
        <v>27</v>
      </c>
      <c r="C2753">
        <v>47210</v>
      </c>
      <c r="D2753" s="2" t="s">
        <v>13</v>
      </c>
      <c r="E2753">
        <v>2</v>
      </c>
      <c r="F2753">
        <v>1</v>
      </c>
      <c r="G2753" s="4">
        <f>VALUE(SUBSTITUTE(SUBSTITUTE(Table1[[#This Row],[Price]],"$",""),",",""))</f>
        <v>1394289</v>
      </c>
      <c r="H2753" s="1">
        <f>Table1[[#This Row],[Price2]]/Table1[[#This Row],[Area]]</f>
        <v>510.72857142857146</v>
      </c>
      <c r="I2753">
        <v>2730</v>
      </c>
      <c r="J2753">
        <v>1977</v>
      </c>
      <c r="K2753">
        <v>111</v>
      </c>
      <c r="L2753" t="s">
        <v>52</v>
      </c>
      <c r="M2753" t="s">
        <v>1744</v>
      </c>
      <c r="N2753" s="2" t="s">
        <v>3027</v>
      </c>
      <c r="O2753" t="s">
        <v>3028</v>
      </c>
      <c r="P2753" t="s">
        <v>16</v>
      </c>
      <c r="Q2753">
        <v>510.72857142857146</v>
      </c>
      <c r="R2753">
        <f ca="1">YEAR(TODAY())-Table1[[#This Row],[Year Built]]</f>
        <v>49</v>
      </c>
      <c r="S2753" t="str">
        <f>IF(Table1[[#This Row],[Days on Market]] &lt; 30,"Fast",IF(Table1[[#This Row],[Days on Market]]&lt;= 90,"Average", "Slow"))</f>
        <v>Slow</v>
      </c>
      <c r="T2753" t="str">
        <f>IF(Table1[[#This Row],[Price2]]&lt;500000,"Affordable",IF(Table1[[#This Row],[Price2]]&lt;1000000,"Mid range","Luxury"))</f>
        <v>Luxury</v>
      </c>
    </row>
    <row r="2754" spans="1:20" x14ac:dyDescent="0.35">
      <c r="A2754" s="3">
        <v>1394343</v>
      </c>
      <c r="B2754" s="2" t="s">
        <v>12</v>
      </c>
      <c r="C2754">
        <v>65461</v>
      </c>
      <c r="D2754" s="2" t="s">
        <v>29</v>
      </c>
      <c r="E2754">
        <v>2</v>
      </c>
      <c r="F2754">
        <v>2</v>
      </c>
      <c r="G2754" s="4">
        <f>VALUE(SUBSTITUTE(SUBSTITUTE(Table1[[#This Row],[Price]],"$",""),",",""))</f>
        <v>1394343</v>
      </c>
      <c r="H2754" s="1">
        <f>Table1[[#This Row],[Price2]]/Table1[[#This Row],[Area]]</f>
        <v>952.42008196721315</v>
      </c>
      <c r="I2754">
        <v>1464</v>
      </c>
      <c r="J2754">
        <v>1992</v>
      </c>
      <c r="K2754">
        <v>70</v>
      </c>
      <c r="L2754" t="s">
        <v>40</v>
      </c>
      <c r="M2754" t="s">
        <v>524</v>
      </c>
      <c r="N2754" s="2" t="s">
        <v>3027</v>
      </c>
      <c r="O2754" t="s">
        <v>3028</v>
      </c>
      <c r="P2754" t="s">
        <v>26</v>
      </c>
      <c r="Q2754">
        <v>952.42008196721315</v>
      </c>
      <c r="R2754">
        <f ca="1">YEAR(TODAY())-Table1[[#This Row],[Year Built]]</f>
        <v>34</v>
      </c>
      <c r="S2754" t="str">
        <f>IF(Table1[[#This Row],[Days on Market]] &lt; 30,"Fast",IF(Table1[[#This Row],[Days on Market]]&lt;= 90,"Average", "Slow"))</f>
        <v>Average</v>
      </c>
      <c r="T2754" t="str">
        <f>IF(Table1[[#This Row],[Price2]]&lt;500000,"Affordable",IF(Table1[[#This Row],[Price2]]&lt;1000000,"Mid range","Luxury"))</f>
        <v>Luxury</v>
      </c>
    </row>
    <row r="2755" spans="1:20" x14ac:dyDescent="0.35">
      <c r="A2755" s="3">
        <v>1394784</v>
      </c>
      <c r="B2755" s="2" t="s">
        <v>17</v>
      </c>
      <c r="C2755">
        <v>85937</v>
      </c>
      <c r="D2755" s="2" t="s">
        <v>35</v>
      </c>
      <c r="E2755">
        <v>4</v>
      </c>
      <c r="F2755">
        <v>3</v>
      </c>
      <c r="G2755" s="4">
        <f>VALUE(SUBSTITUTE(SUBSTITUTE(Table1[[#This Row],[Price]],"$",""),",",""))</f>
        <v>1394784</v>
      </c>
      <c r="H2755" s="1">
        <f>Table1[[#This Row],[Price2]]/Table1[[#This Row],[Area]]</f>
        <v>1926.4972375690609</v>
      </c>
      <c r="I2755">
        <v>724</v>
      </c>
      <c r="J2755">
        <v>1977</v>
      </c>
      <c r="K2755">
        <v>94</v>
      </c>
      <c r="L2755" t="s">
        <v>52</v>
      </c>
      <c r="M2755" t="s">
        <v>1218</v>
      </c>
      <c r="N2755" s="2" t="s">
        <v>3031</v>
      </c>
      <c r="O2755" t="s">
        <v>3032</v>
      </c>
      <c r="P2755" t="s">
        <v>21</v>
      </c>
      <c r="Q2755">
        <v>1926.4972375690609</v>
      </c>
      <c r="R2755">
        <f ca="1">YEAR(TODAY())-Table1[[#This Row],[Year Built]]</f>
        <v>49</v>
      </c>
      <c r="S2755" t="str">
        <f>IF(Table1[[#This Row],[Days on Market]] &lt; 30,"Fast",IF(Table1[[#This Row],[Days on Market]]&lt;= 90,"Average", "Slow"))</f>
        <v>Slow</v>
      </c>
      <c r="T2755" t="str">
        <f>IF(Table1[[#This Row],[Price2]]&lt;500000,"Affordable",IF(Table1[[#This Row],[Price2]]&lt;1000000,"Mid range","Luxury"))</f>
        <v>Luxury</v>
      </c>
    </row>
    <row r="2756" spans="1:20" x14ac:dyDescent="0.35">
      <c r="A2756" s="3">
        <v>1395131</v>
      </c>
      <c r="B2756" s="2" t="s">
        <v>27</v>
      </c>
      <c r="C2756">
        <v>93832</v>
      </c>
      <c r="D2756" s="2" t="s">
        <v>29</v>
      </c>
      <c r="E2756">
        <v>2</v>
      </c>
      <c r="F2756">
        <v>2</v>
      </c>
      <c r="G2756" s="4">
        <f>VALUE(SUBSTITUTE(SUBSTITUTE(Table1[[#This Row],[Price]],"$",""),",",""))</f>
        <v>1395131</v>
      </c>
      <c r="H2756" s="1">
        <f>Table1[[#This Row],[Price2]]/Table1[[#This Row],[Area]]</f>
        <v>435.84223680099967</v>
      </c>
      <c r="I2756">
        <v>3201</v>
      </c>
      <c r="J2756">
        <v>2022</v>
      </c>
      <c r="K2756">
        <v>1</v>
      </c>
      <c r="L2756" t="s">
        <v>14</v>
      </c>
      <c r="M2756" t="s">
        <v>2565</v>
      </c>
      <c r="N2756" s="2" t="s">
        <v>3035</v>
      </c>
      <c r="O2756" t="s">
        <v>3036</v>
      </c>
      <c r="P2756" t="s">
        <v>16</v>
      </c>
      <c r="Q2756">
        <v>435.84223680099967</v>
      </c>
      <c r="R2756">
        <f ca="1">YEAR(TODAY())-Table1[[#This Row],[Year Built]]</f>
        <v>4</v>
      </c>
      <c r="S2756" t="str">
        <f>IF(Table1[[#This Row],[Days on Market]] &lt; 30,"Fast",IF(Table1[[#This Row],[Days on Market]]&lt;= 90,"Average", "Slow"))</f>
        <v>Fast</v>
      </c>
      <c r="T2756" t="str">
        <f>IF(Table1[[#This Row],[Price2]]&lt;500000,"Affordable",IF(Table1[[#This Row],[Price2]]&lt;1000000,"Mid range","Luxury"))</f>
        <v>Luxury</v>
      </c>
    </row>
    <row r="2757" spans="1:20" x14ac:dyDescent="0.35">
      <c r="A2757" s="3">
        <v>1395740</v>
      </c>
      <c r="B2757" s="2" t="s">
        <v>12</v>
      </c>
      <c r="C2757">
        <v>37975</v>
      </c>
      <c r="D2757" s="2" t="s">
        <v>13</v>
      </c>
      <c r="E2757">
        <v>5</v>
      </c>
      <c r="F2757">
        <v>3</v>
      </c>
      <c r="G2757" s="4">
        <f>VALUE(SUBSTITUTE(SUBSTITUTE(Table1[[#This Row],[Price]],"$",""),",",""))</f>
        <v>1395740</v>
      </c>
      <c r="H2757" s="1">
        <f>Table1[[#This Row],[Price2]]/Table1[[#This Row],[Area]]</f>
        <v>387.49028317601335</v>
      </c>
      <c r="I2757">
        <v>3602</v>
      </c>
      <c r="J2757">
        <v>2005</v>
      </c>
      <c r="K2757">
        <v>92</v>
      </c>
      <c r="L2757" t="s">
        <v>52</v>
      </c>
      <c r="M2757" t="s">
        <v>1120</v>
      </c>
      <c r="N2757" s="2" t="s">
        <v>3027</v>
      </c>
      <c r="O2757" t="s">
        <v>3028</v>
      </c>
      <c r="P2757" t="s">
        <v>21</v>
      </c>
      <c r="Q2757">
        <v>387.49028317601335</v>
      </c>
      <c r="R2757">
        <f ca="1">YEAR(TODAY())-Table1[[#This Row],[Year Built]]</f>
        <v>21</v>
      </c>
      <c r="S2757" t="str">
        <f>IF(Table1[[#This Row],[Days on Market]] &lt; 30,"Fast",IF(Table1[[#This Row],[Days on Market]]&lt;= 90,"Average", "Slow"))</f>
        <v>Slow</v>
      </c>
      <c r="T2757" t="str">
        <f>IF(Table1[[#This Row],[Price2]]&lt;500000,"Affordable",IF(Table1[[#This Row],[Price2]]&lt;1000000,"Mid range","Luxury"))</f>
        <v>Luxury</v>
      </c>
    </row>
    <row r="2758" spans="1:20" x14ac:dyDescent="0.35">
      <c r="A2758" s="3">
        <v>1395917</v>
      </c>
      <c r="B2758" s="2" t="s">
        <v>34</v>
      </c>
      <c r="C2758">
        <v>66767</v>
      </c>
      <c r="D2758" s="2" t="s">
        <v>13</v>
      </c>
      <c r="E2758">
        <v>3</v>
      </c>
      <c r="F2758">
        <v>1</v>
      </c>
      <c r="G2758" s="4">
        <f>VALUE(SUBSTITUTE(SUBSTITUTE(Table1[[#This Row],[Price]],"$",""),",",""))</f>
        <v>1395917</v>
      </c>
      <c r="H2758" s="1">
        <f>Table1[[#This Row],[Price2]]/Table1[[#This Row],[Area]]</f>
        <v>2014.3102453102454</v>
      </c>
      <c r="I2758">
        <v>693</v>
      </c>
      <c r="J2758">
        <v>1991</v>
      </c>
      <c r="K2758">
        <v>12</v>
      </c>
      <c r="L2758" t="s">
        <v>52</v>
      </c>
      <c r="M2758" t="s">
        <v>2303</v>
      </c>
      <c r="N2758" s="2" t="s">
        <v>3033</v>
      </c>
      <c r="O2758" t="s">
        <v>3034</v>
      </c>
      <c r="P2758" t="s">
        <v>26</v>
      </c>
      <c r="Q2758">
        <v>2014.3102453102454</v>
      </c>
      <c r="R2758">
        <f ca="1">YEAR(TODAY())-Table1[[#This Row],[Year Built]]</f>
        <v>35</v>
      </c>
      <c r="S2758" t="str">
        <f>IF(Table1[[#This Row],[Days on Market]] &lt; 30,"Fast",IF(Table1[[#This Row],[Days on Market]]&lt;= 90,"Average", "Slow"))</f>
        <v>Fast</v>
      </c>
      <c r="T2758" t="str">
        <f>IF(Table1[[#This Row],[Price2]]&lt;500000,"Affordable",IF(Table1[[#This Row],[Price2]]&lt;1000000,"Mid range","Luxury"))</f>
        <v>Luxury</v>
      </c>
    </row>
    <row r="2759" spans="1:20" x14ac:dyDescent="0.35">
      <c r="A2759" s="3">
        <v>1396414</v>
      </c>
      <c r="B2759" s="2" t="s">
        <v>17</v>
      </c>
      <c r="C2759">
        <v>65847</v>
      </c>
      <c r="D2759" s="2" t="s">
        <v>18</v>
      </c>
      <c r="E2759">
        <v>5</v>
      </c>
      <c r="F2759">
        <v>4</v>
      </c>
      <c r="G2759" s="4">
        <f>VALUE(SUBSTITUTE(SUBSTITUTE(Table1[[#This Row],[Price]],"$",""),",",""))</f>
        <v>1396414</v>
      </c>
      <c r="H2759" s="1">
        <f>Table1[[#This Row],[Price2]]/Table1[[#This Row],[Area]]</f>
        <v>1619.9698375870069</v>
      </c>
      <c r="I2759">
        <v>862</v>
      </c>
      <c r="J2759">
        <v>1968</v>
      </c>
      <c r="K2759">
        <v>41</v>
      </c>
      <c r="L2759" t="s">
        <v>30</v>
      </c>
      <c r="M2759" t="s">
        <v>583</v>
      </c>
      <c r="N2759" s="2" t="s">
        <v>3033</v>
      </c>
      <c r="O2759" t="s">
        <v>3034</v>
      </c>
      <c r="P2759" t="s">
        <v>26</v>
      </c>
      <c r="Q2759">
        <v>1619.9698375870069</v>
      </c>
      <c r="R2759">
        <f ca="1">YEAR(TODAY())-Table1[[#This Row],[Year Built]]</f>
        <v>58</v>
      </c>
      <c r="S2759" t="str">
        <f>IF(Table1[[#This Row],[Days on Market]] &lt; 30,"Fast",IF(Table1[[#This Row],[Days on Market]]&lt;= 90,"Average", "Slow"))</f>
        <v>Average</v>
      </c>
      <c r="T2759" t="str">
        <f>IF(Table1[[#This Row],[Price2]]&lt;500000,"Affordable",IF(Table1[[#This Row],[Price2]]&lt;1000000,"Mid range","Luxury"))</f>
        <v>Luxury</v>
      </c>
    </row>
    <row r="2760" spans="1:20" x14ac:dyDescent="0.35">
      <c r="A2760" s="3">
        <v>1396517</v>
      </c>
      <c r="B2760" s="2" t="s">
        <v>22</v>
      </c>
      <c r="C2760">
        <v>21619</v>
      </c>
      <c r="D2760" s="2" t="s">
        <v>29</v>
      </c>
      <c r="E2760">
        <v>3</v>
      </c>
      <c r="F2760">
        <v>2</v>
      </c>
      <c r="G2760" s="4">
        <f>VALUE(SUBSTITUTE(SUBSTITUTE(Table1[[#This Row],[Price]],"$",""),",",""))</f>
        <v>1396517</v>
      </c>
      <c r="H2760" s="1">
        <f>Table1[[#This Row],[Price2]]/Table1[[#This Row],[Area]]</f>
        <v>590.49344608879494</v>
      </c>
      <c r="I2760">
        <v>2365</v>
      </c>
      <c r="J2760">
        <v>1992</v>
      </c>
      <c r="K2760">
        <v>59</v>
      </c>
      <c r="L2760" t="s">
        <v>14</v>
      </c>
      <c r="M2760" t="s">
        <v>931</v>
      </c>
      <c r="N2760" s="2" t="s">
        <v>3035</v>
      </c>
      <c r="O2760" t="s">
        <v>3036</v>
      </c>
      <c r="P2760" t="s">
        <v>21</v>
      </c>
      <c r="Q2760">
        <v>590.49344608879494</v>
      </c>
      <c r="R2760">
        <f ca="1">YEAR(TODAY())-Table1[[#This Row],[Year Built]]</f>
        <v>34</v>
      </c>
      <c r="S2760" t="str">
        <f>IF(Table1[[#This Row],[Days on Market]] &lt; 30,"Fast",IF(Table1[[#This Row],[Days on Market]]&lt;= 90,"Average", "Slow"))</f>
        <v>Average</v>
      </c>
      <c r="T2760" t="str">
        <f>IF(Table1[[#This Row],[Price2]]&lt;500000,"Affordable",IF(Table1[[#This Row],[Price2]]&lt;1000000,"Mid range","Luxury"))</f>
        <v>Luxury</v>
      </c>
    </row>
    <row r="2761" spans="1:20" x14ac:dyDescent="0.35">
      <c r="A2761" s="3">
        <v>1396812</v>
      </c>
      <c r="B2761" s="2" t="s">
        <v>22</v>
      </c>
      <c r="C2761">
        <v>41371</v>
      </c>
      <c r="D2761" s="2" t="s">
        <v>23</v>
      </c>
      <c r="E2761">
        <v>2</v>
      </c>
      <c r="F2761">
        <v>3</v>
      </c>
      <c r="G2761" s="4">
        <f>VALUE(SUBSTITUTE(SUBSTITUTE(Table1[[#This Row],[Price]],"$",""),",",""))</f>
        <v>1396812</v>
      </c>
      <c r="H2761" s="1">
        <f>Table1[[#This Row],[Price2]]/Table1[[#This Row],[Area]]</f>
        <v>650.89095992544264</v>
      </c>
      <c r="I2761">
        <v>2146</v>
      </c>
      <c r="J2761">
        <v>2013</v>
      </c>
      <c r="K2761">
        <v>36</v>
      </c>
      <c r="L2761" t="s">
        <v>52</v>
      </c>
      <c r="M2761" t="s">
        <v>2393</v>
      </c>
      <c r="N2761" s="2" t="s">
        <v>3027</v>
      </c>
      <c r="O2761" t="s">
        <v>3028</v>
      </c>
      <c r="P2761" t="s">
        <v>26</v>
      </c>
      <c r="Q2761">
        <v>650.89095992544264</v>
      </c>
      <c r="R2761">
        <f ca="1">YEAR(TODAY())-Table1[[#This Row],[Year Built]]</f>
        <v>13</v>
      </c>
      <c r="S2761" t="str">
        <f>IF(Table1[[#This Row],[Days on Market]] &lt; 30,"Fast",IF(Table1[[#This Row],[Days on Market]]&lt;= 90,"Average", "Slow"))</f>
        <v>Average</v>
      </c>
      <c r="T2761" t="str">
        <f>IF(Table1[[#This Row],[Price2]]&lt;500000,"Affordable",IF(Table1[[#This Row],[Price2]]&lt;1000000,"Mid range","Luxury"))</f>
        <v>Luxury</v>
      </c>
    </row>
    <row r="2762" spans="1:20" x14ac:dyDescent="0.35">
      <c r="A2762" s="3">
        <v>1397853</v>
      </c>
      <c r="B2762" s="2" t="s">
        <v>27</v>
      </c>
      <c r="C2762">
        <v>61754</v>
      </c>
      <c r="D2762" s="2" t="s">
        <v>18</v>
      </c>
      <c r="E2762">
        <v>1</v>
      </c>
      <c r="F2762">
        <v>2</v>
      </c>
      <c r="G2762" s="4">
        <f>VALUE(SUBSTITUTE(SUBSTITUTE(Table1[[#This Row],[Price]],"$",""),",",""))</f>
        <v>1397853</v>
      </c>
      <c r="H2762" s="1">
        <f>Table1[[#This Row],[Price2]]/Table1[[#This Row],[Area]]</f>
        <v>1086.9774494556766</v>
      </c>
      <c r="I2762">
        <v>1286</v>
      </c>
      <c r="J2762">
        <v>1993</v>
      </c>
      <c r="K2762">
        <v>4</v>
      </c>
      <c r="L2762" t="s">
        <v>52</v>
      </c>
      <c r="M2762" t="s">
        <v>687</v>
      </c>
      <c r="N2762" s="2" t="s">
        <v>3035</v>
      </c>
      <c r="O2762" t="s">
        <v>3036</v>
      </c>
      <c r="P2762" t="s">
        <v>21</v>
      </c>
      <c r="Q2762">
        <v>1086.9774494556766</v>
      </c>
      <c r="R2762">
        <f ca="1">YEAR(TODAY())-Table1[[#This Row],[Year Built]]</f>
        <v>33</v>
      </c>
      <c r="S2762" t="str">
        <f>IF(Table1[[#This Row],[Days on Market]] &lt; 30,"Fast",IF(Table1[[#This Row],[Days on Market]]&lt;= 90,"Average", "Slow"))</f>
        <v>Fast</v>
      </c>
      <c r="T2762" t="str">
        <f>IF(Table1[[#This Row],[Price2]]&lt;500000,"Affordable",IF(Table1[[#This Row],[Price2]]&lt;1000000,"Mid range","Luxury"))</f>
        <v>Luxury</v>
      </c>
    </row>
    <row r="2763" spans="1:20" x14ac:dyDescent="0.35">
      <c r="A2763" s="3">
        <v>1399032</v>
      </c>
      <c r="B2763" s="2" t="s">
        <v>17</v>
      </c>
      <c r="C2763">
        <v>19237</v>
      </c>
      <c r="D2763" s="2" t="s">
        <v>18</v>
      </c>
      <c r="E2763">
        <v>4</v>
      </c>
      <c r="F2763">
        <v>3</v>
      </c>
      <c r="G2763" s="4">
        <f>VALUE(SUBSTITUTE(SUBSTITUTE(Table1[[#This Row],[Price]],"$",""),",",""))</f>
        <v>1399032</v>
      </c>
      <c r="H2763" s="1">
        <f>Table1[[#This Row],[Price2]]/Table1[[#This Row],[Area]]</f>
        <v>852.54844606946983</v>
      </c>
      <c r="I2763">
        <v>1641</v>
      </c>
      <c r="J2763">
        <v>2020</v>
      </c>
      <c r="K2763">
        <v>52</v>
      </c>
      <c r="L2763" t="s">
        <v>19</v>
      </c>
      <c r="M2763" t="s">
        <v>404</v>
      </c>
      <c r="N2763" s="2" t="s">
        <v>3033</v>
      </c>
      <c r="O2763" t="s">
        <v>3034</v>
      </c>
      <c r="P2763" t="s">
        <v>16</v>
      </c>
      <c r="Q2763">
        <v>852.54844606946983</v>
      </c>
      <c r="R2763">
        <f ca="1">YEAR(TODAY())-Table1[[#This Row],[Year Built]]</f>
        <v>6</v>
      </c>
      <c r="S2763" t="str">
        <f>IF(Table1[[#This Row],[Days on Market]] &lt; 30,"Fast",IF(Table1[[#This Row],[Days on Market]]&lt;= 90,"Average", "Slow"))</f>
        <v>Average</v>
      </c>
      <c r="T2763" t="str">
        <f>IF(Table1[[#This Row],[Price2]]&lt;500000,"Affordable",IF(Table1[[#This Row],[Price2]]&lt;1000000,"Mid range","Luxury"))</f>
        <v>Luxury</v>
      </c>
    </row>
    <row r="2764" spans="1:20" x14ac:dyDescent="0.35">
      <c r="A2764" s="3">
        <v>1399592</v>
      </c>
      <c r="B2764" s="2" t="s">
        <v>34</v>
      </c>
      <c r="C2764">
        <v>86772</v>
      </c>
      <c r="D2764" s="2" t="s">
        <v>35</v>
      </c>
      <c r="E2764">
        <v>3</v>
      </c>
      <c r="F2764">
        <v>3</v>
      </c>
      <c r="G2764" s="4">
        <f>VALUE(SUBSTITUTE(SUBSTITUTE(Table1[[#This Row],[Price]],"$",""),",",""))</f>
        <v>1399592</v>
      </c>
      <c r="H2764" s="1">
        <f>Table1[[#This Row],[Price2]]/Table1[[#This Row],[Area]]</f>
        <v>664.25818699572858</v>
      </c>
      <c r="I2764">
        <v>2107</v>
      </c>
      <c r="J2764">
        <v>1974</v>
      </c>
      <c r="K2764">
        <v>41</v>
      </c>
      <c r="L2764" t="s">
        <v>52</v>
      </c>
      <c r="M2764" t="s">
        <v>211</v>
      </c>
      <c r="N2764" s="2" t="s">
        <v>3029</v>
      </c>
      <c r="O2764" t="s">
        <v>3030</v>
      </c>
      <c r="P2764" t="s">
        <v>16</v>
      </c>
      <c r="Q2764">
        <v>664.25818699572858</v>
      </c>
      <c r="R2764">
        <f ca="1">YEAR(TODAY())-Table1[[#This Row],[Year Built]]</f>
        <v>52</v>
      </c>
      <c r="S2764" t="str">
        <f>IF(Table1[[#This Row],[Days on Market]] &lt; 30,"Fast",IF(Table1[[#This Row],[Days on Market]]&lt;= 90,"Average", "Slow"))</f>
        <v>Average</v>
      </c>
      <c r="T2764" t="str">
        <f>IF(Table1[[#This Row],[Price2]]&lt;500000,"Affordable",IF(Table1[[#This Row],[Price2]]&lt;1000000,"Mid range","Luxury"))</f>
        <v>Luxury</v>
      </c>
    </row>
    <row r="2765" spans="1:20" x14ac:dyDescent="0.35">
      <c r="A2765" s="3">
        <v>1399813</v>
      </c>
      <c r="B2765" s="2" t="s">
        <v>27</v>
      </c>
      <c r="C2765">
        <v>59912</v>
      </c>
      <c r="D2765" s="2" t="s">
        <v>35</v>
      </c>
      <c r="E2765">
        <v>1</v>
      </c>
      <c r="F2765">
        <v>2</v>
      </c>
      <c r="G2765" s="4">
        <f>VALUE(SUBSTITUTE(SUBSTITUTE(Table1[[#This Row],[Price]],"$",""),",",""))</f>
        <v>1399813</v>
      </c>
      <c r="H2765" s="1">
        <f>Table1[[#This Row],[Price2]]/Table1[[#This Row],[Area]]</f>
        <v>1928.1170798898072</v>
      </c>
      <c r="I2765">
        <v>726</v>
      </c>
      <c r="J2765">
        <v>1957</v>
      </c>
      <c r="K2765">
        <v>38</v>
      </c>
      <c r="L2765" t="s">
        <v>30</v>
      </c>
      <c r="M2765" t="s">
        <v>277</v>
      </c>
      <c r="N2765" s="2" t="s">
        <v>3027</v>
      </c>
      <c r="O2765" t="s">
        <v>3028</v>
      </c>
      <c r="P2765" t="s">
        <v>26</v>
      </c>
      <c r="Q2765">
        <v>1928.1170798898072</v>
      </c>
      <c r="R2765">
        <f ca="1">YEAR(TODAY())-Table1[[#This Row],[Year Built]]</f>
        <v>69</v>
      </c>
      <c r="S2765" t="str">
        <f>IF(Table1[[#This Row],[Days on Market]] &lt; 30,"Fast",IF(Table1[[#This Row],[Days on Market]]&lt;= 90,"Average", "Slow"))</f>
        <v>Average</v>
      </c>
      <c r="T2765" t="str">
        <f>IF(Table1[[#This Row],[Price2]]&lt;500000,"Affordable",IF(Table1[[#This Row],[Price2]]&lt;1000000,"Mid range","Luxury"))</f>
        <v>Luxury</v>
      </c>
    </row>
    <row r="2766" spans="1:20" x14ac:dyDescent="0.35">
      <c r="A2766" s="3">
        <v>1400044</v>
      </c>
      <c r="B2766" s="2" t="s">
        <v>22</v>
      </c>
      <c r="C2766">
        <v>26044</v>
      </c>
      <c r="D2766" s="2" t="s">
        <v>23</v>
      </c>
      <c r="E2766">
        <v>5</v>
      </c>
      <c r="F2766">
        <v>1</v>
      </c>
      <c r="G2766" s="4">
        <f>VALUE(SUBSTITUTE(SUBSTITUTE(Table1[[#This Row],[Price]],"$",""),",",""))</f>
        <v>1400044</v>
      </c>
      <c r="H2766" s="1">
        <f>Table1[[#This Row],[Price2]]/Table1[[#This Row],[Area]]</f>
        <v>648.16851851851857</v>
      </c>
      <c r="I2766">
        <v>2160</v>
      </c>
      <c r="J2766">
        <v>1953</v>
      </c>
      <c r="K2766">
        <v>57</v>
      </c>
      <c r="L2766" t="s">
        <v>40</v>
      </c>
      <c r="M2766" t="s">
        <v>817</v>
      </c>
      <c r="N2766" s="2" t="s">
        <v>3035</v>
      </c>
      <c r="O2766" t="s">
        <v>3036</v>
      </c>
      <c r="P2766" t="s">
        <v>21</v>
      </c>
      <c r="Q2766">
        <v>648.16851851851857</v>
      </c>
      <c r="R2766">
        <f ca="1">YEAR(TODAY())-Table1[[#This Row],[Year Built]]</f>
        <v>73</v>
      </c>
      <c r="S2766" t="str">
        <f>IF(Table1[[#This Row],[Days on Market]] &lt; 30,"Fast",IF(Table1[[#This Row],[Days on Market]]&lt;= 90,"Average", "Slow"))</f>
        <v>Average</v>
      </c>
      <c r="T2766" t="str">
        <f>IF(Table1[[#This Row],[Price2]]&lt;500000,"Affordable",IF(Table1[[#This Row],[Price2]]&lt;1000000,"Mid range","Luxury"))</f>
        <v>Luxury</v>
      </c>
    </row>
    <row r="2767" spans="1:20" x14ac:dyDescent="0.35">
      <c r="A2767" s="3">
        <v>1400298</v>
      </c>
      <c r="B2767" s="2" t="s">
        <v>27</v>
      </c>
      <c r="C2767">
        <v>67845</v>
      </c>
      <c r="D2767" s="2" t="s">
        <v>35</v>
      </c>
      <c r="E2767">
        <v>6</v>
      </c>
      <c r="F2767">
        <v>2</v>
      </c>
      <c r="G2767" s="4">
        <f>VALUE(SUBSTITUTE(SUBSTITUTE(Table1[[#This Row],[Price]],"$",""),",",""))</f>
        <v>1400298</v>
      </c>
      <c r="H2767" s="1">
        <f>Table1[[#This Row],[Price2]]/Table1[[#This Row],[Area]]</f>
        <v>475.80632008154942</v>
      </c>
      <c r="I2767">
        <v>2943</v>
      </c>
      <c r="J2767">
        <v>1975</v>
      </c>
      <c r="K2767">
        <v>3</v>
      </c>
      <c r="L2767" t="s">
        <v>30</v>
      </c>
      <c r="M2767" t="s">
        <v>192</v>
      </c>
      <c r="N2767" s="2" t="s">
        <v>3035</v>
      </c>
      <c r="O2767" t="s">
        <v>3036</v>
      </c>
      <c r="P2767" t="s">
        <v>16</v>
      </c>
      <c r="Q2767">
        <v>475.80632008154942</v>
      </c>
      <c r="R2767">
        <f ca="1">YEAR(TODAY())-Table1[[#This Row],[Year Built]]</f>
        <v>51</v>
      </c>
      <c r="S2767" t="str">
        <f>IF(Table1[[#This Row],[Days on Market]] &lt; 30,"Fast",IF(Table1[[#This Row],[Days on Market]]&lt;= 90,"Average", "Slow"))</f>
        <v>Fast</v>
      </c>
      <c r="T2767" t="str">
        <f>IF(Table1[[#This Row],[Price2]]&lt;500000,"Affordable",IF(Table1[[#This Row],[Price2]]&lt;1000000,"Mid range","Luxury"))</f>
        <v>Luxury</v>
      </c>
    </row>
    <row r="2768" spans="1:20" x14ac:dyDescent="0.35">
      <c r="A2768" s="3">
        <v>1401287</v>
      </c>
      <c r="B2768" s="2" t="s">
        <v>27</v>
      </c>
      <c r="C2768">
        <v>89328</v>
      </c>
      <c r="D2768" s="2" t="s">
        <v>29</v>
      </c>
      <c r="E2768">
        <v>5</v>
      </c>
      <c r="F2768">
        <v>4</v>
      </c>
      <c r="G2768" s="4">
        <f>VALUE(SUBSTITUTE(SUBSTITUTE(Table1[[#This Row],[Price]],"$",""),",",""))</f>
        <v>1401287</v>
      </c>
      <c r="H2768" s="1">
        <f>Table1[[#This Row],[Price2]]/Table1[[#This Row],[Area]]</f>
        <v>1700.5910194174758</v>
      </c>
      <c r="I2768">
        <v>824</v>
      </c>
      <c r="J2768">
        <v>2008</v>
      </c>
      <c r="K2768">
        <v>64</v>
      </c>
      <c r="L2768" t="s">
        <v>19</v>
      </c>
      <c r="M2768" t="s">
        <v>69</v>
      </c>
      <c r="N2768" s="2" t="s">
        <v>3033</v>
      </c>
      <c r="O2768" t="s">
        <v>3034</v>
      </c>
      <c r="P2768" t="s">
        <v>16</v>
      </c>
      <c r="Q2768">
        <v>1700.5910194174758</v>
      </c>
      <c r="R2768">
        <f ca="1">YEAR(TODAY())-Table1[[#This Row],[Year Built]]</f>
        <v>18</v>
      </c>
      <c r="S2768" t="str">
        <f>IF(Table1[[#This Row],[Days on Market]] &lt; 30,"Fast",IF(Table1[[#This Row],[Days on Market]]&lt;= 90,"Average", "Slow"))</f>
        <v>Average</v>
      </c>
      <c r="T2768" t="str">
        <f>IF(Table1[[#This Row],[Price2]]&lt;500000,"Affordable",IF(Table1[[#This Row],[Price2]]&lt;1000000,"Mid range","Luxury"))</f>
        <v>Luxury</v>
      </c>
    </row>
    <row r="2769" spans="1:20" x14ac:dyDescent="0.35">
      <c r="A2769" s="3">
        <v>1401606</v>
      </c>
      <c r="B2769" s="2" t="s">
        <v>17</v>
      </c>
      <c r="C2769">
        <v>52083</v>
      </c>
      <c r="D2769" s="2" t="s">
        <v>29</v>
      </c>
      <c r="E2769">
        <v>3</v>
      </c>
      <c r="F2769">
        <v>4</v>
      </c>
      <c r="G2769" s="4">
        <f>VALUE(SUBSTITUTE(SUBSTITUTE(Table1[[#This Row],[Price]],"$",""),",",""))</f>
        <v>1401606</v>
      </c>
      <c r="H2769" s="1">
        <f>Table1[[#This Row],[Price2]]/Table1[[#This Row],[Area]]</f>
        <v>389.87649513212796</v>
      </c>
      <c r="I2769">
        <v>3595</v>
      </c>
      <c r="J2769">
        <v>2002</v>
      </c>
      <c r="K2769">
        <v>111</v>
      </c>
      <c r="L2769" t="s">
        <v>40</v>
      </c>
      <c r="M2769" t="s">
        <v>1301</v>
      </c>
      <c r="N2769" s="2" t="s">
        <v>3035</v>
      </c>
      <c r="O2769" t="s">
        <v>3036</v>
      </c>
      <c r="P2769" t="s">
        <v>21</v>
      </c>
      <c r="Q2769">
        <v>389.87649513212796</v>
      </c>
      <c r="R2769">
        <f ca="1">YEAR(TODAY())-Table1[[#This Row],[Year Built]]</f>
        <v>24</v>
      </c>
      <c r="S2769" t="str">
        <f>IF(Table1[[#This Row],[Days on Market]] &lt; 30,"Fast",IF(Table1[[#This Row],[Days on Market]]&lt;= 90,"Average", "Slow"))</f>
        <v>Slow</v>
      </c>
      <c r="T2769" t="str">
        <f>IF(Table1[[#This Row],[Price2]]&lt;500000,"Affordable",IF(Table1[[#This Row],[Price2]]&lt;1000000,"Mid range","Luxury"))</f>
        <v>Luxury</v>
      </c>
    </row>
    <row r="2770" spans="1:20" x14ac:dyDescent="0.35">
      <c r="A2770" s="3">
        <v>1402065</v>
      </c>
      <c r="B2770" s="2" t="s">
        <v>17</v>
      </c>
      <c r="C2770">
        <v>10445</v>
      </c>
      <c r="D2770" s="2" t="s">
        <v>29</v>
      </c>
      <c r="E2770">
        <v>6</v>
      </c>
      <c r="F2770">
        <v>1</v>
      </c>
      <c r="G2770" s="4">
        <f>VALUE(SUBSTITUTE(SUBSTITUTE(Table1[[#This Row],[Price]],"$",""),",",""))</f>
        <v>1402065</v>
      </c>
      <c r="H2770" s="1">
        <f>Table1[[#This Row],[Price2]]/Table1[[#This Row],[Area]]</f>
        <v>400.13270547945206</v>
      </c>
      <c r="I2770">
        <v>3504</v>
      </c>
      <c r="J2770">
        <v>1952</v>
      </c>
      <c r="K2770">
        <v>45</v>
      </c>
      <c r="L2770" t="s">
        <v>14</v>
      </c>
      <c r="M2770" t="s">
        <v>114</v>
      </c>
      <c r="N2770" s="2" t="s">
        <v>3027</v>
      </c>
      <c r="O2770" t="s">
        <v>3028</v>
      </c>
      <c r="P2770" t="s">
        <v>21</v>
      </c>
      <c r="Q2770">
        <v>400.13270547945206</v>
      </c>
      <c r="R2770">
        <f ca="1">YEAR(TODAY())-Table1[[#This Row],[Year Built]]</f>
        <v>74</v>
      </c>
      <c r="S2770" t="str">
        <f>IF(Table1[[#This Row],[Days on Market]] &lt; 30,"Fast",IF(Table1[[#This Row],[Days on Market]]&lt;= 90,"Average", "Slow"))</f>
        <v>Average</v>
      </c>
      <c r="T2770" t="str">
        <f>IF(Table1[[#This Row],[Price2]]&lt;500000,"Affordable",IF(Table1[[#This Row],[Price2]]&lt;1000000,"Mid range","Luxury"))</f>
        <v>Luxury</v>
      </c>
    </row>
    <row r="2771" spans="1:20" x14ac:dyDescent="0.35">
      <c r="A2771" s="3">
        <v>1402468</v>
      </c>
      <c r="B2771" s="2" t="s">
        <v>22</v>
      </c>
      <c r="C2771">
        <v>76941</v>
      </c>
      <c r="D2771" s="2" t="s">
        <v>29</v>
      </c>
      <c r="E2771">
        <v>6</v>
      </c>
      <c r="F2771">
        <v>3</v>
      </c>
      <c r="G2771" s="4">
        <f>VALUE(SUBSTITUTE(SUBSTITUTE(Table1[[#This Row],[Price]],"$",""),",",""))</f>
        <v>1402468</v>
      </c>
      <c r="H2771" s="1">
        <f>Table1[[#This Row],[Price2]]/Table1[[#This Row],[Area]]</f>
        <v>375.5940010712373</v>
      </c>
      <c r="I2771">
        <v>3734</v>
      </c>
      <c r="J2771">
        <v>1978</v>
      </c>
      <c r="K2771">
        <v>22</v>
      </c>
      <c r="L2771" t="s">
        <v>19</v>
      </c>
      <c r="M2771" t="s">
        <v>2891</v>
      </c>
      <c r="N2771" s="2" t="s">
        <v>3027</v>
      </c>
      <c r="O2771" t="s">
        <v>3028</v>
      </c>
      <c r="P2771" t="s">
        <v>21</v>
      </c>
      <c r="Q2771">
        <v>375.5940010712373</v>
      </c>
      <c r="R2771">
        <f ca="1">YEAR(TODAY())-Table1[[#This Row],[Year Built]]</f>
        <v>48</v>
      </c>
      <c r="S2771" t="str">
        <f>IF(Table1[[#This Row],[Days on Market]] &lt; 30,"Fast",IF(Table1[[#This Row],[Days on Market]]&lt;= 90,"Average", "Slow"))</f>
        <v>Fast</v>
      </c>
      <c r="T2771" t="str">
        <f>IF(Table1[[#This Row],[Price2]]&lt;500000,"Affordable",IF(Table1[[#This Row],[Price2]]&lt;1000000,"Mid range","Luxury"))</f>
        <v>Luxury</v>
      </c>
    </row>
    <row r="2772" spans="1:20" x14ac:dyDescent="0.35">
      <c r="A2772" s="3">
        <v>1402993</v>
      </c>
      <c r="B2772" s="2" t="s">
        <v>27</v>
      </c>
      <c r="C2772">
        <v>70569</v>
      </c>
      <c r="D2772" s="2" t="s">
        <v>29</v>
      </c>
      <c r="E2772">
        <v>4</v>
      </c>
      <c r="F2772">
        <v>1</v>
      </c>
      <c r="G2772" s="4">
        <f>VALUE(SUBSTITUTE(SUBSTITUTE(Table1[[#This Row],[Price]],"$",""),",",""))</f>
        <v>1402993</v>
      </c>
      <c r="H2772" s="1">
        <f>Table1[[#This Row],[Price2]]/Table1[[#This Row],[Area]]</f>
        <v>401.08433390508861</v>
      </c>
      <c r="I2772">
        <v>3498</v>
      </c>
      <c r="J2772">
        <v>1959</v>
      </c>
      <c r="K2772">
        <v>74</v>
      </c>
      <c r="L2772" t="s">
        <v>30</v>
      </c>
      <c r="M2772" t="s">
        <v>2685</v>
      </c>
      <c r="N2772" s="2" t="s">
        <v>3031</v>
      </c>
      <c r="O2772" t="s">
        <v>3032</v>
      </c>
      <c r="P2772" t="s">
        <v>26</v>
      </c>
      <c r="Q2772">
        <v>401.08433390508861</v>
      </c>
      <c r="R2772">
        <f ca="1">YEAR(TODAY())-Table1[[#This Row],[Year Built]]</f>
        <v>67</v>
      </c>
      <c r="S2772" t="str">
        <f>IF(Table1[[#This Row],[Days on Market]] &lt; 30,"Fast",IF(Table1[[#This Row],[Days on Market]]&lt;= 90,"Average", "Slow"))</f>
        <v>Average</v>
      </c>
      <c r="T2772" t="str">
        <f>IF(Table1[[#This Row],[Price2]]&lt;500000,"Affordable",IF(Table1[[#This Row],[Price2]]&lt;1000000,"Mid range","Luxury"))</f>
        <v>Luxury</v>
      </c>
    </row>
    <row r="2773" spans="1:20" x14ac:dyDescent="0.35">
      <c r="A2773" s="3">
        <v>1403108</v>
      </c>
      <c r="B2773" s="2" t="s">
        <v>34</v>
      </c>
      <c r="C2773">
        <v>20961</v>
      </c>
      <c r="D2773" s="2" t="s">
        <v>29</v>
      </c>
      <c r="E2773">
        <v>1</v>
      </c>
      <c r="F2773">
        <v>2</v>
      </c>
      <c r="G2773" s="4">
        <f>VALUE(SUBSTITUTE(SUBSTITUTE(Table1[[#This Row],[Price]],"$",""),",",""))</f>
        <v>1403108</v>
      </c>
      <c r="H2773" s="1">
        <f>Table1[[#This Row],[Price2]]/Table1[[#This Row],[Area]]</f>
        <v>822.45486518171163</v>
      </c>
      <c r="I2773">
        <v>1706</v>
      </c>
      <c r="J2773">
        <v>2016</v>
      </c>
      <c r="K2773">
        <v>90</v>
      </c>
      <c r="L2773" t="s">
        <v>30</v>
      </c>
      <c r="M2773" t="s">
        <v>2186</v>
      </c>
      <c r="N2773" s="2" t="s">
        <v>3031</v>
      </c>
      <c r="O2773" t="s">
        <v>3032</v>
      </c>
      <c r="P2773" t="s">
        <v>21</v>
      </c>
      <c r="Q2773">
        <v>822.45486518171163</v>
      </c>
      <c r="R2773">
        <f ca="1">YEAR(TODAY())-Table1[[#This Row],[Year Built]]</f>
        <v>10</v>
      </c>
      <c r="S2773" t="str">
        <f>IF(Table1[[#This Row],[Days on Market]] &lt; 30,"Fast",IF(Table1[[#This Row],[Days on Market]]&lt;= 90,"Average", "Slow"))</f>
        <v>Average</v>
      </c>
      <c r="T2773" t="str">
        <f>IF(Table1[[#This Row],[Price2]]&lt;500000,"Affordable",IF(Table1[[#This Row],[Price2]]&lt;1000000,"Mid range","Luxury"))</f>
        <v>Luxury</v>
      </c>
    </row>
    <row r="2774" spans="1:20" x14ac:dyDescent="0.35">
      <c r="A2774" s="3">
        <v>1403310</v>
      </c>
      <c r="B2774" s="2" t="s">
        <v>27</v>
      </c>
      <c r="C2774">
        <v>79724</v>
      </c>
      <c r="D2774" s="2" t="s">
        <v>35</v>
      </c>
      <c r="E2774">
        <v>4</v>
      </c>
      <c r="F2774">
        <v>4</v>
      </c>
      <c r="G2774" s="4">
        <f>VALUE(SUBSTITUTE(SUBSTITUTE(Table1[[#This Row],[Price]],"$",""),",",""))</f>
        <v>1403310</v>
      </c>
      <c r="H2774" s="1">
        <f>Table1[[#This Row],[Price2]]/Table1[[#This Row],[Area]]</f>
        <v>521.67657992565057</v>
      </c>
      <c r="I2774">
        <v>2690</v>
      </c>
      <c r="J2774">
        <v>2009</v>
      </c>
      <c r="K2774">
        <v>44</v>
      </c>
      <c r="L2774" t="s">
        <v>30</v>
      </c>
      <c r="M2774" t="s">
        <v>2066</v>
      </c>
      <c r="N2774" s="2" t="s">
        <v>3029</v>
      </c>
      <c r="O2774" t="s">
        <v>3030</v>
      </c>
      <c r="P2774" t="s">
        <v>26</v>
      </c>
      <c r="Q2774">
        <v>521.67657992565057</v>
      </c>
      <c r="R2774">
        <f ca="1">YEAR(TODAY())-Table1[[#This Row],[Year Built]]</f>
        <v>17</v>
      </c>
      <c r="S2774" t="str">
        <f>IF(Table1[[#This Row],[Days on Market]] &lt; 30,"Fast",IF(Table1[[#This Row],[Days on Market]]&lt;= 90,"Average", "Slow"))</f>
        <v>Average</v>
      </c>
      <c r="T2774" t="str">
        <f>IF(Table1[[#This Row],[Price2]]&lt;500000,"Affordable",IF(Table1[[#This Row],[Price2]]&lt;1000000,"Mid range","Luxury"))</f>
        <v>Luxury</v>
      </c>
    </row>
    <row r="2775" spans="1:20" x14ac:dyDescent="0.35">
      <c r="A2775" s="3">
        <v>1403737</v>
      </c>
      <c r="B2775" s="2" t="s">
        <v>17</v>
      </c>
      <c r="C2775">
        <v>77172</v>
      </c>
      <c r="D2775" s="2" t="s">
        <v>23</v>
      </c>
      <c r="E2775">
        <v>3</v>
      </c>
      <c r="F2775">
        <v>2</v>
      </c>
      <c r="G2775" s="4">
        <f>VALUE(SUBSTITUTE(SUBSTITUTE(Table1[[#This Row],[Price]],"$",""),",",""))</f>
        <v>1403737</v>
      </c>
      <c r="H2775" s="1">
        <f>Table1[[#This Row],[Price2]]/Table1[[#This Row],[Area]]</f>
        <v>519.13350591715971</v>
      </c>
      <c r="I2775">
        <v>2704</v>
      </c>
      <c r="J2775">
        <v>1983</v>
      </c>
      <c r="K2775">
        <v>85</v>
      </c>
      <c r="L2775" t="s">
        <v>19</v>
      </c>
      <c r="M2775" t="s">
        <v>2957</v>
      </c>
      <c r="N2775" s="2" t="s">
        <v>3033</v>
      </c>
      <c r="O2775" t="s">
        <v>3034</v>
      </c>
      <c r="P2775" t="s">
        <v>21</v>
      </c>
      <c r="Q2775">
        <v>519.13350591715971</v>
      </c>
      <c r="R2775">
        <f ca="1">YEAR(TODAY())-Table1[[#This Row],[Year Built]]</f>
        <v>43</v>
      </c>
      <c r="S2775" t="str">
        <f>IF(Table1[[#This Row],[Days on Market]] &lt; 30,"Fast",IF(Table1[[#This Row],[Days on Market]]&lt;= 90,"Average", "Slow"))</f>
        <v>Average</v>
      </c>
      <c r="T2775" t="str">
        <f>IF(Table1[[#This Row],[Price2]]&lt;500000,"Affordable",IF(Table1[[#This Row],[Price2]]&lt;1000000,"Mid range","Luxury"))</f>
        <v>Luxury</v>
      </c>
    </row>
    <row r="2776" spans="1:20" x14ac:dyDescent="0.35">
      <c r="A2776" s="3">
        <v>1404171</v>
      </c>
      <c r="B2776" s="2" t="s">
        <v>22</v>
      </c>
      <c r="C2776">
        <v>52069</v>
      </c>
      <c r="D2776" s="2" t="s">
        <v>29</v>
      </c>
      <c r="E2776">
        <v>2</v>
      </c>
      <c r="F2776">
        <v>3</v>
      </c>
      <c r="G2776" s="4">
        <f>VALUE(SUBSTITUTE(SUBSTITUTE(Table1[[#This Row],[Price]],"$",""),",",""))</f>
        <v>1404171</v>
      </c>
      <c r="H2776" s="1">
        <f>Table1[[#This Row],[Price2]]/Table1[[#This Row],[Area]]</f>
        <v>412.62738759917721</v>
      </c>
      <c r="I2776">
        <v>3403</v>
      </c>
      <c r="J2776">
        <v>1996</v>
      </c>
      <c r="K2776">
        <v>11</v>
      </c>
      <c r="L2776" t="s">
        <v>19</v>
      </c>
      <c r="M2776" t="s">
        <v>1721</v>
      </c>
      <c r="N2776" s="2" t="s">
        <v>3035</v>
      </c>
      <c r="O2776" t="s">
        <v>3036</v>
      </c>
      <c r="P2776" t="s">
        <v>26</v>
      </c>
      <c r="Q2776">
        <v>412.62738759917721</v>
      </c>
      <c r="R2776">
        <f ca="1">YEAR(TODAY())-Table1[[#This Row],[Year Built]]</f>
        <v>30</v>
      </c>
      <c r="S2776" t="str">
        <f>IF(Table1[[#This Row],[Days on Market]] &lt; 30,"Fast",IF(Table1[[#This Row],[Days on Market]]&lt;= 90,"Average", "Slow"))</f>
        <v>Fast</v>
      </c>
      <c r="T2776" t="str">
        <f>IF(Table1[[#This Row],[Price2]]&lt;500000,"Affordable",IF(Table1[[#This Row],[Price2]]&lt;1000000,"Mid range","Luxury"))</f>
        <v>Luxury</v>
      </c>
    </row>
    <row r="2777" spans="1:20" x14ac:dyDescent="0.35">
      <c r="A2777" s="3">
        <v>1404704</v>
      </c>
      <c r="B2777" s="2" t="s">
        <v>27</v>
      </c>
      <c r="C2777">
        <v>54302</v>
      </c>
      <c r="D2777" s="2" t="s">
        <v>18</v>
      </c>
      <c r="E2777">
        <v>1</v>
      </c>
      <c r="F2777">
        <v>3</v>
      </c>
      <c r="G2777" s="4">
        <f>VALUE(SUBSTITUTE(SUBSTITUTE(Table1[[#This Row],[Price]],"$",""),",",""))</f>
        <v>1404704</v>
      </c>
      <c r="H2777" s="1">
        <f>Table1[[#This Row],[Price2]]/Table1[[#This Row],[Area]]</f>
        <v>1725.6805896805897</v>
      </c>
      <c r="I2777">
        <v>814</v>
      </c>
      <c r="J2777">
        <v>2015</v>
      </c>
      <c r="K2777">
        <v>47</v>
      </c>
      <c r="L2777" t="s">
        <v>30</v>
      </c>
      <c r="M2777" t="s">
        <v>1534</v>
      </c>
      <c r="N2777" s="2" t="s">
        <v>3027</v>
      </c>
      <c r="O2777" t="s">
        <v>3028</v>
      </c>
      <c r="P2777" t="s">
        <v>21</v>
      </c>
      <c r="Q2777">
        <v>1725.6805896805897</v>
      </c>
      <c r="R2777">
        <f ca="1">YEAR(TODAY())-Table1[[#This Row],[Year Built]]</f>
        <v>11</v>
      </c>
      <c r="S2777" t="str">
        <f>IF(Table1[[#This Row],[Days on Market]] &lt; 30,"Fast",IF(Table1[[#This Row],[Days on Market]]&lt;= 90,"Average", "Slow"))</f>
        <v>Average</v>
      </c>
      <c r="T2777" t="str">
        <f>IF(Table1[[#This Row],[Price2]]&lt;500000,"Affordable",IF(Table1[[#This Row],[Price2]]&lt;1000000,"Mid range","Luxury"))</f>
        <v>Luxury</v>
      </c>
    </row>
    <row r="2778" spans="1:20" x14ac:dyDescent="0.35">
      <c r="A2778" s="3">
        <v>1404881</v>
      </c>
      <c r="B2778" s="2" t="s">
        <v>17</v>
      </c>
      <c r="C2778">
        <v>41173</v>
      </c>
      <c r="D2778" s="2" t="s">
        <v>23</v>
      </c>
      <c r="E2778">
        <v>3</v>
      </c>
      <c r="F2778">
        <v>1</v>
      </c>
      <c r="G2778" s="4">
        <f>VALUE(SUBSTITUTE(SUBSTITUTE(Table1[[#This Row],[Price]],"$",""),",",""))</f>
        <v>1404881</v>
      </c>
      <c r="H2778" s="1">
        <f>Table1[[#This Row],[Price2]]/Table1[[#This Row],[Area]]</f>
        <v>872.59689440993793</v>
      </c>
      <c r="I2778">
        <v>1610</v>
      </c>
      <c r="J2778">
        <v>1987</v>
      </c>
      <c r="K2778">
        <v>48</v>
      </c>
      <c r="L2778" t="s">
        <v>52</v>
      </c>
      <c r="M2778" t="s">
        <v>2813</v>
      </c>
      <c r="N2778" s="2" t="s">
        <v>3029</v>
      </c>
      <c r="O2778" t="s">
        <v>3030</v>
      </c>
      <c r="P2778" t="s">
        <v>26</v>
      </c>
      <c r="Q2778">
        <v>872.59689440993793</v>
      </c>
      <c r="R2778">
        <f ca="1">YEAR(TODAY())-Table1[[#This Row],[Year Built]]</f>
        <v>39</v>
      </c>
      <c r="S2778" t="str">
        <f>IF(Table1[[#This Row],[Days on Market]] &lt; 30,"Fast",IF(Table1[[#This Row],[Days on Market]]&lt;= 90,"Average", "Slow"))</f>
        <v>Average</v>
      </c>
      <c r="T2778" t="str">
        <f>IF(Table1[[#This Row],[Price2]]&lt;500000,"Affordable",IF(Table1[[#This Row],[Price2]]&lt;1000000,"Mid range","Luxury"))</f>
        <v>Luxury</v>
      </c>
    </row>
    <row r="2779" spans="1:20" x14ac:dyDescent="0.35">
      <c r="A2779" s="3">
        <v>1405348</v>
      </c>
      <c r="B2779" s="2" t="s">
        <v>22</v>
      </c>
      <c r="C2779">
        <v>20235</v>
      </c>
      <c r="D2779" s="2" t="s">
        <v>18</v>
      </c>
      <c r="E2779">
        <v>6</v>
      </c>
      <c r="F2779">
        <v>2</v>
      </c>
      <c r="G2779" s="4">
        <f>VALUE(SUBSTITUTE(SUBSTITUTE(Table1[[#This Row],[Price]],"$",""),",",""))</f>
        <v>1405348</v>
      </c>
      <c r="H2779" s="1">
        <f>Table1[[#This Row],[Price2]]/Table1[[#This Row],[Area]]</f>
        <v>484.26878015161958</v>
      </c>
      <c r="I2779">
        <v>2902</v>
      </c>
      <c r="J2779">
        <v>1955</v>
      </c>
      <c r="K2779">
        <v>13</v>
      </c>
      <c r="L2779" t="s">
        <v>14</v>
      </c>
      <c r="M2779" t="s">
        <v>2963</v>
      </c>
      <c r="N2779" s="2" t="s">
        <v>3031</v>
      </c>
      <c r="O2779" t="s">
        <v>3032</v>
      </c>
      <c r="P2779" t="s">
        <v>26</v>
      </c>
      <c r="Q2779">
        <v>484.26878015161958</v>
      </c>
      <c r="R2779">
        <f ca="1">YEAR(TODAY())-Table1[[#This Row],[Year Built]]</f>
        <v>71</v>
      </c>
      <c r="S2779" t="str">
        <f>IF(Table1[[#This Row],[Days on Market]] &lt; 30,"Fast",IF(Table1[[#This Row],[Days on Market]]&lt;= 90,"Average", "Slow"))</f>
        <v>Fast</v>
      </c>
      <c r="T2779" t="str">
        <f>IF(Table1[[#This Row],[Price2]]&lt;500000,"Affordable",IF(Table1[[#This Row],[Price2]]&lt;1000000,"Mid range","Luxury"))</f>
        <v>Luxury</v>
      </c>
    </row>
    <row r="2780" spans="1:20" x14ac:dyDescent="0.35">
      <c r="A2780" s="3">
        <v>1406069</v>
      </c>
      <c r="B2780" s="2" t="s">
        <v>22</v>
      </c>
      <c r="C2780">
        <v>93992</v>
      </c>
      <c r="D2780" s="2" t="s">
        <v>35</v>
      </c>
      <c r="E2780">
        <v>6</v>
      </c>
      <c r="F2780">
        <v>2</v>
      </c>
      <c r="G2780" s="4">
        <f>VALUE(SUBSTITUTE(SUBSTITUTE(Table1[[#This Row],[Price]],"$",""),",",""))</f>
        <v>1406069</v>
      </c>
      <c r="H2780" s="1">
        <f>Table1[[#This Row],[Price2]]/Table1[[#This Row],[Area]]</f>
        <v>476.4720433751271</v>
      </c>
      <c r="I2780">
        <v>2951</v>
      </c>
      <c r="J2780">
        <v>1996</v>
      </c>
      <c r="K2780">
        <v>1</v>
      </c>
      <c r="L2780" t="s">
        <v>52</v>
      </c>
      <c r="M2780" t="s">
        <v>2539</v>
      </c>
      <c r="N2780" s="2" t="s">
        <v>3035</v>
      </c>
      <c r="O2780" t="s">
        <v>3036</v>
      </c>
      <c r="P2780" t="s">
        <v>21</v>
      </c>
      <c r="Q2780">
        <v>476.4720433751271</v>
      </c>
      <c r="R2780">
        <f ca="1">YEAR(TODAY())-Table1[[#This Row],[Year Built]]</f>
        <v>30</v>
      </c>
      <c r="S2780" t="str">
        <f>IF(Table1[[#This Row],[Days on Market]] &lt; 30,"Fast",IF(Table1[[#This Row],[Days on Market]]&lt;= 90,"Average", "Slow"))</f>
        <v>Fast</v>
      </c>
      <c r="T2780" t="str">
        <f>IF(Table1[[#This Row],[Price2]]&lt;500000,"Affordable",IF(Table1[[#This Row],[Price2]]&lt;1000000,"Mid range","Luxury"))</f>
        <v>Luxury</v>
      </c>
    </row>
    <row r="2781" spans="1:20" x14ac:dyDescent="0.35">
      <c r="A2781" s="3">
        <v>1406366</v>
      </c>
      <c r="B2781" s="2" t="s">
        <v>27</v>
      </c>
      <c r="C2781">
        <v>51679</v>
      </c>
      <c r="D2781" s="2" t="s">
        <v>18</v>
      </c>
      <c r="E2781">
        <v>2</v>
      </c>
      <c r="F2781">
        <v>2</v>
      </c>
      <c r="G2781" s="4">
        <f>VALUE(SUBSTITUTE(SUBSTITUTE(Table1[[#This Row],[Price]],"$",""),",",""))</f>
        <v>1406366</v>
      </c>
      <c r="H2781" s="1">
        <f>Table1[[#This Row],[Price2]]/Table1[[#This Row],[Area]]</f>
        <v>965.91071428571433</v>
      </c>
      <c r="I2781">
        <v>1456</v>
      </c>
      <c r="J2781">
        <v>1978</v>
      </c>
      <c r="K2781">
        <v>70</v>
      </c>
      <c r="L2781" t="s">
        <v>14</v>
      </c>
      <c r="M2781" t="s">
        <v>547</v>
      </c>
      <c r="N2781" s="2" t="s">
        <v>3027</v>
      </c>
      <c r="O2781" t="s">
        <v>3028</v>
      </c>
      <c r="P2781" t="s">
        <v>26</v>
      </c>
      <c r="Q2781">
        <v>965.91071428571433</v>
      </c>
      <c r="R2781">
        <f ca="1">YEAR(TODAY())-Table1[[#This Row],[Year Built]]</f>
        <v>48</v>
      </c>
      <c r="S2781" t="str">
        <f>IF(Table1[[#This Row],[Days on Market]] &lt; 30,"Fast",IF(Table1[[#This Row],[Days on Market]]&lt;= 90,"Average", "Slow"))</f>
        <v>Average</v>
      </c>
      <c r="T2781" t="str">
        <f>IF(Table1[[#This Row],[Price2]]&lt;500000,"Affordable",IF(Table1[[#This Row],[Price2]]&lt;1000000,"Mid range","Luxury"))</f>
        <v>Luxury</v>
      </c>
    </row>
    <row r="2782" spans="1:20" x14ac:dyDescent="0.35">
      <c r="A2782" s="3">
        <v>1407105</v>
      </c>
      <c r="B2782" s="2" t="s">
        <v>12</v>
      </c>
      <c r="C2782">
        <v>57800</v>
      </c>
      <c r="D2782" s="2" t="s">
        <v>18</v>
      </c>
      <c r="E2782">
        <v>6</v>
      </c>
      <c r="F2782">
        <v>4</v>
      </c>
      <c r="G2782" s="4">
        <f>VALUE(SUBSTITUTE(SUBSTITUTE(Table1[[#This Row],[Price]],"$",""),",",""))</f>
        <v>1407105</v>
      </c>
      <c r="H2782" s="1">
        <f>Table1[[#This Row],[Price2]]/Table1[[#This Row],[Area]]</f>
        <v>767.65139116202943</v>
      </c>
      <c r="I2782">
        <v>1833</v>
      </c>
      <c r="J2782">
        <v>2017</v>
      </c>
      <c r="K2782">
        <v>101</v>
      </c>
      <c r="L2782" t="s">
        <v>14</v>
      </c>
      <c r="M2782" t="s">
        <v>2824</v>
      </c>
      <c r="N2782" s="2" t="s">
        <v>3035</v>
      </c>
      <c r="O2782" t="s">
        <v>3036</v>
      </c>
      <c r="P2782" t="s">
        <v>21</v>
      </c>
      <c r="Q2782">
        <v>767.65139116202943</v>
      </c>
      <c r="R2782">
        <f ca="1">YEAR(TODAY())-Table1[[#This Row],[Year Built]]</f>
        <v>9</v>
      </c>
      <c r="S2782" t="str">
        <f>IF(Table1[[#This Row],[Days on Market]] &lt; 30,"Fast",IF(Table1[[#This Row],[Days on Market]]&lt;= 90,"Average", "Slow"))</f>
        <v>Slow</v>
      </c>
      <c r="T2782" t="str">
        <f>IF(Table1[[#This Row],[Price2]]&lt;500000,"Affordable",IF(Table1[[#This Row],[Price2]]&lt;1000000,"Mid range","Luxury"))</f>
        <v>Luxury</v>
      </c>
    </row>
    <row r="2783" spans="1:20" x14ac:dyDescent="0.35">
      <c r="A2783" s="3">
        <v>1407385</v>
      </c>
      <c r="B2783" s="2" t="s">
        <v>17</v>
      </c>
      <c r="C2783">
        <v>16603</v>
      </c>
      <c r="D2783" s="2" t="s">
        <v>29</v>
      </c>
      <c r="E2783">
        <v>6</v>
      </c>
      <c r="F2783">
        <v>4</v>
      </c>
      <c r="G2783" s="4">
        <f>VALUE(SUBSTITUTE(SUBSTITUTE(Table1[[#This Row],[Price]],"$",""),",",""))</f>
        <v>1407385</v>
      </c>
      <c r="H2783" s="1">
        <f>Table1[[#This Row],[Price2]]/Table1[[#This Row],[Area]]</f>
        <v>988.3321629213483</v>
      </c>
      <c r="I2783">
        <v>1424</v>
      </c>
      <c r="J2783">
        <v>2015</v>
      </c>
      <c r="K2783">
        <v>102</v>
      </c>
      <c r="L2783" t="s">
        <v>14</v>
      </c>
      <c r="M2783" t="s">
        <v>1398</v>
      </c>
      <c r="N2783" s="2" t="s">
        <v>3033</v>
      </c>
      <c r="O2783" t="s">
        <v>3034</v>
      </c>
      <c r="P2783" t="s">
        <v>26</v>
      </c>
      <c r="Q2783">
        <v>988.3321629213483</v>
      </c>
      <c r="R2783">
        <f ca="1">YEAR(TODAY())-Table1[[#This Row],[Year Built]]</f>
        <v>11</v>
      </c>
      <c r="S2783" t="str">
        <f>IF(Table1[[#This Row],[Days on Market]] &lt; 30,"Fast",IF(Table1[[#This Row],[Days on Market]]&lt;= 90,"Average", "Slow"))</f>
        <v>Slow</v>
      </c>
      <c r="T2783" t="str">
        <f>IF(Table1[[#This Row],[Price2]]&lt;500000,"Affordable",IF(Table1[[#This Row],[Price2]]&lt;1000000,"Mid range","Luxury"))</f>
        <v>Luxury</v>
      </c>
    </row>
    <row r="2784" spans="1:20" x14ac:dyDescent="0.35">
      <c r="A2784" s="3">
        <v>1407692</v>
      </c>
      <c r="B2784" s="2" t="s">
        <v>12</v>
      </c>
      <c r="C2784">
        <v>52184</v>
      </c>
      <c r="D2784" s="2" t="s">
        <v>23</v>
      </c>
      <c r="E2784">
        <v>3</v>
      </c>
      <c r="F2784">
        <v>4</v>
      </c>
      <c r="G2784" s="4">
        <f>VALUE(SUBSTITUTE(SUBSTITUTE(Table1[[#This Row],[Price]],"$",""),",",""))</f>
        <v>1407692</v>
      </c>
      <c r="H2784" s="1">
        <f>Table1[[#This Row],[Price2]]/Table1[[#This Row],[Area]]</f>
        <v>358.2825146347671</v>
      </c>
      <c r="I2784">
        <v>3929</v>
      </c>
      <c r="J2784">
        <v>2004</v>
      </c>
      <c r="K2784">
        <v>67</v>
      </c>
      <c r="L2784" t="s">
        <v>19</v>
      </c>
      <c r="M2784" t="s">
        <v>1987</v>
      </c>
      <c r="N2784" s="2" t="s">
        <v>3029</v>
      </c>
      <c r="O2784" t="s">
        <v>3030</v>
      </c>
      <c r="P2784" t="s">
        <v>26</v>
      </c>
      <c r="Q2784">
        <v>358.2825146347671</v>
      </c>
      <c r="R2784">
        <f ca="1">YEAR(TODAY())-Table1[[#This Row],[Year Built]]</f>
        <v>22</v>
      </c>
      <c r="S2784" t="str">
        <f>IF(Table1[[#This Row],[Days on Market]] &lt; 30,"Fast",IF(Table1[[#This Row],[Days on Market]]&lt;= 90,"Average", "Slow"))</f>
        <v>Average</v>
      </c>
      <c r="T2784" t="str">
        <f>IF(Table1[[#This Row],[Price2]]&lt;500000,"Affordable",IF(Table1[[#This Row],[Price2]]&lt;1000000,"Mid range","Luxury"))</f>
        <v>Luxury</v>
      </c>
    </row>
    <row r="2785" spans="1:20" x14ac:dyDescent="0.35">
      <c r="A2785" s="3">
        <v>1407926</v>
      </c>
      <c r="B2785" s="2" t="s">
        <v>27</v>
      </c>
      <c r="C2785">
        <v>33637</v>
      </c>
      <c r="D2785" s="2" t="s">
        <v>23</v>
      </c>
      <c r="E2785">
        <v>4</v>
      </c>
      <c r="F2785">
        <v>1</v>
      </c>
      <c r="G2785" s="4">
        <f>VALUE(SUBSTITUTE(SUBSTITUTE(Table1[[#This Row],[Price]],"$",""),",",""))</f>
        <v>1407926</v>
      </c>
      <c r="H2785" s="1">
        <f>Table1[[#This Row],[Price2]]/Table1[[#This Row],[Area]]</f>
        <v>1819.0258397932816</v>
      </c>
      <c r="I2785">
        <v>774</v>
      </c>
      <c r="J2785">
        <v>1951</v>
      </c>
      <c r="K2785">
        <v>107</v>
      </c>
      <c r="L2785" t="s">
        <v>30</v>
      </c>
      <c r="M2785" t="s">
        <v>1339</v>
      </c>
      <c r="N2785" s="2" t="s">
        <v>3031</v>
      </c>
      <c r="O2785" t="s">
        <v>3032</v>
      </c>
      <c r="P2785" t="s">
        <v>21</v>
      </c>
      <c r="Q2785">
        <v>1819.0258397932816</v>
      </c>
      <c r="R2785">
        <f ca="1">YEAR(TODAY())-Table1[[#This Row],[Year Built]]</f>
        <v>75</v>
      </c>
      <c r="S2785" t="str">
        <f>IF(Table1[[#This Row],[Days on Market]] &lt; 30,"Fast",IF(Table1[[#This Row],[Days on Market]]&lt;= 90,"Average", "Slow"))</f>
        <v>Slow</v>
      </c>
      <c r="T2785" t="str">
        <f>IF(Table1[[#This Row],[Price2]]&lt;500000,"Affordable",IF(Table1[[#This Row],[Price2]]&lt;1000000,"Mid range","Luxury"))</f>
        <v>Luxury</v>
      </c>
    </row>
    <row r="2786" spans="1:20" x14ac:dyDescent="0.35">
      <c r="A2786" s="3">
        <v>1408110</v>
      </c>
      <c r="B2786" s="2" t="s">
        <v>17</v>
      </c>
      <c r="C2786">
        <v>15309</v>
      </c>
      <c r="D2786" s="2" t="s">
        <v>13</v>
      </c>
      <c r="E2786">
        <v>4</v>
      </c>
      <c r="F2786">
        <v>3</v>
      </c>
      <c r="G2786" s="4">
        <f>VALUE(SUBSTITUTE(SUBSTITUTE(Table1[[#This Row],[Price]],"$",""),",",""))</f>
        <v>1408110</v>
      </c>
      <c r="H2786" s="1">
        <f>Table1[[#This Row],[Price2]]/Table1[[#This Row],[Area]]</f>
        <v>384.30949781659388</v>
      </c>
      <c r="I2786">
        <v>3664</v>
      </c>
      <c r="J2786">
        <v>1974</v>
      </c>
      <c r="K2786">
        <v>110</v>
      </c>
      <c r="L2786" t="s">
        <v>14</v>
      </c>
      <c r="M2786" t="s">
        <v>1244</v>
      </c>
      <c r="N2786" s="2" t="s">
        <v>3033</v>
      </c>
      <c r="O2786" t="s">
        <v>3034</v>
      </c>
      <c r="P2786" t="s">
        <v>26</v>
      </c>
      <c r="Q2786">
        <v>384.30949781659388</v>
      </c>
      <c r="R2786">
        <f ca="1">YEAR(TODAY())-Table1[[#This Row],[Year Built]]</f>
        <v>52</v>
      </c>
      <c r="S2786" t="str">
        <f>IF(Table1[[#This Row],[Days on Market]] &lt; 30,"Fast",IF(Table1[[#This Row],[Days on Market]]&lt;= 90,"Average", "Slow"))</f>
        <v>Slow</v>
      </c>
      <c r="T2786" t="str">
        <f>IF(Table1[[#This Row],[Price2]]&lt;500000,"Affordable",IF(Table1[[#This Row],[Price2]]&lt;1000000,"Mid range","Luxury"))</f>
        <v>Luxury</v>
      </c>
    </row>
    <row r="2787" spans="1:20" x14ac:dyDescent="0.35">
      <c r="A2787" s="3">
        <v>1408977</v>
      </c>
      <c r="B2787" s="2" t="s">
        <v>27</v>
      </c>
      <c r="C2787">
        <v>67939</v>
      </c>
      <c r="D2787" s="2" t="s">
        <v>23</v>
      </c>
      <c r="E2787">
        <v>3</v>
      </c>
      <c r="F2787">
        <v>3</v>
      </c>
      <c r="G2787" s="4">
        <f>VALUE(SUBSTITUTE(SUBSTITUTE(Table1[[#This Row],[Price]],"$",""),",",""))</f>
        <v>1408977</v>
      </c>
      <c r="H2787" s="1">
        <f>Table1[[#This Row],[Price2]]/Table1[[#This Row],[Area]]</f>
        <v>954.59146341463418</v>
      </c>
      <c r="I2787">
        <v>1476</v>
      </c>
      <c r="J2787">
        <v>1986</v>
      </c>
      <c r="K2787">
        <v>99</v>
      </c>
      <c r="L2787" t="s">
        <v>14</v>
      </c>
      <c r="M2787" t="s">
        <v>545</v>
      </c>
      <c r="N2787" s="2" t="s">
        <v>3035</v>
      </c>
      <c r="O2787" t="s">
        <v>3036</v>
      </c>
      <c r="P2787" t="s">
        <v>26</v>
      </c>
      <c r="Q2787">
        <v>954.59146341463418</v>
      </c>
      <c r="R2787">
        <f ca="1">YEAR(TODAY())-Table1[[#This Row],[Year Built]]</f>
        <v>40</v>
      </c>
      <c r="S2787" t="str">
        <f>IF(Table1[[#This Row],[Days on Market]] &lt; 30,"Fast",IF(Table1[[#This Row],[Days on Market]]&lt;= 90,"Average", "Slow"))</f>
        <v>Slow</v>
      </c>
      <c r="T2787" t="str">
        <f>IF(Table1[[#This Row],[Price2]]&lt;500000,"Affordable",IF(Table1[[#This Row],[Price2]]&lt;1000000,"Mid range","Luxury"))</f>
        <v>Luxury</v>
      </c>
    </row>
    <row r="2788" spans="1:20" x14ac:dyDescent="0.35">
      <c r="A2788" s="3">
        <v>1409033</v>
      </c>
      <c r="B2788" s="2" t="s">
        <v>17</v>
      </c>
      <c r="C2788">
        <v>60679</v>
      </c>
      <c r="D2788" s="2" t="s">
        <v>13</v>
      </c>
      <c r="E2788">
        <v>3</v>
      </c>
      <c r="F2788">
        <v>2</v>
      </c>
      <c r="G2788" s="4">
        <f>VALUE(SUBSTITUTE(SUBSTITUTE(Table1[[#This Row],[Price]],"$",""),",",""))</f>
        <v>1409033</v>
      </c>
      <c r="H2788" s="1">
        <f>Table1[[#This Row],[Price2]]/Table1[[#This Row],[Area]]</f>
        <v>721.84067622950818</v>
      </c>
      <c r="I2788">
        <v>1952</v>
      </c>
      <c r="J2788">
        <v>1964</v>
      </c>
      <c r="K2788">
        <v>15</v>
      </c>
      <c r="L2788" t="s">
        <v>30</v>
      </c>
      <c r="M2788" t="s">
        <v>441</v>
      </c>
      <c r="N2788" s="2" t="s">
        <v>3031</v>
      </c>
      <c r="O2788" t="s">
        <v>3032</v>
      </c>
      <c r="P2788" t="s">
        <v>21</v>
      </c>
      <c r="Q2788">
        <v>721.84067622950818</v>
      </c>
      <c r="R2788">
        <f ca="1">YEAR(TODAY())-Table1[[#This Row],[Year Built]]</f>
        <v>62</v>
      </c>
      <c r="S2788" t="str">
        <f>IF(Table1[[#This Row],[Days on Market]] &lt; 30,"Fast",IF(Table1[[#This Row],[Days on Market]]&lt;= 90,"Average", "Slow"))</f>
        <v>Fast</v>
      </c>
      <c r="T2788" t="str">
        <f>IF(Table1[[#This Row],[Price2]]&lt;500000,"Affordable",IF(Table1[[#This Row],[Price2]]&lt;1000000,"Mid range","Luxury"))</f>
        <v>Luxury</v>
      </c>
    </row>
    <row r="2789" spans="1:20" x14ac:dyDescent="0.35">
      <c r="A2789" s="3">
        <v>1409098</v>
      </c>
      <c r="B2789" s="2" t="s">
        <v>27</v>
      </c>
      <c r="C2789">
        <v>26523</v>
      </c>
      <c r="D2789" s="2" t="s">
        <v>18</v>
      </c>
      <c r="E2789">
        <v>6</v>
      </c>
      <c r="F2789">
        <v>4</v>
      </c>
      <c r="G2789" s="4">
        <f>VALUE(SUBSTITUTE(SUBSTITUTE(Table1[[#This Row],[Price]],"$",""),",",""))</f>
        <v>1409098</v>
      </c>
      <c r="H2789" s="1">
        <f>Table1[[#This Row],[Price2]]/Table1[[#This Row],[Area]]</f>
        <v>463.36665570536007</v>
      </c>
      <c r="I2789">
        <v>3041</v>
      </c>
      <c r="J2789">
        <v>2000</v>
      </c>
      <c r="K2789">
        <v>90</v>
      </c>
      <c r="L2789" t="s">
        <v>40</v>
      </c>
      <c r="M2789" t="s">
        <v>469</v>
      </c>
      <c r="N2789" s="2" t="s">
        <v>3033</v>
      </c>
      <c r="O2789" t="s">
        <v>3034</v>
      </c>
      <c r="P2789" t="s">
        <v>21</v>
      </c>
      <c r="Q2789">
        <v>463.36665570536007</v>
      </c>
      <c r="R2789">
        <f ca="1">YEAR(TODAY())-Table1[[#This Row],[Year Built]]</f>
        <v>26</v>
      </c>
      <c r="S2789" t="str">
        <f>IF(Table1[[#This Row],[Days on Market]] &lt; 30,"Fast",IF(Table1[[#This Row],[Days on Market]]&lt;= 90,"Average", "Slow"))</f>
        <v>Average</v>
      </c>
      <c r="T2789" t="str">
        <f>IF(Table1[[#This Row],[Price2]]&lt;500000,"Affordable",IF(Table1[[#This Row],[Price2]]&lt;1000000,"Mid range","Luxury"))</f>
        <v>Luxury</v>
      </c>
    </row>
    <row r="2790" spans="1:20" x14ac:dyDescent="0.35">
      <c r="A2790" s="3">
        <v>1410074</v>
      </c>
      <c r="B2790" s="2" t="s">
        <v>27</v>
      </c>
      <c r="C2790">
        <v>74523</v>
      </c>
      <c r="D2790" s="2" t="s">
        <v>18</v>
      </c>
      <c r="E2790">
        <v>1</v>
      </c>
      <c r="F2790">
        <v>1</v>
      </c>
      <c r="G2790" s="4">
        <f>VALUE(SUBSTITUTE(SUBSTITUTE(Table1[[#This Row],[Price]],"$",""),",",""))</f>
        <v>1410074</v>
      </c>
      <c r="H2790" s="1">
        <f>Table1[[#This Row],[Price2]]/Table1[[#This Row],[Area]]</f>
        <v>1639.6209302325581</v>
      </c>
      <c r="I2790">
        <v>860</v>
      </c>
      <c r="J2790">
        <v>1998</v>
      </c>
      <c r="K2790">
        <v>43</v>
      </c>
      <c r="L2790" t="s">
        <v>40</v>
      </c>
      <c r="M2790" t="s">
        <v>608</v>
      </c>
      <c r="N2790" s="2" t="s">
        <v>3033</v>
      </c>
      <c r="O2790" t="s">
        <v>3034</v>
      </c>
      <c r="P2790" t="s">
        <v>21</v>
      </c>
      <c r="Q2790">
        <v>1639.6209302325581</v>
      </c>
      <c r="R2790">
        <f ca="1">YEAR(TODAY())-Table1[[#This Row],[Year Built]]</f>
        <v>28</v>
      </c>
      <c r="S2790" t="str">
        <f>IF(Table1[[#This Row],[Days on Market]] &lt; 30,"Fast",IF(Table1[[#This Row],[Days on Market]]&lt;= 90,"Average", "Slow"))</f>
        <v>Average</v>
      </c>
      <c r="T2790" t="str">
        <f>IF(Table1[[#This Row],[Price2]]&lt;500000,"Affordable",IF(Table1[[#This Row],[Price2]]&lt;1000000,"Mid range","Luxury"))</f>
        <v>Luxury</v>
      </c>
    </row>
    <row r="2791" spans="1:20" x14ac:dyDescent="0.35">
      <c r="A2791" s="3">
        <v>1410174</v>
      </c>
      <c r="B2791" s="2" t="s">
        <v>22</v>
      </c>
      <c r="C2791">
        <v>97181</v>
      </c>
      <c r="D2791" s="2" t="s">
        <v>35</v>
      </c>
      <c r="E2791">
        <v>5</v>
      </c>
      <c r="F2791">
        <v>1</v>
      </c>
      <c r="G2791" s="4">
        <f>VALUE(SUBSTITUTE(SUBSTITUTE(Table1[[#This Row],[Price]],"$",""),",",""))</f>
        <v>1410174</v>
      </c>
      <c r="H2791" s="1">
        <f>Table1[[#This Row],[Price2]]/Table1[[#This Row],[Area]]</f>
        <v>1493.8283898305085</v>
      </c>
      <c r="I2791">
        <v>944</v>
      </c>
      <c r="J2791">
        <v>1974</v>
      </c>
      <c r="K2791">
        <v>28</v>
      </c>
      <c r="L2791" t="s">
        <v>19</v>
      </c>
      <c r="M2791" t="s">
        <v>1448</v>
      </c>
      <c r="N2791" s="2" t="s">
        <v>3027</v>
      </c>
      <c r="O2791" t="s">
        <v>3028</v>
      </c>
      <c r="P2791" t="s">
        <v>26</v>
      </c>
      <c r="Q2791">
        <v>1493.8283898305085</v>
      </c>
      <c r="R2791">
        <f ca="1">YEAR(TODAY())-Table1[[#This Row],[Year Built]]</f>
        <v>52</v>
      </c>
      <c r="S2791" t="str">
        <f>IF(Table1[[#This Row],[Days on Market]] &lt; 30,"Fast",IF(Table1[[#This Row],[Days on Market]]&lt;= 90,"Average", "Slow"))</f>
        <v>Fast</v>
      </c>
      <c r="T2791" t="str">
        <f>IF(Table1[[#This Row],[Price2]]&lt;500000,"Affordable",IF(Table1[[#This Row],[Price2]]&lt;1000000,"Mid range","Luxury"))</f>
        <v>Luxury</v>
      </c>
    </row>
    <row r="2792" spans="1:20" x14ac:dyDescent="0.35">
      <c r="A2792" s="3">
        <v>1410781</v>
      </c>
      <c r="B2792" s="2" t="s">
        <v>34</v>
      </c>
      <c r="C2792">
        <v>21095</v>
      </c>
      <c r="D2792" s="2" t="s">
        <v>29</v>
      </c>
      <c r="E2792">
        <v>4</v>
      </c>
      <c r="F2792">
        <v>4</v>
      </c>
      <c r="G2792" s="4">
        <f>VALUE(SUBSTITUTE(SUBSTITUTE(Table1[[#This Row],[Price]],"$",""),",",""))</f>
        <v>1410781</v>
      </c>
      <c r="H2792" s="1">
        <f>Table1[[#This Row],[Price2]]/Table1[[#This Row],[Area]]</f>
        <v>529.97032306536437</v>
      </c>
      <c r="I2792">
        <v>2662</v>
      </c>
      <c r="J2792">
        <v>1968</v>
      </c>
      <c r="K2792">
        <v>19</v>
      </c>
      <c r="L2792" t="s">
        <v>30</v>
      </c>
      <c r="M2792" t="s">
        <v>434</v>
      </c>
      <c r="N2792" s="2" t="s">
        <v>3031</v>
      </c>
      <c r="O2792" t="s">
        <v>3032</v>
      </c>
      <c r="P2792" t="s">
        <v>21</v>
      </c>
      <c r="Q2792">
        <v>529.97032306536437</v>
      </c>
      <c r="R2792">
        <f ca="1">YEAR(TODAY())-Table1[[#This Row],[Year Built]]</f>
        <v>58</v>
      </c>
      <c r="S2792" t="str">
        <f>IF(Table1[[#This Row],[Days on Market]] &lt; 30,"Fast",IF(Table1[[#This Row],[Days on Market]]&lt;= 90,"Average", "Slow"))</f>
        <v>Fast</v>
      </c>
      <c r="T2792" t="str">
        <f>IF(Table1[[#This Row],[Price2]]&lt;500000,"Affordable",IF(Table1[[#This Row],[Price2]]&lt;1000000,"Mid range","Luxury"))</f>
        <v>Luxury</v>
      </c>
    </row>
    <row r="2793" spans="1:20" x14ac:dyDescent="0.35">
      <c r="A2793" s="3">
        <v>1410792</v>
      </c>
      <c r="B2793" s="2" t="s">
        <v>22</v>
      </c>
      <c r="C2793">
        <v>20444</v>
      </c>
      <c r="D2793" s="2" t="s">
        <v>23</v>
      </c>
      <c r="E2793">
        <v>1</v>
      </c>
      <c r="F2793">
        <v>3</v>
      </c>
      <c r="G2793" s="4">
        <f>VALUE(SUBSTITUTE(SUBSTITUTE(Table1[[#This Row],[Price]],"$",""),",",""))</f>
        <v>1410792</v>
      </c>
      <c r="H2793" s="1">
        <f>Table1[[#This Row],[Price2]]/Table1[[#This Row],[Area]]</f>
        <v>576.06859942833808</v>
      </c>
      <c r="I2793">
        <v>2449</v>
      </c>
      <c r="J2793">
        <v>2005</v>
      </c>
      <c r="K2793">
        <v>85</v>
      </c>
      <c r="L2793" t="s">
        <v>19</v>
      </c>
      <c r="M2793" t="s">
        <v>1646</v>
      </c>
      <c r="N2793" s="2" t="s">
        <v>3027</v>
      </c>
      <c r="O2793" t="s">
        <v>3028</v>
      </c>
      <c r="P2793" t="s">
        <v>26</v>
      </c>
      <c r="Q2793">
        <v>576.06859942833808</v>
      </c>
      <c r="R2793">
        <f ca="1">YEAR(TODAY())-Table1[[#This Row],[Year Built]]</f>
        <v>21</v>
      </c>
      <c r="S2793" t="str">
        <f>IF(Table1[[#This Row],[Days on Market]] &lt; 30,"Fast",IF(Table1[[#This Row],[Days on Market]]&lt;= 90,"Average", "Slow"))</f>
        <v>Average</v>
      </c>
      <c r="T2793" t="str">
        <f>IF(Table1[[#This Row],[Price2]]&lt;500000,"Affordable",IF(Table1[[#This Row],[Price2]]&lt;1000000,"Mid range","Luxury"))</f>
        <v>Luxury</v>
      </c>
    </row>
    <row r="2794" spans="1:20" x14ac:dyDescent="0.35">
      <c r="A2794" s="3">
        <v>1411056</v>
      </c>
      <c r="B2794" s="2" t="s">
        <v>34</v>
      </c>
      <c r="C2794">
        <v>68667</v>
      </c>
      <c r="D2794" s="2" t="s">
        <v>29</v>
      </c>
      <c r="E2794">
        <v>6</v>
      </c>
      <c r="F2794">
        <v>3</v>
      </c>
      <c r="G2794" s="4">
        <f>VALUE(SUBSTITUTE(SUBSTITUTE(Table1[[#This Row],[Price]],"$",""),",",""))</f>
        <v>1411056</v>
      </c>
      <c r="H2794" s="1">
        <f>Table1[[#This Row],[Price2]]/Table1[[#This Row],[Area]]</f>
        <v>856.22330097087377</v>
      </c>
      <c r="I2794">
        <v>1648</v>
      </c>
      <c r="J2794">
        <v>1990</v>
      </c>
      <c r="K2794">
        <v>65</v>
      </c>
      <c r="L2794" t="s">
        <v>30</v>
      </c>
      <c r="M2794" t="s">
        <v>2026</v>
      </c>
      <c r="N2794" s="2" t="s">
        <v>3027</v>
      </c>
      <c r="O2794" t="s">
        <v>3028</v>
      </c>
      <c r="P2794" t="s">
        <v>26</v>
      </c>
      <c r="Q2794">
        <v>856.22330097087377</v>
      </c>
      <c r="R2794">
        <f ca="1">YEAR(TODAY())-Table1[[#This Row],[Year Built]]</f>
        <v>36</v>
      </c>
      <c r="S2794" t="str">
        <f>IF(Table1[[#This Row],[Days on Market]] &lt; 30,"Fast",IF(Table1[[#This Row],[Days on Market]]&lt;= 90,"Average", "Slow"))</f>
        <v>Average</v>
      </c>
      <c r="T2794" t="str">
        <f>IF(Table1[[#This Row],[Price2]]&lt;500000,"Affordable",IF(Table1[[#This Row],[Price2]]&lt;1000000,"Mid range","Luxury"))</f>
        <v>Luxury</v>
      </c>
    </row>
    <row r="2795" spans="1:20" x14ac:dyDescent="0.35">
      <c r="A2795" s="3">
        <v>1411144</v>
      </c>
      <c r="B2795" s="2" t="s">
        <v>12</v>
      </c>
      <c r="C2795">
        <v>72177</v>
      </c>
      <c r="D2795" s="2" t="s">
        <v>18</v>
      </c>
      <c r="E2795">
        <v>3</v>
      </c>
      <c r="F2795">
        <v>1</v>
      </c>
      <c r="G2795" s="4">
        <f>VALUE(SUBSTITUTE(SUBSTITUTE(Table1[[#This Row],[Price]],"$",""),",",""))</f>
        <v>1411144</v>
      </c>
      <c r="H2795" s="1">
        <f>Table1[[#This Row],[Price2]]/Table1[[#This Row],[Area]]</f>
        <v>1683.9427207637232</v>
      </c>
      <c r="I2795">
        <v>838</v>
      </c>
      <c r="J2795">
        <v>1963</v>
      </c>
      <c r="K2795">
        <v>103</v>
      </c>
      <c r="L2795" t="s">
        <v>40</v>
      </c>
      <c r="M2795" t="s">
        <v>328</v>
      </c>
      <c r="N2795" s="2" t="s">
        <v>3031</v>
      </c>
      <c r="O2795" t="s">
        <v>3032</v>
      </c>
      <c r="P2795" t="s">
        <v>16</v>
      </c>
      <c r="Q2795">
        <v>1683.9427207637232</v>
      </c>
      <c r="R2795">
        <f ca="1">YEAR(TODAY())-Table1[[#This Row],[Year Built]]</f>
        <v>63</v>
      </c>
      <c r="S2795" t="str">
        <f>IF(Table1[[#This Row],[Days on Market]] &lt; 30,"Fast",IF(Table1[[#This Row],[Days on Market]]&lt;= 90,"Average", "Slow"))</f>
        <v>Slow</v>
      </c>
      <c r="T2795" t="str">
        <f>IF(Table1[[#This Row],[Price2]]&lt;500000,"Affordable",IF(Table1[[#This Row],[Price2]]&lt;1000000,"Mid range","Luxury"))</f>
        <v>Luxury</v>
      </c>
    </row>
    <row r="2796" spans="1:20" x14ac:dyDescent="0.35">
      <c r="A2796" s="3">
        <v>1411376</v>
      </c>
      <c r="B2796" s="2" t="s">
        <v>12</v>
      </c>
      <c r="C2796">
        <v>94614</v>
      </c>
      <c r="D2796" s="2" t="s">
        <v>29</v>
      </c>
      <c r="E2796">
        <v>5</v>
      </c>
      <c r="F2796">
        <v>3</v>
      </c>
      <c r="G2796" s="4">
        <f>VALUE(SUBSTITUTE(SUBSTITUTE(Table1[[#This Row],[Price]],"$",""),",",""))</f>
        <v>1411376</v>
      </c>
      <c r="H2796" s="1">
        <f>Table1[[#This Row],[Price2]]/Table1[[#This Row],[Area]]</f>
        <v>529.39834958739686</v>
      </c>
      <c r="I2796">
        <v>2666</v>
      </c>
      <c r="J2796">
        <v>1995</v>
      </c>
      <c r="K2796">
        <v>16</v>
      </c>
      <c r="L2796" t="s">
        <v>40</v>
      </c>
      <c r="M2796" t="s">
        <v>150</v>
      </c>
      <c r="N2796" s="2" t="s">
        <v>3027</v>
      </c>
      <c r="O2796" t="s">
        <v>3028</v>
      </c>
      <c r="P2796" t="s">
        <v>16</v>
      </c>
      <c r="Q2796">
        <v>529.39834958739686</v>
      </c>
      <c r="R2796">
        <f ca="1">YEAR(TODAY())-Table1[[#This Row],[Year Built]]</f>
        <v>31</v>
      </c>
      <c r="S2796" t="str">
        <f>IF(Table1[[#This Row],[Days on Market]] &lt; 30,"Fast",IF(Table1[[#This Row],[Days on Market]]&lt;= 90,"Average", "Slow"))</f>
        <v>Fast</v>
      </c>
      <c r="T2796" t="str">
        <f>IF(Table1[[#This Row],[Price2]]&lt;500000,"Affordable",IF(Table1[[#This Row],[Price2]]&lt;1000000,"Mid range","Luxury"))</f>
        <v>Luxury</v>
      </c>
    </row>
    <row r="2797" spans="1:20" x14ac:dyDescent="0.35">
      <c r="A2797" s="3">
        <v>1411570</v>
      </c>
      <c r="B2797" s="2" t="s">
        <v>27</v>
      </c>
      <c r="C2797">
        <v>87189</v>
      </c>
      <c r="D2797" s="2" t="s">
        <v>35</v>
      </c>
      <c r="E2797">
        <v>5</v>
      </c>
      <c r="F2797">
        <v>4</v>
      </c>
      <c r="G2797" s="4">
        <f>VALUE(SUBSTITUTE(SUBSTITUTE(Table1[[#This Row],[Price]],"$",""),",",""))</f>
        <v>1411570</v>
      </c>
      <c r="H2797" s="1">
        <f>Table1[[#This Row],[Price2]]/Table1[[#This Row],[Area]]</f>
        <v>677.98751200768493</v>
      </c>
      <c r="I2797">
        <v>2082</v>
      </c>
      <c r="J2797">
        <v>1972</v>
      </c>
      <c r="K2797">
        <v>112</v>
      </c>
      <c r="L2797" t="s">
        <v>52</v>
      </c>
      <c r="M2797" t="s">
        <v>2871</v>
      </c>
      <c r="N2797" s="2" t="s">
        <v>3027</v>
      </c>
      <c r="O2797" t="s">
        <v>3028</v>
      </c>
      <c r="P2797" t="s">
        <v>16</v>
      </c>
      <c r="Q2797">
        <v>677.98751200768493</v>
      </c>
      <c r="R2797">
        <f ca="1">YEAR(TODAY())-Table1[[#This Row],[Year Built]]</f>
        <v>54</v>
      </c>
      <c r="S2797" t="str">
        <f>IF(Table1[[#This Row],[Days on Market]] &lt; 30,"Fast",IF(Table1[[#This Row],[Days on Market]]&lt;= 90,"Average", "Slow"))</f>
        <v>Slow</v>
      </c>
      <c r="T2797" t="str">
        <f>IF(Table1[[#This Row],[Price2]]&lt;500000,"Affordable",IF(Table1[[#This Row],[Price2]]&lt;1000000,"Mid range","Luxury"))</f>
        <v>Luxury</v>
      </c>
    </row>
    <row r="2798" spans="1:20" x14ac:dyDescent="0.35">
      <c r="A2798" s="3">
        <v>1411656</v>
      </c>
      <c r="B2798" s="2" t="s">
        <v>12</v>
      </c>
      <c r="C2798">
        <v>62811</v>
      </c>
      <c r="D2798" s="2" t="s">
        <v>29</v>
      </c>
      <c r="E2798">
        <v>4</v>
      </c>
      <c r="F2798">
        <v>1</v>
      </c>
      <c r="G2798" s="4">
        <f>VALUE(SUBSTITUTE(SUBSTITUTE(Table1[[#This Row],[Price]],"$",""),",",""))</f>
        <v>1411656</v>
      </c>
      <c r="H2798" s="1">
        <f>Table1[[#This Row],[Price2]]/Table1[[#This Row],[Area]]</f>
        <v>386.7550684931507</v>
      </c>
      <c r="I2798">
        <v>3650</v>
      </c>
      <c r="J2798">
        <v>1983</v>
      </c>
      <c r="K2798">
        <v>2</v>
      </c>
      <c r="L2798" t="s">
        <v>30</v>
      </c>
      <c r="M2798" t="s">
        <v>633</v>
      </c>
      <c r="N2798" s="2" t="s">
        <v>3033</v>
      </c>
      <c r="O2798" t="s">
        <v>3034</v>
      </c>
      <c r="P2798" t="s">
        <v>21</v>
      </c>
      <c r="Q2798">
        <v>386.7550684931507</v>
      </c>
      <c r="R2798">
        <f ca="1">YEAR(TODAY())-Table1[[#This Row],[Year Built]]</f>
        <v>43</v>
      </c>
      <c r="S2798" t="str">
        <f>IF(Table1[[#This Row],[Days on Market]] &lt; 30,"Fast",IF(Table1[[#This Row],[Days on Market]]&lt;= 90,"Average", "Slow"))</f>
        <v>Fast</v>
      </c>
      <c r="T2798" t="str">
        <f>IF(Table1[[#This Row],[Price2]]&lt;500000,"Affordable",IF(Table1[[#This Row],[Price2]]&lt;1000000,"Mid range","Luxury"))</f>
        <v>Luxury</v>
      </c>
    </row>
    <row r="2799" spans="1:20" x14ac:dyDescent="0.35">
      <c r="A2799" s="3">
        <v>1411862</v>
      </c>
      <c r="B2799" s="2" t="s">
        <v>17</v>
      </c>
      <c r="C2799">
        <v>46679</v>
      </c>
      <c r="D2799" s="2" t="s">
        <v>29</v>
      </c>
      <c r="E2799">
        <v>3</v>
      </c>
      <c r="F2799">
        <v>2</v>
      </c>
      <c r="G2799" s="4">
        <f>VALUE(SUBSTITUTE(SUBSTITUTE(Table1[[#This Row],[Price]],"$",""),",",""))</f>
        <v>1411862</v>
      </c>
      <c r="H2799" s="1">
        <f>Table1[[#This Row],[Price2]]/Table1[[#This Row],[Area]]</f>
        <v>2172.0953846153848</v>
      </c>
      <c r="I2799">
        <v>650</v>
      </c>
      <c r="J2799">
        <v>1976</v>
      </c>
      <c r="K2799">
        <v>56</v>
      </c>
      <c r="L2799" t="s">
        <v>40</v>
      </c>
      <c r="M2799" t="s">
        <v>244</v>
      </c>
      <c r="N2799" s="2" t="s">
        <v>3033</v>
      </c>
      <c r="O2799" t="s">
        <v>3034</v>
      </c>
      <c r="P2799" t="s">
        <v>26</v>
      </c>
      <c r="Q2799">
        <v>2172.0953846153848</v>
      </c>
      <c r="R2799">
        <f ca="1">YEAR(TODAY())-Table1[[#This Row],[Year Built]]</f>
        <v>50</v>
      </c>
      <c r="S2799" t="str">
        <f>IF(Table1[[#This Row],[Days on Market]] &lt; 30,"Fast",IF(Table1[[#This Row],[Days on Market]]&lt;= 90,"Average", "Slow"))</f>
        <v>Average</v>
      </c>
      <c r="T2799" t="str">
        <f>IF(Table1[[#This Row],[Price2]]&lt;500000,"Affordable",IF(Table1[[#This Row],[Price2]]&lt;1000000,"Mid range","Luxury"))</f>
        <v>Luxury</v>
      </c>
    </row>
    <row r="2800" spans="1:20" x14ac:dyDescent="0.35">
      <c r="A2800" s="3">
        <v>1411902</v>
      </c>
      <c r="B2800" s="2" t="s">
        <v>22</v>
      </c>
      <c r="C2800">
        <v>38562</v>
      </c>
      <c r="D2800" s="2" t="s">
        <v>35</v>
      </c>
      <c r="E2800">
        <v>2</v>
      </c>
      <c r="F2800">
        <v>1</v>
      </c>
      <c r="G2800" s="4">
        <f>VALUE(SUBSTITUTE(SUBSTITUTE(Table1[[#This Row],[Price]],"$",""),",",""))</f>
        <v>1411902</v>
      </c>
      <c r="H2800" s="1">
        <f>Table1[[#This Row],[Price2]]/Table1[[#This Row],[Area]]</f>
        <v>1400.6964285714287</v>
      </c>
      <c r="I2800">
        <v>1008</v>
      </c>
      <c r="J2800">
        <v>1982</v>
      </c>
      <c r="K2800">
        <v>30</v>
      </c>
      <c r="L2800" t="s">
        <v>40</v>
      </c>
      <c r="M2800" t="s">
        <v>811</v>
      </c>
      <c r="N2800" s="2" t="s">
        <v>3029</v>
      </c>
      <c r="O2800" t="s">
        <v>3030</v>
      </c>
      <c r="P2800" t="s">
        <v>26</v>
      </c>
      <c r="Q2800">
        <v>1400.6964285714287</v>
      </c>
      <c r="R2800">
        <f ca="1">YEAR(TODAY())-Table1[[#This Row],[Year Built]]</f>
        <v>44</v>
      </c>
      <c r="S2800" t="str">
        <f>IF(Table1[[#This Row],[Days on Market]] &lt; 30,"Fast",IF(Table1[[#This Row],[Days on Market]]&lt;= 90,"Average", "Slow"))</f>
        <v>Average</v>
      </c>
      <c r="T2800" t="str">
        <f>IF(Table1[[#This Row],[Price2]]&lt;500000,"Affordable",IF(Table1[[#This Row],[Price2]]&lt;1000000,"Mid range","Luxury"))</f>
        <v>Luxury</v>
      </c>
    </row>
    <row r="2801" spans="1:20" x14ac:dyDescent="0.35">
      <c r="A2801" s="3">
        <v>1412041</v>
      </c>
      <c r="B2801" s="2" t="s">
        <v>17</v>
      </c>
      <c r="C2801">
        <v>93941</v>
      </c>
      <c r="D2801" s="2" t="s">
        <v>13</v>
      </c>
      <c r="E2801">
        <v>4</v>
      </c>
      <c r="F2801">
        <v>3</v>
      </c>
      <c r="G2801" s="4">
        <f>VALUE(SUBSTITUTE(SUBSTITUTE(Table1[[#This Row],[Price]],"$",""),",",""))</f>
        <v>1412041</v>
      </c>
      <c r="H2801" s="1">
        <f>Table1[[#This Row],[Price2]]/Table1[[#This Row],[Area]]</f>
        <v>377.65204600160473</v>
      </c>
      <c r="I2801">
        <v>3739</v>
      </c>
      <c r="J2801">
        <v>2009</v>
      </c>
      <c r="K2801">
        <v>119</v>
      </c>
      <c r="L2801" t="s">
        <v>19</v>
      </c>
      <c r="M2801" t="s">
        <v>2106</v>
      </c>
      <c r="N2801" s="2" t="s">
        <v>3035</v>
      </c>
      <c r="O2801" t="s">
        <v>3036</v>
      </c>
      <c r="P2801" t="s">
        <v>16</v>
      </c>
      <c r="Q2801">
        <v>377.65204600160473</v>
      </c>
      <c r="R2801">
        <f ca="1">YEAR(TODAY())-Table1[[#This Row],[Year Built]]</f>
        <v>17</v>
      </c>
      <c r="S2801" t="str">
        <f>IF(Table1[[#This Row],[Days on Market]] &lt; 30,"Fast",IF(Table1[[#This Row],[Days on Market]]&lt;= 90,"Average", "Slow"))</f>
        <v>Slow</v>
      </c>
      <c r="T2801" t="str">
        <f>IF(Table1[[#This Row],[Price2]]&lt;500000,"Affordable",IF(Table1[[#This Row],[Price2]]&lt;1000000,"Mid range","Luxury"))</f>
        <v>Luxury</v>
      </c>
    </row>
    <row r="2802" spans="1:20" x14ac:dyDescent="0.35">
      <c r="A2802" s="3">
        <v>1413534</v>
      </c>
      <c r="B2802" s="2" t="s">
        <v>34</v>
      </c>
      <c r="C2802">
        <v>33992</v>
      </c>
      <c r="D2802" s="2" t="s">
        <v>13</v>
      </c>
      <c r="E2802">
        <v>6</v>
      </c>
      <c r="F2802">
        <v>2</v>
      </c>
      <c r="G2802" s="4">
        <f>VALUE(SUBSTITUTE(SUBSTITUTE(Table1[[#This Row],[Price]],"$",""),",",""))</f>
        <v>1413534</v>
      </c>
      <c r="H2802" s="1">
        <f>Table1[[#This Row],[Price2]]/Table1[[#This Row],[Area]]</f>
        <v>541.79149099271751</v>
      </c>
      <c r="I2802">
        <v>2609</v>
      </c>
      <c r="J2802">
        <v>1967</v>
      </c>
      <c r="K2802">
        <v>38</v>
      </c>
      <c r="L2802" t="s">
        <v>40</v>
      </c>
      <c r="M2802" t="s">
        <v>316</v>
      </c>
      <c r="N2802" s="2" t="s">
        <v>3027</v>
      </c>
      <c r="O2802" t="s">
        <v>3028</v>
      </c>
      <c r="P2802" t="s">
        <v>21</v>
      </c>
      <c r="Q2802">
        <v>541.79149099271751</v>
      </c>
      <c r="R2802">
        <f ca="1">YEAR(TODAY())-Table1[[#This Row],[Year Built]]</f>
        <v>59</v>
      </c>
      <c r="S2802" t="str">
        <f>IF(Table1[[#This Row],[Days on Market]] &lt; 30,"Fast",IF(Table1[[#This Row],[Days on Market]]&lt;= 90,"Average", "Slow"))</f>
        <v>Average</v>
      </c>
      <c r="T2802" t="str">
        <f>IF(Table1[[#This Row],[Price2]]&lt;500000,"Affordable",IF(Table1[[#This Row],[Price2]]&lt;1000000,"Mid range","Luxury"))</f>
        <v>Luxury</v>
      </c>
    </row>
    <row r="2803" spans="1:20" x14ac:dyDescent="0.35">
      <c r="A2803" s="3">
        <v>1413904</v>
      </c>
      <c r="B2803" s="2" t="s">
        <v>12</v>
      </c>
      <c r="C2803">
        <v>25297</v>
      </c>
      <c r="D2803" s="2" t="s">
        <v>23</v>
      </c>
      <c r="E2803">
        <v>6</v>
      </c>
      <c r="F2803">
        <v>1</v>
      </c>
      <c r="G2803" s="4">
        <f>VALUE(SUBSTITUTE(SUBSTITUTE(Table1[[#This Row],[Price]],"$",""),",",""))</f>
        <v>1413904</v>
      </c>
      <c r="H2803" s="1">
        <f>Table1[[#This Row],[Price2]]/Table1[[#This Row],[Area]]</f>
        <v>922.9138381201044</v>
      </c>
      <c r="I2803">
        <v>1532</v>
      </c>
      <c r="J2803">
        <v>1992</v>
      </c>
      <c r="K2803">
        <v>4</v>
      </c>
      <c r="L2803" t="s">
        <v>30</v>
      </c>
      <c r="M2803" t="s">
        <v>1918</v>
      </c>
      <c r="N2803" s="2" t="s">
        <v>3027</v>
      </c>
      <c r="O2803" t="s">
        <v>3028</v>
      </c>
      <c r="P2803" t="s">
        <v>21</v>
      </c>
      <c r="Q2803">
        <v>922.9138381201044</v>
      </c>
      <c r="R2803">
        <f ca="1">YEAR(TODAY())-Table1[[#This Row],[Year Built]]</f>
        <v>34</v>
      </c>
      <c r="S2803" t="str">
        <f>IF(Table1[[#This Row],[Days on Market]] &lt; 30,"Fast",IF(Table1[[#This Row],[Days on Market]]&lt;= 90,"Average", "Slow"))</f>
        <v>Fast</v>
      </c>
      <c r="T2803" t="str">
        <f>IF(Table1[[#This Row],[Price2]]&lt;500000,"Affordable",IF(Table1[[#This Row],[Price2]]&lt;1000000,"Mid range","Luxury"))</f>
        <v>Luxury</v>
      </c>
    </row>
    <row r="2804" spans="1:20" x14ac:dyDescent="0.35">
      <c r="A2804" s="3">
        <v>1414445</v>
      </c>
      <c r="B2804" s="2" t="s">
        <v>34</v>
      </c>
      <c r="C2804">
        <v>45720</v>
      </c>
      <c r="D2804" s="2" t="s">
        <v>35</v>
      </c>
      <c r="E2804">
        <v>6</v>
      </c>
      <c r="F2804">
        <v>2</v>
      </c>
      <c r="G2804" s="4">
        <f>VALUE(SUBSTITUTE(SUBSTITUTE(Table1[[#This Row],[Price]],"$",""),",",""))</f>
        <v>1414445</v>
      </c>
      <c r="H2804" s="1">
        <f>Table1[[#This Row],[Price2]]/Table1[[#This Row],[Area]]</f>
        <v>715.81224696356276</v>
      </c>
      <c r="I2804">
        <v>1976</v>
      </c>
      <c r="J2804">
        <v>1964</v>
      </c>
      <c r="K2804">
        <v>70</v>
      </c>
      <c r="L2804" t="s">
        <v>19</v>
      </c>
      <c r="M2804" t="s">
        <v>739</v>
      </c>
      <c r="N2804" s="2" t="s">
        <v>3033</v>
      </c>
      <c r="O2804" t="s">
        <v>3034</v>
      </c>
      <c r="P2804" t="s">
        <v>21</v>
      </c>
      <c r="Q2804">
        <v>715.81224696356276</v>
      </c>
      <c r="R2804">
        <f ca="1">YEAR(TODAY())-Table1[[#This Row],[Year Built]]</f>
        <v>62</v>
      </c>
      <c r="S2804" t="str">
        <f>IF(Table1[[#This Row],[Days on Market]] &lt; 30,"Fast",IF(Table1[[#This Row],[Days on Market]]&lt;= 90,"Average", "Slow"))</f>
        <v>Average</v>
      </c>
      <c r="T2804" t="str">
        <f>IF(Table1[[#This Row],[Price2]]&lt;500000,"Affordable",IF(Table1[[#This Row],[Price2]]&lt;1000000,"Mid range","Luxury"))</f>
        <v>Luxury</v>
      </c>
    </row>
    <row r="2805" spans="1:20" x14ac:dyDescent="0.35">
      <c r="A2805" s="3">
        <v>1414669</v>
      </c>
      <c r="B2805" s="2" t="s">
        <v>17</v>
      </c>
      <c r="C2805">
        <v>68184</v>
      </c>
      <c r="D2805" s="2" t="s">
        <v>29</v>
      </c>
      <c r="E2805">
        <v>2</v>
      </c>
      <c r="F2805">
        <v>2</v>
      </c>
      <c r="G2805" s="4">
        <f>VALUE(SUBSTITUTE(SUBSTITUTE(Table1[[#This Row],[Price]],"$",""),",",""))</f>
        <v>1414669</v>
      </c>
      <c r="H2805" s="1">
        <f>Table1[[#This Row],[Price2]]/Table1[[#This Row],[Area]]</f>
        <v>1051.0170876671621</v>
      </c>
      <c r="I2805">
        <v>1346</v>
      </c>
      <c r="J2805">
        <v>1990</v>
      </c>
      <c r="K2805">
        <v>3</v>
      </c>
      <c r="L2805" t="s">
        <v>40</v>
      </c>
      <c r="M2805" t="s">
        <v>819</v>
      </c>
      <c r="N2805" s="2" t="s">
        <v>3035</v>
      </c>
      <c r="O2805" t="s">
        <v>3036</v>
      </c>
      <c r="P2805" t="s">
        <v>26</v>
      </c>
      <c r="Q2805">
        <v>1051.0170876671621</v>
      </c>
      <c r="R2805">
        <f ca="1">YEAR(TODAY())-Table1[[#This Row],[Year Built]]</f>
        <v>36</v>
      </c>
      <c r="S2805" t="str">
        <f>IF(Table1[[#This Row],[Days on Market]] &lt; 30,"Fast",IF(Table1[[#This Row],[Days on Market]]&lt;= 90,"Average", "Slow"))</f>
        <v>Fast</v>
      </c>
      <c r="T2805" t="str">
        <f>IF(Table1[[#This Row],[Price2]]&lt;500000,"Affordable",IF(Table1[[#This Row],[Price2]]&lt;1000000,"Mid range","Luxury"))</f>
        <v>Luxury</v>
      </c>
    </row>
    <row r="2806" spans="1:20" x14ac:dyDescent="0.35">
      <c r="A2806" s="3">
        <v>1414762</v>
      </c>
      <c r="B2806" s="2" t="s">
        <v>22</v>
      </c>
      <c r="C2806">
        <v>60812</v>
      </c>
      <c r="D2806" s="2" t="s">
        <v>23</v>
      </c>
      <c r="E2806">
        <v>5</v>
      </c>
      <c r="F2806">
        <v>4</v>
      </c>
      <c r="G2806" s="4">
        <f>VALUE(SUBSTITUTE(SUBSTITUTE(Table1[[#This Row],[Price]],"$",""),",",""))</f>
        <v>1414762</v>
      </c>
      <c r="H2806" s="1">
        <f>Table1[[#This Row],[Price2]]/Table1[[#This Row],[Area]]</f>
        <v>644.53849658314346</v>
      </c>
      <c r="I2806">
        <v>2195</v>
      </c>
      <c r="J2806">
        <v>1982</v>
      </c>
      <c r="K2806">
        <v>88</v>
      </c>
      <c r="L2806" t="s">
        <v>52</v>
      </c>
      <c r="M2806" t="s">
        <v>1314</v>
      </c>
      <c r="N2806" s="2" t="s">
        <v>3029</v>
      </c>
      <c r="O2806" t="s">
        <v>3030</v>
      </c>
      <c r="P2806" t="s">
        <v>16</v>
      </c>
      <c r="Q2806">
        <v>644.53849658314346</v>
      </c>
      <c r="R2806">
        <f ca="1">YEAR(TODAY())-Table1[[#This Row],[Year Built]]</f>
        <v>44</v>
      </c>
      <c r="S2806" t="str">
        <f>IF(Table1[[#This Row],[Days on Market]] &lt; 30,"Fast",IF(Table1[[#This Row],[Days on Market]]&lt;= 90,"Average", "Slow"))</f>
        <v>Average</v>
      </c>
      <c r="T2806" t="str">
        <f>IF(Table1[[#This Row],[Price2]]&lt;500000,"Affordable",IF(Table1[[#This Row],[Price2]]&lt;1000000,"Mid range","Luxury"))</f>
        <v>Luxury</v>
      </c>
    </row>
    <row r="2807" spans="1:20" x14ac:dyDescent="0.35">
      <c r="A2807" s="3">
        <v>1415195</v>
      </c>
      <c r="B2807" s="2" t="s">
        <v>17</v>
      </c>
      <c r="C2807">
        <v>60647</v>
      </c>
      <c r="D2807" s="2" t="s">
        <v>18</v>
      </c>
      <c r="E2807">
        <v>5</v>
      </c>
      <c r="F2807">
        <v>4</v>
      </c>
      <c r="G2807" s="4">
        <f>VALUE(SUBSTITUTE(SUBSTITUTE(Table1[[#This Row],[Price]],"$",""),",",""))</f>
        <v>1415195</v>
      </c>
      <c r="H2807" s="1">
        <f>Table1[[#This Row],[Price2]]/Table1[[#This Row],[Area]]</f>
        <v>532.82944277108436</v>
      </c>
      <c r="I2807">
        <v>2656</v>
      </c>
      <c r="J2807">
        <v>2014</v>
      </c>
      <c r="K2807">
        <v>22</v>
      </c>
      <c r="L2807" t="s">
        <v>19</v>
      </c>
      <c r="M2807" t="s">
        <v>1194</v>
      </c>
      <c r="N2807" s="2" t="s">
        <v>3027</v>
      </c>
      <c r="O2807" t="s">
        <v>3028</v>
      </c>
      <c r="P2807" t="s">
        <v>21</v>
      </c>
      <c r="Q2807">
        <v>532.82944277108436</v>
      </c>
      <c r="R2807">
        <f ca="1">YEAR(TODAY())-Table1[[#This Row],[Year Built]]</f>
        <v>12</v>
      </c>
      <c r="S2807" t="str">
        <f>IF(Table1[[#This Row],[Days on Market]] &lt; 30,"Fast",IF(Table1[[#This Row],[Days on Market]]&lt;= 90,"Average", "Slow"))</f>
        <v>Fast</v>
      </c>
      <c r="T2807" t="str">
        <f>IF(Table1[[#This Row],[Price2]]&lt;500000,"Affordable",IF(Table1[[#This Row],[Price2]]&lt;1000000,"Mid range","Luxury"))</f>
        <v>Luxury</v>
      </c>
    </row>
    <row r="2808" spans="1:20" x14ac:dyDescent="0.35">
      <c r="A2808" s="3">
        <v>1415825</v>
      </c>
      <c r="B2808" s="2" t="s">
        <v>17</v>
      </c>
      <c r="C2808">
        <v>94609</v>
      </c>
      <c r="D2808" s="2" t="s">
        <v>18</v>
      </c>
      <c r="E2808">
        <v>4</v>
      </c>
      <c r="F2808">
        <v>4</v>
      </c>
      <c r="G2808" s="4">
        <f>VALUE(SUBSTITUTE(SUBSTITUTE(Table1[[#This Row],[Price]],"$",""),",",""))</f>
        <v>1415825</v>
      </c>
      <c r="H2808" s="1">
        <f>Table1[[#This Row],[Price2]]/Table1[[#This Row],[Area]]</f>
        <v>362.19621386543872</v>
      </c>
      <c r="I2808">
        <v>3909</v>
      </c>
      <c r="J2808">
        <v>1966</v>
      </c>
      <c r="K2808">
        <v>94</v>
      </c>
      <c r="L2808" t="s">
        <v>52</v>
      </c>
      <c r="M2808" t="s">
        <v>891</v>
      </c>
      <c r="N2808" s="2" t="s">
        <v>3033</v>
      </c>
      <c r="O2808" t="s">
        <v>3034</v>
      </c>
      <c r="P2808" t="s">
        <v>21</v>
      </c>
      <c r="Q2808">
        <v>362.19621386543872</v>
      </c>
      <c r="R2808">
        <f ca="1">YEAR(TODAY())-Table1[[#This Row],[Year Built]]</f>
        <v>60</v>
      </c>
      <c r="S2808" t="str">
        <f>IF(Table1[[#This Row],[Days on Market]] &lt; 30,"Fast",IF(Table1[[#This Row],[Days on Market]]&lt;= 90,"Average", "Slow"))</f>
        <v>Slow</v>
      </c>
      <c r="T2808" t="str">
        <f>IF(Table1[[#This Row],[Price2]]&lt;500000,"Affordable",IF(Table1[[#This Row],[Price2]]&lt;1000000,"Mid range","Luxury"))</f>
        <v>Luxury</v>
      </c>
    </row>
    <row r="2809" spans="1:20" x14ac:dyDescent="0.35">
      <c r="A2809" s="3">
        <v>1415873</v>
      </c>
      <c r="B2809" s="2" t="s">
        <v>22</v>
      </c>
      <c r="C2809">
        <v>99365</v>
      </c>
      <c r="D2809" s="2" t="s">
        <v>18</v>
      </c>
      <c r="E2809">
        <v>5</v>
      </c>
      <c r="F2809">
        <v>4</v>
      </c>
      <c r="G2809" s="4">
        <f>VALUE(SUBSTITUTE(SUBSTITUTE(Table1[[#This Row],[Price]],"$",""),",",""))</f>
        <v>1415873</v>
      </c>
      <c r="H2809" s="1">
        <f>Table1[[#This Row],[Price2]]/Table1[[#This Row],[Area]]</f>
        <v>441.49454318677891</v>
      </c>
      <c r="I2809">
        <v>3207</v>
      </c>
      <c r="J2809">
        <v>1975</v>
      </c>
      <c r="K2809">
        <v>109</v>
      </c>
      <c r="L2809" t="s">
        <v>52</v>
      </c>
      <c r="M2809" t="s">
        <v>1145</v>
      </c>
      <c r="N2809" s="2" t="s">
        <v>3027</v>
      </c>
      <c r="O2809" t="s">
        <v>3028</v>
      </c>
      <c r="P2809" t="s">
        <v>21</v>
      </c>
      <c r="Q2809">
        <v>441.49454318677891</v>
      </c>
      <c r="R2809">
        <f ca="1">YEAR(TODAY())-Table1[[#This Row],[Year Built]]</f>
        <v>51</v>
      </c>
      <c r="S2809" t="str">
        <f>IF(Table1[[#This Row],[Days on Market]] &lt; 30,"Fast",IF(Table1[[#This Row],[Days on Market]]&lt;= 90,"Average", "Slow"))</f>
        <v>Slow</v>
      </c>
      <c r="T2809" t="str">
        <f>IF(Table1[[#This Row],[Price2]]&lt;500000,"Affordable",IF(Table1[[#This Row],[Price2]]&lt;1000000,"Mid range","Luxury"))</f>
        <v>Luxury</v>
      </c>
    </row>
    <row r="2810" spans="1:20" x14ac:dyDescent="0.35">
      <c r="A2810" s="3">
        <v>1416409</v>
      </c>
      <c r="B2810" s="2" t="s">
        <v>34</v>
      </c>
      <c r="C2810">
        <v>27396</v>
      </c>
      <c r="D2810" s="2" t="s">
        <v>35</v>
      </c>
      <c r="E2810">
        <v>2</v>
      </c>
      <c r="F2810">
        <v>3</v>
      </c>
      <c r="G2810" s="4">
        <f>VALUE(SUBSTITUTE(SUBSTITUTE(Table1[[#This Row],[Price]],"$",""),",",""))</f>
        <v>1416409</v>
      </c>
      <c r="H2810" s="1">
        <f>Table1[[#This Row],[Price2]]/Table1[[#This Row],[Area]]</f>
        <v>393.44694444444445</v>
      </c>
      <c r="I2810">
        <v>3600</v>
      </c>
      <c r="J2810">
        <v>1983</v>
      </c>
      <c r="K2810">
        <v>5</v>
      </c>
      <c r="L2810" t="s">
        <v>14</v>
      </c>
      <c r="M2810" t="s">
        <v>786</v>
      </c>
      <c r="N2810" s="2" t="s">
        <v>3035</v>
      </c>
      <c r="O2810" t="s">
        <v>3036</v>
      </c>
      <c r="P2810" t="s">
        <v>16</v>
      </c>
      <c r="Q2810">
        <v>393.44694444444445</v>
      </c>
      <c r="R2810">
        <f ca="1">YEAR(TODAY())-Table1[[#This Row],[Year Built]]</f>
        <v>43</v>
      </c>
      <c r="S2810" t="str">
        <f>IF(Table1[[#This Row],[Days on Market]] &lt; 30,"Fast",IF(Table1[[#This Row],[Days on Market]]&lt;= 90,"Average", "Slow"))</f>
        <v>Fast</v>
      </c>
      <c r="T2810" t="str">
        <f>IF(Table1[[#This Row],[Price2]]&lt;500000,"Affordable",IF(Table1[[#This Row],[Price2]]&lt;1000000,"Mid range","Luxury"))</f>
        <v>Luxury</v>
      </c>
    </row>
    <row r="2811" spans="1:20" x14ac:dyDescent="0.35">
      <c r="A2811" s="3">
        <v>1417093</v>
      </c>
      <c r="B2811" s="2" t="s">
        <v>34</v>
      </c>
      <c r="C2811">
        <v>89613</v>
      </c>
      <c r="D2811" s="2" t="s">
        <v>18</v>
      </c>
      <c r="E2811">
        <v>4</v>
      </c>
      <c r="F2811">
        <v>3</v>
      </c>
      <c r="G2811" s="4">
        <f>VALUE(SUBSTITUTE(SUBSTITUTE(Table1[[#This Row],[Price]],"$",""),",",""))</f>
        <v>1417093</v>
      </c>
      <c r="H2811" s="1">
        <f>Table1[[#This Row],[Price2]]/Table1[[#This Row],[Area]]</f>
        <v>846.02567164179106</v>
      </c>
      <c r="I2811">
        <v>1675</v>
      </c>
      <c r="J2811">
        <v>1983</v>
      </c>
      <c r="K2811">
        <v>2</v>
      </c>
      <c r="L2811" t="s">
        <v>52</v>
      </c>
      <c r="M2811" t="s">
        <v>1636</v>
      </c>
      <c r="N2811" s="2" t="s">
        <v>3027</v>
      </c>
      <c r="O2811" t="s">
        <v>3028</v>
      </c>
      <c r="P2811" t="s">
        <v>21</v>
      </c>
      <c r="Q2811">
        <v>846.02567164179106</v>
      </c>
      <c r="R2811">
        <f ca="1">YEAR(TODAY())-Table1[[#This Row],[Year Built]]</f>
        <v>43</v>
      </c>
      <c r="S2811" t="str">
        <f>IF(Table1[[#This Row],[Days on Market]] &lt; 30,"Fast",IF(Table1[[#This Row],[Days on Market]]&lt;= 90,"Average", "Slow"))</f>
        <v>Fast</v>
      </c>
      <c r="T2811" t="str">
        <f>IF(Table1[[#This Row],[Price2]]&lt;500000,"Affordable",IF(Table1[[#This Row],[Price2]]&lt;1000000,"Mid range","Luxury"))</f>
        <v>Luxury</v>
      </c>
    </row>
    <row r="2812" spans="1:20" x14ac:dyDescent="0.35">
      <c r="A2812" s="3">
        <v>1417416</v>
      </c>
      <c r="B2812" s="2" t="s">
        <v>27</v>
      </c>
      <c r="C2812">
        <v>78697</v>
      </c>
      <c r="D2812" s="2" t="s">
        <v>13</v>
      </c>
      <c r="E2812">
        <v>2</v>
      </c>
      <c r="F2812">
        <v>1</v>
      </c>
      <c r="G2812" s="4">
        <f>VALUE(SUBSTITUTE(SUBSTITUTE(Table1[[#This Row],[Price]],"$",""),",",""))</f>
        <v>1417416</v>
      </c>
      <c r="H2812" s="1">
        <f>Table1[[#This Row],[Price2]]/Table1[[#This Row],[Area]]</f>
        <v>1077.063829787234</v>
      </c>
      <c r="I2812">
        <v>1316</v>
      </c>
      <c r="J2812">
        <v>2015</v>
      </c>
      <c r="K2812">
        <v>115</v>
      </c>
      <c r="L2812" t="s">
        <v>19</v>
      </c>
      <c r="M2812" t="s">
        <v>2795</v>
      </c>
      <c r="N2812" s="2" t="s">
        <v>3029</v>
      </c>
      <c r="O2812" t="s">
        <v>3030</v>
      </c>
      <c r="P2812" t="s">
        <v>16</v>
      </c>
      <c r="Q2812">
        <v>1077.063829787234</v>
      </c>
      <c r="R2812">
        <f ca="1">YEAR(TODAY())-Table1[[#This Row],[Year Built]]</f>
        <v>11</v>
      </c>
      <c r="S2812" t="str">
        <f>IF(Table1[[#This Row],[Days on Market]] &lt; 30,"Fast",IF(Table1[[#This Row],[Days on Market]]&lt;= 90,"Average", "Slow"))</f>
        <v>Slow</v>
      </c>
      <c r="T2812" t="str">
        <f>IF(Table1[[#This Row],[Price2]]&lt;500000,"Affordable",IF(Table1[[#This Row],[Price2]]&lt;1000000,"Mid range","Luxury"))</f>
        <v>Luxury</v>
      </c>
    </row>
    <row r="2813" spans="1:20" x14ac:dyDescent="0.35">
      <c r="A2813" s="3">
        <v>1417682</v>
      </c>
      <c r="B2813" s="2" t="s">
        <v>22</v>
      </c>
      <c r="C2813">
        <v>64667</v>
      </c>
      <c r="D2813" s="2" t="s">
        <v>18</v>
      </c>
      <c r="E2813">
        <v>4</v>
      </c>
      <c r="F2813">
        <v>4</v>
      </c>
      <c r="G2813" s="4">
        <f>VALUE(SUBSTITUTE(SUBSTITUTE(Table1[[#This Row],[Price]],"$",""),",",""))</f>
        <v>1417682</v>
      </c>
      <c r="H2813" s="1">
        <f>Table1[[#This Row],[Price2]]/Table1[[#This Row],[Area]]</f>
        <v>2257.4554140127389</v>
      </c>
      <c r="I2813">
        <v>628</v>
      </c>
      <c r="J2813">
        <v>2018</v>
      </c>
      <c r="K2813">
        <v>5</v>
      </c>
      <c r="L2813" t="s">
        <v>52</v>
      </c>
      <c r="M2813" t="s">
        <v>2076</v>
      </c>
      <c r="N2813" s="2" t="s">
        <v>3031</v>
      </c>
      <c r="O2813" t="s">
        <v>3032</v>
      </c>
      <c r="P2813" t="s">
        <v>21</v>
      </c>
      <c r="Q2813">
        <v>2257.4554140127389</v>
      </c>
      <c r="R2813">
        <f ca="1">YEAR(TODAY())-Table1[[#This Row],[Year Built]]</f>
        <v>8</v>
      </c>
      <c r="S2813" t="str">
        <f>IF(Table1[[#This Row],[Days on Market]] &lt; 30,"Fast",IF(Table1[[#This Row],[Days on Market]]&lt;= 90,"Average", "Slow"))</f>
        <v>Fast</v>
      </c>
      <c r="T2813" t="str">
        <f>IF(Table1[[#This Row],[Price2]]&lt;500000,"Affordable",IF(Table1[[#This Row],[Price2]]&lt;1000000,"Mid range","Luxury"))</f>
        <v>Luxury</v>
      </c>
    </row>
    <row r="2814" spans="1:20" x14ac:dyDescent="0.35">
      <c r="A2814" s="3">
        <v>1417766</v>
      </c>
      <c r="B2814" s="2" t="s">
        <v>34</v>
      </c>
      <c r="C2814">
        <v>91508</v>
      </c>
      <c r="D2814" s="2" t="s">
        <v>23</v>
      </c>
      <c r="E2814">
        <v>5</v>
      </c>
      <c r="F2814">
        <v>1</v>
      </c>
      <c r="G2814" s="4">
        <f>VALUE(SUBSTITUTE(SUBSTITUTE(Table1[[#This Row],[Price]],"$",""),",",""))</f>
        <v>1417766</v>
      </c>
      <c r="H2814" s="1">
        <f>Table1[[#This Row],[Price2]]/Table1[[#This Row],[Area]]</f>
        <v>634.06350626118069</v>
      </c>
      <c r="I2814">
        <v>2236</v>
      </c>
      <c r="J2814">
        <v>1994</v>
      </c>
      <c r="K2814">
        <v>5</v>
      </c>
      <c r="L2814" t="s">
        <v>52</v>
      </c>
      <c r="M2814" t="s">
        <v>988</v>
      </c>
      <c r="N2814" s="2" t="s">
        <v>3033</v>
      </c>
      <c r="O2814" t="s">
        <v>3034</v>
      </c>
      <c r="P2814" t="s">
        <v>21</v>
      </c>
      <c r="Q2814">
        <v>634.06350626118069</v>
      </c>
      <c r="R2814">
        <f ca="1">YEAR(TODAY())-Table1[[#This Row],[Year Built]]</f>
        <v>32</v>
      </c>
      <c r="S2814" t="str">
        <f>IF(Table1[[#This Row],[Days on Market]] &lt; 30,"Fast",IF(Table1[[#This Row],[Days on Market]]&lt;= 90,"Average", "Slow"))</f>
        <v>Fast</v>
      </c>
      <c r="T2814" t="str">
        <f>IF(Table1[[#This Row],[Price2]]&lt;500000,"Affordable",IF(Table1[[#This Row],[Price2]]&lt;1000000,"Mid range","Luxury"))</f>
        <v>Luxury</v>
      </c>
    </row>
    <row r="2815" spans="1:20" x14ac:dyDescent="0.35">
      <c r="A2815" s="3">
        <v>1417864</v>
      </c>
      <c r="B2815" s="2" t="s">
        <v>34</v>
      </c>
      <c r="C2815">
        <v>64492</v>
      </c>
      <c r="D2815" s="2" t="s">
        <v>29</v>
      </c>
      <c r="E2815">
        <v>2</v>
      </c>
      <c r="F2815">
        <v>4</v>
      </c>
      <c r="G2815" s="4">
        <f>VALUE(SUBSTITUTE(SUBSTITUTE(Table1[[#This Row],[Price]],"$",""),",",""))</f>
        <v>1417864</v>
      </c>
      <c r="H2815" s="1">
        <f>Table1[[#This Row],[Price2]]/Table1[[#This Row],[Area]]</f>
        <v>590.77666666666664</v>
      </c>
      <c r="I2815">
        <v>2400</v>
      </c>
      <c r="J2815">
        <v>2013</v>
      </c>
      <c r="K2815">
        <v>107</v>
      </c>
      <c r="L2815" t="s">
        <v>14</v>
      </c>
      <c r="M2815" t="s">
        <v>1924</v>
      </c>
      <c r="N2815" s="2" t="s">
        <v>3035</v>
      </c>
      <c r="O2815" t="s">
        <v>3036</v>
      </c>
      <c r="P2815" t="s">
        <v>21</v>
      </c>
      <c r="Q2815">
        <v>590.77666666666664</v>
      </c>
      <c r="R2815">
        <f ca="1">YEAR(TODAY())-Table1[[#This Row],[Year Built]]</f>
        <v>13</v>
      </c>
      <c r="S2815" t="str">
        <f>IF(Table1[[#This Row],[Days on Market]] &lt; 30,"Fast",IF(Table1[[#This Row],[Days on Market]]&lt;= 90,"Average", "Slow"))</f>
        <v>Slow</v>
      </c>
      <c r="T2815" t="str">
        <f>IF(Table1[[#This Row],[Price2]]&lt;500000,"Affordable",IF(Table1[[#This Row],[Price2]]&lt;1000000,"Mid range","Luxury"))</f>
        <v>Luxury</v>
      </c>
    </row>
    <row r="2816" spans="1:20" x14ac:dyDescent="0.35">
      <c r="A2816" s="3">
        <v>1418370</v>
      </c>
      <c r="B2816" s="2" t="s">
        <v>27</v>
      </c>
      <c r="C2816">
        <v>92569</v>
      </c>
      <c r="D2816" s="2" t="s">
        <v>29</v>
      </c>
      <c r="E2816">
        <v>4</v>
      </c>
      <c r="F2816">
        <v>4</v>
      </c>
      <c r="G2816" s="4">
        <f>VALUE(SUBSTITUTE(SUBSTITUTE(Table1[[#This Row],[Price]],"$",""),",",""))</f>
        <v>1418370</v>
      </c>
      <c r="H2816" s="1">
        <f>Table1[[#This Row],[Price2]]/Table1[[#This Row],[Area]]</f>
        <v>707.06380857427712</v>
      </c>
      <c r="I2816">
        <v>2006</v>
      </c>
      <c r="J2816">
        <v>2023</v>
      </c>
      <c r="K2816">
        <v>15</v>
      </c>
      <c r="L2816" t="s">
        <v>52</v>
      </c>
      <c r="M2816" t="s">
        <v>647</v>
      </c>
      <c r="N2816" s="2" t="s">
        <v>3035</v>
      </c>
      <c r="O2816" t="s">
        <v>3036</v>
      </c>
      <c r="P2816" t="s">
        <v>26</v>
      </c>
      <c r="Q2816">
        <v>707.06380857427712</v>
      </c>
      <c r="R2816">
        <f ca="1">YEAR(TODAY())-Table1[[#This Row],[Year Built]]</f>
        <v>3</v>
      </c>
      <c r="S2816" t="str">
        <f>IF(Table1[[#This Row],[Days on Market]] &lt; 30,"Fast",IF(Table1[[#This Row],[Days on Market]]&lt;= 90,"Average", "Slow"))</f>
        <v>Fast</v>
      </c>
      <c r="T2816" t="str">
        <f>IF(Table1[[#This Row],[Price2]]&lt;500000,"Affordable",IF(Table1[[#This Row],[Price2]]&lt;1000000,"Mid range","Luxury"))</f>
        <v>Luxury</v>
      </c>
    </row>
    <row r="2817" spans="1:20" x14ac:dyDescent="0.35">
      <c r="A2817" s="3">
        <v>1418754</v>
      </c>
      <c r="B2817" s="2" t="s">
        <v>22</v>
      </c>
      <c r="C2817">
        <v>19965</v>
      </c>
      <c r="D2817" s="2" t="s">
        <v>29</v>
      </c>
      <c r="E2817">
        <v>6</v>
      </c>
      <c r="F2817">
        <v>1</v>
      </c>
      <c r="G2817" s="4">
        <f>VALUE(SUBSTITUTE(SUBSTITUTE(Table1[[#This Row],[Price]],"$",""),",",""))</f>
        <v>1418754</v>
      </c>
      <c r="H2817" s="1">
        <f>Table1[[#This Row],[Price2]]/Table1[[#This Row],[Area]]</f>
        <v>409.21661378713583</v>
      </c>
      <c r="I2817">
        <v>3467</v>
      </c>
      <c r="J2817">
        <v>2012</v>
      </c>
      <c r="K2817">
        <v>88</v>
      </c>
      <c r="L2817" t="s">
        <v>14</v>
      </c>
      <c r="M2817" t="s">
        <v>1697</v>
      </c>
      <c r="N2817" s="2" t="s">
        <v>3029</v>
      </c>
      <c r="O2817" t="s">
        <v>3030</v>
      </c>
      <c r="P2817" t="s">
        <v>21</v>
      </c>
      <c r="Q2817">
        <v>409.21661378713583</v>
      </c>
      <c r="R2817">
        <f ca="1">YEAR(TODAY())-Table1[[#This Row],[Year Built]]</f>
        <v>14</v>
      </c>
      <c r="S2817" t="str">
        <f>IF(Table1[[#This Row],[Days on Market]] &lt; 30,"Fast",IF(Table1[[#This Row],[Days on Market]]&lt;= 90,"Average", "Slow"))</f>
        <v>Average</v>
      </c>
      <c r="T2817" t="str">
        <f>IF(Table1[[#This Row],[Price2]]&lt;500000,"Affordable",IF(Table1[[#This Row],[Price2]]&lt;1000000,"Mid range","Luxury"))</f>
        <v>Luxury</v>
      </c>
    </row>
    <row r="2818" spans="1:20" x14ac:dyDescent="0.35">
      <c r="A2818" s="3">
        <v>1418824</v>
      </c>
      <c r="B2818" s="2" t="s">
        <v>12</v>
      </c>
      <c r="C2818">
        <v>96081</v>
      </c>
      <c r="D2818" s="2" t="s">
        <v>23</v>
      </c>
      <c r="E2818">
        <v>3</v>
      </c>
      <c r="F2818">
        <v>1</v>
      </c>
      <c r="G2818" s="4">
        <f>VALUE(SUBSTITUTE(SUBSTITUTE(Table1[[#This Row],[Price]],"$",""),",",""))</f>
        <v>1418824</v>
      </c>
      <c r="H2818" s="1">
        <f>Table1[[#This Row],[Price2]]/Table1[[#This Row],[Area]]</f>
        <v>396.54108440469537</v>
      </c>
      <c r="I2818">
        <v>3578</v>
      </c>
      <c r="J2818">
        <v>2011</v>
      </c>
      <c r="K2818">
        <v>13</v>
      </c>
      <c r="L2818" t="s">
        <v>14</v>
      </c>
      <c r="M2818" t="s">
        <v>2372</v>
      </c>
      <c r="N2818" s="2" t="s">
        <v>3033</v>
      </c>
      <c r="O2818" t="s">
        <v>3034</v>
      </c>
      <c r="P2818" t="s">
        <v>16</v>
      </c>
      <c r="Q2818">
        <v>396.54108440469537</v>
      </c>
      <c r="R2818">
        <f ca="1">YEAR(TODAY())-Table1[[#This Row],[Year Built]]</f>
        <v>15</v>
      </c>
      <c r="S2818" t="str">
        <f>IF(Table1[[#This Row],[Days on Market]] &lt; 30,"Fast",IF(Table1[[#This Row],[Days on Market]]&lt;= 90,"Average", "Slow"))</f>
        <v>Fast</v>
      </c>
      <c r="T2818" t="str">
        <f>IF(Table1[[#This Row],[Price2]]&lt;500000,"Affordable",IF(Table1[[#This Row],[Price2]]&lt;1000000,"Mid range","Luxury"))</f>
        <v>Luxury</v>
      </c>
    </row>
    <row r="2819" spans="1:20" x14ac:dyDescent="0.35">
      <c r="A2819" s="3">
        <v>1419240</v>
      </c>
      <c r="B2819" s="2" t="s">
        <v>17</v>
      </c>
      <c r="C2819">
        <v>57526</v>
      </c>
      <c r="D2819" s="2" t="s">
        <v>23</v>
      </c>
      <c r="E2819">
        <v>4</v>
      </c>
      <c r="F2819">
        <v>2</v>
      </c>
      <c r="G2819" s="4">
        <f>VALUE(SUBSTITUTE(SUBSTITUTE(Table1[[#This Row],[Price]],"$",""),",",""))</f>
        <v>1419240</v>
      </c>
      <c r="H2819" s="1">
        <f>Table1[[#This Row],[Price2]]/Table1[[#This Row],[Area]]</f>
        <v>852.90865384615381</v>
      </c>
      <c r="I2819">
        <v>1664</v>
      </c>
      <c r="J2819">
        <v>1969</v>
      </c>
      <c r="K2819">
        <v>92</v>
      </c>
      <c r="L2819" t="s">
        <v>19</v>
      </c>
      <c r="M2819" t="s">
        <v>1054</v>
      </c>
      <c r="N2819" s="2" t="s">
        <v>3035</v>
      </c>
      <c r="O2819" t="s">
        <v>3036</v>
      </c>
      <c r="P2819" t="s">
        <v>21</v>
      </c>
      <c r="Q2819">
        <v>852.90865384615381</v>
      </c>
      <c r="R2819">
        <f ca="1">YEAR(TODAY())-Table1[[#This Row],[Year Built]]</f>
        <v>57</v>
      </c>
      <c r="S2819" t="str">
        <f>IF(Table1[[#This Row],[Days on Market]] &lt; 30,"Fast",IF(Table1[[#This Row],[Days on Market]]&lt;= 90,"Average", "Slow"))</f>
        <v>Slow</v>
      </c>
      <c r="T2819" t="str">
        <f>IF(Table1[[#This Row],[Price2]]&lt;500000,"Affordable",IF(Table1[[#This Row],[Price2]]&lt;1000000,"Mid range","Luxury"))</f>
        <v>Luxury</v>
      </c>
    </row>
    <row r="2820" spans="1:20" x14ac:dyDescent="0.35">
      <c r="A2820" s="3">
        <v>1419776</v>
      </c>
      <c r="B2820" s="2" t="s">
        <v>27</v>
      </c>
      <c r="C2820">
        <v>12078</v>
      </c>
      <c r="D2820" s="2" t="s">
        <v>29</v>
      </c>
      <c r="E2820">
        <v>4</v>
      </c>
      <c r="F2820">
        <v>2</v>
      </c>
      <c r="G2820" s="4">
        <f>VALUE(SUBSTITUTE(SUBSTITUTE(Table1[[#This Row],[Price]],"$",""),",",""))</f>
        <v>1419776</v>
      </c>
      <c r="H2820" s="1">
        <f>Table1[[#This Row],[Price2]]/Table1[[#This Row],[Area]]</f>
        <v>758.02242391884681</v>
      </c>
      <c r="I2820">
        <v>1873</v>
      </c>
      <c r="J2820">
        <v>2016</v>
      </c>
      <c r="K2820">
        <v>56</v>
      </c>
      <c r="L2820" t="s">
        <v>14</v>
      </c>
      <c r="M2820" t="s">
        <v>1628</v>
      </c>
      <c r="N2820" s="2" t="s">
        <v>3035</v>
      </c>
      <c r="O2820" t="s">
        <v>3036</v>
      </c>
      <c r="P2820" t="s">
        <v>16</v>
      </c>
      <c r="Q2820">
        <v>758.02242391884681</v>
      </c>
      <c r="R2820">
        <f ca="1">YEAR(TODAY())-Table1[[#This Row],[Year Built]]</f>
        <v>10</v>
      </c>
      <c r="S2820" t="str">
        <f>IF(Table1[[#This Row],[Days on Market]] &lt; 30,"Fast",IF(Table1[[#This Row],[Days on Market]]&lt;= 90,"Average", "Slow"))</f>
        <v>Average</v>
      </c>
      <c r="T2820" t="str">
        <f>IF(Table1[[#This Row],[Price2]]&lt;500000,"Affordable",IF(Table1[[#This Row],[Price2]]&lt;1000000,"Mid range","Luxury"))</f>
        <v>Luxury</v>
      </c>
    </row>
    <row r="2821" spans="1:20" x14ac:dyDescent="0.35">
      <c r="A2821" s="3">
        <v>1420500</v>
      </c>
      <c r="B2821" s="2" t="s">
        <v>17</v>
      </c>
      <c r="C2821">
        <v>19350</v>
      </c>
      <c r="D2821" s="2" t="s">
        <v>23</v>
      </c>
      <c r="E2821">
        <v>3</v>
      </c>
      <c r="F2821">
        <v>2</v>
      </c>
      <c r="G2821" s="4">
        <f>VALUE(SUBSTITUTE(SUBSTITUTE(Table1[[#This Row],[Price]],"$",""),",",""))</f>
        <v>1420500</v>
      </c>
      <c r="H2821" s="1">
        <f>Table1[[#This Row],[Price2]]/Table1[[#This Row],[Area]]</f>
        <v>907.66773162939296</v>
      </c>
      <c r="I2821">
        <v>1565</v>
      </c>
      <c r="J2821">
        <v>1960</v>
      </c>
      <c r="K2821">
        <v>89</v>
      </c>
      <c r="L2821" t="s">
        <v>30</v>
      </c>
      <c r="M2821" t="s">
        <v>906</v>
      </c>
      <c r="N2821" s="2" t="s">
        <v>3027</v>
      </c>
      <c r="O2821" t="s">
        <v>3028</v>
      </c>
      <c r="P2821" t="s">
        <v>26</v>
      </c>
      <c r="Q2821">
        <v>907.66773162939296</v>
      </c>
      <c r="R2821">
        <f ca="1">YEAR(TODAY())-Table1[[#This Row],[Year Built]]</f>
        <v>66</v>
      </c>
      <c r="S2821" t="str">
        <f>IF(Table1[[#This Row],[Days on Market]] &lt; 30,"Fast",IF(Table1[[#This Row],[Days on Market]]&lt;= 90,"Average", "Slow"))</f>
        <v>Average</v>
      </c>
      <c r="T2821" t="str">
        <f>IF(Table1[[#This Row],[Price2]]&lt;500000,"Affordable",IF(Table1[[#This Row],[Price2]]&lt;1000000,"Mid range","Luxury"))</f>
        <v>Luxury</v>
      </c>
    </row>
    <row r="2822" spans="1:20" x14ac:dyDescent="0.35">
      <c r="A2822" s="3">
        <v>1420675</v>
      </c>
      <c r="B2822" s="2" t="s">
        <v>22</v>
      </c>
      <c r="C2822">
        <v>85564</v>
      </c>
      <c r="D2822" s="2" t="s">
        <v>35</v>
      </c>
      <c r="E2822">
        <v>3</v>
      </c>
      <c r="F2822">
        <v>1</v>
      </c>
      <c r="G2822" s="4">
        <f>VALUE(SUBSTITUTE(SUBSTITUTE(Table1[[#This Row],[Price]],"$",""),",",""))</f>
        <v>1420675</v>
      </c>
      <c r="H2822" s="1">
        <f>Table1[[#This Row],[Price2]]/Table1[[#This Row],[Area]]</f>
        <v>591.45503746877603</v>
      </c>
      <c r="I2822">
        <v>2402</v>
      </c>
      <c r="J2822">
        <v>1971</v>
      </c>
      <c r="K2822">
        <v>33</v>
      </c>
      <c r="L2822" t="s">
        <v>52</v>
      </c>
      <c r="M2822" t="s">
        <v>1870</v>
      </c>
      <c r="N2822" s="2" t="s">
        <v>3031</v>
      </c>
      <c r="O2822" t="s">
        <v>3032</v>
      </c>
      <c r="P2822" t="s">
        <v>26</v>
      </c>
      <c r="Q2822">
        <v>591.45503746877603</v>
      </c>
      <c r="R2822">
        <f ca="1">YEAR(TODAY())-Table1[[#This Row],[Year Built]]</f>
        <v>55</v>
      </c>
      <c r="S2822" t="str">
        <f>IF(Table1[[#This Row],[Days on Market]] &lt; 30,"Fast",IF(Table1[[#This Row],[Days on Market]]&lt;= 90,"Average", "Slow"))</f>
        <v>Average</v>
      </c>
      <c r="T2822" t="str">
        <f>IF(Table1[[#This Row],[Price2]]&lt;500000,"Affordable",IF(Table1[[#This Row],[Price2]]&lt;1000000,"Mid range","Luxury"))</f>
        <v>Luxury</v>
      </c>
    </row>
    <row r="2823" spans="1:20" x14ac:dyDescent="0.35">
      <c r="A2823" s="3">
        <v>1421337</v>
      </c>
      <c r="B2823" s="2" t="s">
        <v>22</v>
      </c>
      <c r="C2823">
        <v>34535</v>
      </c>
      <c r="D2823" s="2" t="s">
        <v>23</v>
      </c>
      <c r="E2823">
        <v>1</v>
      </c>
      <c r="F2823">
        <v>1</v>
      </c>
      <c r="G2823" s="4">
        <f>VALUE(SUBSTITUTE(SUBSTITUTE(Table1[[#This Row],[Price]],"$",""),",",""))</f>
        <v>1421337</v>
      </c>
      <c r="H2823" s="1">
        <f>Table1[[#This Row],[Price2]]/Table1[[#This Row],[Area]]</f>
        <v>878.45302843016066</v>
      </c>
      <c r="I2823">
        <v>1618</v>
      </c>
      <c r="J2823">
        <v>1992</v>
      </c>
      <c r="K2823">
        <v>103</v>
      </c>
      <c r="L2823" t="s">
        <v>30</v>
      </c>
      <c r="M2823" t="s">
        <v>1383</v>
      </c>
      <c r="N2823" s="2" t="s">
        <v>3035</v>
      </c>
      <c r="O2823" t="s">
        <v>3036</v>
      </c>
      <c r="P2823" t="s">
        <v>21</v>
      </c>
      <c r="Q2823">
        <v>878.45302843016066</v>
      </c>
      <c r="R2823">
        <f ca="1">YEAR(TODAY())-Table1[[#This Row],[Year Built]]</f>
        <v>34</v>
      </c>
      <c r="S2823" t="str">
        <f>IF(Table1[[#This Row],[Days on Market]] &lt; 30,"Fast",IF(Table1[[#This Row],[Days on Market]]&lt;= 90,"Average", "Slow"))</f>
        <v>Slow</v>
      </c>
      <c r="T2823" t="str">
        <f>IF(Table1[[#This Row],[Price2]]&lt;500000,"Affordable",IF(Table1[[#This Row],[Price2]]&lt;1000000,"Mid range","Luxury"))</f>
        <v>Luxury</v>
      </c>
    </row>
    <row r="2824" spans="1:20" x14ac:dyDescent="0.35">
      <c r="A2824" s="3">
        <v>1421824</v>
      </c>
      <c r="B2824" s="2" t="s">
        <v>12</v>
      </c>
      <c r="C2824">
        <v>90159</v>
      </c>
      <c r="D2824" s="2" t="s">
        <v>13</v>
      </c>
      <c r="E2824">
        <v>6</v>
      </c>
      <c r="F2824">
        <v>3</v>
      </c>
      <c r="G2824" s="4">
        <f>VALUE(SUBSTITUTE(SUBSTITUTE(Table1[[#This Row],[Price]],"$",""),",",""))</f>
        <v>1421824</v>
      </c>
      <c r="H2824" s="1">
        <f>Table1[[#This Row],[Price2]]/Table1[[#This Row],[Area]]</f>
        <v>421.53098132226506</v>
      </c>
      <c r="I2824">
        <v>3373</v>
      </c>
      <c r="J2824">
        <v>1964</v>
      </c>
      <c r="K2824">
        <v>83</v>
      </c>
      <c r="L2824" t="s">
        <v>40</v>
      </c>
      <c r="M2824" t="s">
        <v>2695</v>
      </c>
      <c r="N2824" s="2" t="s">
        <v>3031</v>
      </c>
      <c r="O2824" t="s">
        <v>3032</v>
      </c>
      <c r="P2824" t="s">
        <v>26</v>
      </c>
      <c r="Q2824">
        <v>421.53098132226506</v>
      </c>
      <c r="R2824">
        <f ca="1">YEAR(TODAY())-Table1[[#This Row],[Year Built]]</f>
        <v>62</v>
      </c>
      <c r="S2824" t="str">
        <f>IF(Table1[[#This Row],[Days on Market]] &lt; 30,"Fast",IF(Table1[[#This Row],[Days on Market]]&lt;= 90,"Average", "Slow"))</f>
        <v>Average</v>
      </c>
      <c r="T2824" t="str">
        <f>IF(Table1[[#This Row],[Price2]]&lt;500000,"Affordable",IF(Table1[[#This Row],[Price2]]&lt;1000000,"Mid range","Luxury"))</f>
        <v>Luxury</v>
      </c>
    </row>
    <row r="2825" spans="1:20" x14ac:dyDescent="0.35">
      <c r="A2825" s="3">
        <v>1422607</v>
      </c>
      <c r="B2825" s="2" t="s">
        <v>27</v>
      </c>
      <c r="C2825">
        <v>10491</v>
      </c>
      <c r="D2825" s="2" t="s">
        <v>23</v>
      </c>
      <c r="E2825">
        <v>2</v>
      </c>
      <c r="F2825">
        <v>2</v>
      </c>
      <c r="G2825" s="4">
        <f>VALUE(SUBSTITUTE(SUBSTITUTE(Table1[[#This Row],[Price]],"$",""),",",""))</f>
        <v>1422607</v>
      </c>
      <c r="H2825" s="1">
        <f>Table1[[#This Row],[Price2]]/Table1[[#This Row],[Area]]</f>
        <v>711.30349999999999</v>
      </c>
      <c r="I2825">
        <v>2000</v>
      </c>
      <c r="J2825">
        <v>2019</v>
      </c>
      <c r="K2825">
        <v>88</v>
      </c>
      <c r="L2825" t="s">
        <v>14</v>
      </c>
      <c r="M2825" t="s">
        <v>2967</v>
      </c>
      <c r="N2825" s="2" t="s">
        <v>3035</v>
      </c>
      <c r="O2825" t="s">
        <v>3036</v>
      </c>
      <c r="P2825" t="s">
        <v>26</v>
      </c>
      <c r="Q2825">
        <v>711.30349999999999</v>
      </c>
      <c r="R2825">
        <f ca="1">YEAR(TODAY())-Table1[[#This Row],[Year Built]]</f>
        <v>7</v>
      </c>
      <c r="S2825" t="str">
        <f>IF(Table1[[#This Row],[Days on Market]] &lt; 30,"Fast",IF(Table1[[#This Row],[Days on Market]]&lt;= 90,"Average", "Slow"))</f>
        <v>Average</v>
      </c>
      <c r="T2825" t="str">
        <f>IF(Table1[[#This Row],[Price2]]&lt;500000,"Affordable",IF(Table1[[#This Row],[Price2]]&lt;1000000,"Mid range","Luxury"))</f>
        <v>Luxury</v>
      </c>
    </row>
    <row r="2826" spans="1:20" x14ac:dyDescent="0.35">
      <c r="A2826" s="3">
        <v>1423184</v>
      </c>
      <c r="B2826" s="2" t="s">
        <v>34</v>
      </c>
      <c r="C2826">
        <v>83965</v>
      </c>
      <c r="D2826" s="2" t="s">
        <v>35</v>
      </c>
      <c r="E2826">
        <v>1</v>
      </c>
      <c r="F2826">
        <v>3</v>
      </c>
      <c r="G2826" s="4">
        <f>VALUE(SUBSTITUTE(SUBSTITUTE(Table1[[#This Row],[Price]],"$",""),",",""))</f>
        <v>1423184</v>
      </c>
      <c r="H2826" s="1">
        <f>Table1[[#This Row],[Price2]]/Table1[[#This Row],[Area]]</f>
        <v>422.18451498071789</v>
      </c>
      <c r="I2826">
        <v>3371</v>
      </c>
      <c r="J2826">
        <v>1960</v>
      </c>
      <c r="K2826">
        <v>118</v>
      </c>
      <c r="L2826" t="s">
        <v>52</v>
      </c>
      <c r="M2826" t="s">
        <v>1782</v>
      </c>
      <c r="N2826" s="2" t="s">
        <v>3027</v>
      </c>
      <c r="O2826" t="s">
        <v>3028</v>
      </c>
      <c r="P2826" t="s">
        <v>21</v>
      </c>
      <c r="Q2826">
        <v>422.18451498071789</v>
      </c>
      <c r="R2826">
        <f ca="1">YEAR(TODAY())-Table1[[#This Row],[Year Built]]</f>
        <v>66</v>
      </c>
      <c r="S2826" t="str">
        <f>IF(Table1[[#This Row],[Days on Market]] &lt; 30,"Fast",IF(Table1[[#This Row],[Days on Market]]&lt;= 90,"Average", "Slow"))</f>
        <v>Slow</v>
      </c>
      <c r="T2826" t="str">
        <f>IF(Table1[[#This Row],[Price2]]&lt;500000,"Affordable",IF(Table1[[#This Row],[Price2]]&lt;1000000,"Mid range","Luxury"))</f>
        <v>Luxury</v>
      </c>
    </row>
    <row r="2827" spans="1:20" x14ac:dyDescent="0.35">
      <c r="A2827" s="3">
        <v>1423548</v>
      </c>
      <c r="B2827" s="2" t="s">
        <v>17</v>
      </c>
      <c r="C2827">
        <v>68236</v>
      </c>
      <c r="D2827" s="2" t="s">
        <v>29</v>
      </c>
      <c r="E2827">
        <v>4</v>
      </c>
      <c r="F2827">
        <v>4</v>
      </c>
      <c r="G2827" s="4">
        <f>VALUE(SUBSTITUTE(SUBSTITUTE(Table1[[#This Row],[Price]],"$",""),",",""))</f>
        <v>1423548</v>
      </c>
      <c r="H2827" s="1">
        <f>Table1[[#This Row],[Price2]]/Table1[[#This Row],[Area]]</f>
        <v>1283.6321009918845</v>
      </c>
      <c r="I2827">
        <v>1109</v>
      </c>
      <c r="J2827">
        <v>2002</v>
      </c>
      <c r="K2827">
        <v>10</v>
      </c>
      <c r="L2827" t="s">
        <v>14</v>
      </c>
      <c r="M2827" t="s">
        <v>2199</v>
      </c>
      <c r="N2827" s="2" t="s">
        <v>3033</v>
      </c>
      <c r="O2827" t="s">
        <v>3034</v>
      </c>
      <c r="P2827" t="s">
        <v>26</v>
      </c>
      <c r="Q2827">
        <v>1283.6321009918845</v>
      </c>
      <c r="R2827">
        <f ca="1">YEAR(TODAY())-Table1[[#This Row],[Year Built]]</f>
        <v>24</v>
      </c>
      <c r="S2827" t="str">
        <f>IF(Table1[[#This Row],[Days on Market]] &lt; 30,"Fast",IF(Table1[[#This Row],[Days on Market]]&lt;= 90,"Average", "Slow"))</f>
        <v>Fast</v>
      </c>
      <c r="T2827" t="str">
        <f>IF(Table1[[#This Row],[Price2]]&lt;500000,"Affordable",IF(Table1[[#This Row],[Price2]]&lt;1000000,"Mid range","Luxury"))</f>
        <v>Luxury</v>
      </c>
    </row>
    <row r="2828" spans="1:20" x14ac:dyDescent="0.35">
      <c r="A2828" s="3">
        <v>1424084</v>
      </c>
      <c r="B2828" s="2" t="s">
        <v>17</v>
      </c>
      <c r="C2828">
        <v>12119</v>
      </c>
      <c r="D2828" s="2" t="s">
        <v>35</v>
      </c>
      <c r="E2828">
        <v>2</v>
      </c>
      <c r="F2828">
        <v>1</v>
      </c>
      <c r="G2828" s="4">
        <f>VALUE(SUBSTITUTE(SUBSTITUTE(Table1[[#This Row],[Price]],"$",""),",",""))</f>
        <v>1424084</v>
      </c>
      <c r="H2828" s="1">
        <f>Table1[[#This Row],[Price2]]/Table1[[#This Row],[Area]]</f>
        <v>1055.6590066716085</v>
      </c>
      <c r="I2828">
        <v>1349</v>
      </c>
      <c r="J2828">
        <v>1976</v>
      </c>
      <c r="K2828">
        <v>83</v>
      </c>
      <c r="L2828" t="s">
        <v>40</v>
      </c>
      <c r="M2828" t="s">
        <v>1532</v>
      </c>
      <c r="N2828" s="2" t="s">
        <v>3035</v>
      </c>
      <c r="O2828" t="s">
        <v>3036</v>
      </c>
      <c r="P2828" t="s">
        <v>16</v>
      </c>
      <c r="Q2828">
        <v>1055.6590066716085</v>
      </c>
      <c r="R2828">
        <f ca="1">YEAR(TODAY())-Table1[[#This Row],[Year Built]]</f>
        <v>50</v>
      </c>
      <c r="S2828" t="str">
        <f>IF(Table1[[#This Row],[Days on Market]] &lt; 30,"Fast",IF(Table1[[#This Row],[Days on Market]]&lt;= 90,"Average", "Slow"))</f>
        <v>Average</v>
      </c>
      <c r="T2828" t="str">
        <f>IF(Table1[[#This Row],[Price2]]&lt;500000,"Affordable",IF(Table1[[#This Row],[Price2]]&lt;1000000,"Mid range","Luxury"))</f>
        <v>Luxury</v>
      </c>
    </row>
    <row r="2829" spans="1:20" x14ac:dyDescent="0.35">
      <c r="A2829" s="3">
        <v>1424590</v>
      </c>
      <c r="B2829" s="2" t="s">
        <v>34</v>
      </c>
      <c r="C2829">
        <v>49105</v>
      </c>
      <c r="D2829" s="2" t="s">
        <v>29</v>
      </c>
      <c r="E2829">
        <v>3</v>
      </c>
      <c r="F2829">
        <v>1</v>
      </c>
      <c r="G2829" s="4">
        <f>VALUE(SUBSTITUTE(SUBSTITUTE(Table1[[#This Row],[Price]],"$",""),",",""))</f>
        <v>1424590</v>
      </c>
      <c r="H2829" s="1">
        <f>Table1[[#This Row],[Price2]]/Table1[[#This Row],[Area]]</f>
        <v>382.13251072961373</v>
      </c>
      <c r="I2829">
        <v>3728</v>
      </c>
      <c r="J2829">
        <v>1990</v>
      </c>
      <c r="K2829">
        <v>106</v>
      </c>
      <c r="L2829" t="s">
        <v>40</v>
      </c>
      <c r="M2829" t="s">
        <v>2038</v>
      </c>
      <c r="N2829" s="2" t="s">
        <v>3029</v>
      </c>
      <c r="O2829" t="s">
        <v>3030</v>
      </c>
      <c r="P2829" t="s">
        <v>26</v>
      </c>
      <c r="Q2829">
        <v>382.13251072961373</v>
      </c>
      <c r="R2829">
        <f ca="1">YEAR(TODAY())-Table1[[#This Row],[Year Built]]</f>
        <v>36</v>
      </c>
      <c r="S2829" t="str">
        <f>IF(Table1[[#This Row],[Days on Market]] &lt; 30,"Fast",IF(Table1[[#This Row],[Days on Market]]&lt;= 90,"Average", "Slow"))</f>
        <v>Slow</v>
      </c>
      <c r="T2829" t="str">
        <f>IF(Table1[[#This Row],[Price2]]&lt;500000,"Affordable",IF(Table1[[#This Row],[Price2]]&lt;1000000,"Mid range","Luxury"))</f>
        <v>Luxury</v>
      </c>
    </row>
    <row r="2830" spans="1:20" x14ac:dyDescent="0.35">
      <c r="A2830" s="3">
        <v>1424797</v>
      </c>
      <c r="B2830" s="2" t="s">
        <v>17</v>
      </c>
      <c r="C2830">
        <v>28493</v>
      </c>
      <c r="D2830" s="2" t="s">
        <v>13</v>
      </c>
      <c r="E2830">
        <v>5</v>
      </c>
      <c r="F2830">
        <v>4</v>
      </c>
      <c r="G2830" s="4">
        <f>VALUE(SUBSTITUTE(SUBSTITUTE(Table1[[#This Row],[Price]],"$",""),",",""))</f>
        <v>1424797</v>
      </c>
      <c r="H2830" s="1">
        <f>Table1[[#This Row],[Price2]]/Table1[[#This Row],[Area]]</f>
        <v>785.44487320837925</v>
      </c>
      <c r="I2830">
        <v>1814</v>
      </c>
      <c r="J2830">
        <v>2009</v>
      </c>
      <c r="K2830">
        <v>116</v>
      </c>
      <c r="L2830" t="s">
        <v>19</v>
      </c>
      <c r="M2830" t="s">
        <v>1604</v>
      </c>
      <c r="N2830" s="2" t="s">
        <v>3033</v>
      </c>
      <c r="O2830" t="s">
        <v>3034</v>
      </c>
      <c r="P2830" t="s">
        <v>21</v>
      </c>
      <c r="Q2830">
        <v>785.44487320837925</v>
      </c>
      <c r="R2830">
        <f ca="1">YEAR(TODAY())-Table1[[#This Row],[Year Built]]</f>
        <v>17</v>
      </c>
      <c r="S2830" t="str">
        <f>IF(Table1[[#This Row],[Days on Market]] &lt; 30,"Fast",IF(Table1[[#This Row],[Days on Market]]&lt;= 90,"Average", "Slow"))</f>
        <v>Slow</v>
      </c>
      <c r="T2830" t="str">
        <f>IF(Table1[[#This Row],[Price2]]&lt;500000,"Affordable",IF(Table1[[#This Row],[Price2]]&lt;1000000,"Mid range","Luxury"))</f>
        <v>Luxury</v>
      </c>
    </row>
    <row r="2831" spans="1:20" x14ac:dyDescent="0.35">
      <c r="A2831" s="3">
        <v>1425188</v>
      </c>
      <c r="B2831" s="2" t="s">
        <v>12</v>
      </c>
      <c r="C2831">
        <v>81946</v>
      </c>
      <c r="D2831" s="2" t="s">
        <v>23</v>
      </c>
      <c r="E2831">
        <v>4</v>
      </c>
      <c r="F2831">
        <v>2</v>
      </c>
      <c r="G2831" s="4">
        <f>VALUE(SUBSTITUTE(SUBSTITUTE(Table1[[#This Row],[Price]],"$",""),",",""))</f>
        <v>1425188</v>
      </c>
      <c r="H2831" s="1">
        <f>Table1[[#This Row],[Price2]]/Table1[[#This Row],[Area]]</f>
        <v>485.58364565587732</v>
      </c>
      <c r="I2831">
        <v>2935</v>
      </c>
      <c r="J2831">
        <v>1967</v>
      </c>
      <c r="K2831">
        <v>98</v>
      </c>
      <c r="L2831" t="s">
        <v>52</v>
      </c>
      <c r="M2831" t="s">
        <v>2250</v>
      </c>
      <c r="N2831" s="2" t="s">
        <v>3033</v>
      </c>
      <c r="O2831" t="s">
        <v>3034</v>
      </c>
      <c r="P2831" t="s">
        <v>26</v>
      </c>
      <c r="Q2831">
        <v>485.58364565587732</v>
      </c>
      <c r="R2831">
        <f ca="1">YEAR(TODAY())-Table1[[#This Row],[Year Built]]</f>
        <v>59</v>
      </c>
      <c r="S2831" t="str">
        <f>IF(Table1[[#This Row],[Days on Market]] &lt; 30,"Fast",IF(Table1[[#This Row],[Days on Market]]&lt;= 90,"Average", "Slow"))</f>
        <v>Slow</v>
      </c>
      <c r="T2831" t="str">
        <f>IF(Table1[[#This Row],[Price2]]&lt;500000,"Affordable",IF(Table1[[#This Row],[Price2]]&lt;1000000,"Mid range","Luxury"))</f>
        <v>Luxury</v>
      </c>
    </row>
    <row r="2832" spans="1:20" x14ac:dyDescent="0.35">
      <c r="A2832" s="3">
        <v>1425236</v>
      </c>
      <c r="B2832" s="2" t="s">
        <v>27</v>
      </c>
      <c r="C2832">
        <v>38102</v>
      </c>
      <c r="D2832" s="2" t="s">
        <v>18</v>
      </c>
      <c r="E2832">
        <v>4</v>
      </c>
      <c r="F2832">
        <v>1</v>
      </c>
      <c r="G2832" s="4">
        <f>VALUE(SUBSTITUTE(SUBSTITUTE(Table1[[#This Row],[Price]],"$",""),",",""))</f>
        <v>1425236</v>
      </c>
      <c r="H2832" s="1">
        <f>Table1[[#This Row],[Price2]]/Table1[[#This Row],[Area]]</f>
        <v>1985.0083565459611</v>
      </c>
      <c r="I2832">
        <v>718</v>
      </c>
      <c r="J2832">
        <v>1968</v>
      </c>
      <c r="K2832">
        <v>8</v>
      </c>
      <c r="L2832" t="s">
        <v>19</v>
      </c>
      <c r="M2832" t="s">
        <v>2870</v>
      </c>
      <c r="N2832" s="2" t="s">
        <v>3033</v>
      </c>
      <c r="O2832" t="s">
        <v>3034</v>
      </c>
      <c r="P2832" t="s">
        <v>16</v>
      </c>
      <c r="Q2832">
        <v>1985.0083565459611</v>
      </c>
      <c r="R2832">
        <f ca="1">YEAR(TODAY())-Table1[[#This Row],[Year Built]]</f>
        <v>58</v>
      </c>
      <c r="S2832" t="str">
        <f>IF(Table1[[#This Row],[Days on Market]] &lt; 30,"Fast",IF(Table1[[#This Row],[Days on Market]]&lt;= 90,"Average", "Slow"))</f>
        <v>Fast</v>
      </c>
      <c r="T2832" t="str">
        <f>IF(Table1[[#This Row],[Price2]]&lt;500000,"Affordable",IF(Table1[[#This Row],[Price2]]&lt;1000000,"Mid range","Luxury"))</f>
        <v>Luxury</v>
      </c>
    </row>
    <row r="2833" spans="1:20" x14ac:dyDescent="0.35">
      <c r="A2833" s="3">
        <v>1425415</v>
      </c>
      <c r="B2833" s="2" t="s">
        <v>12</v>
      </c>
      <c r="C2833">
        <v>46625</v>
      </c>
      <c r="D2833" s="2" t="s">
        <v>13</v>
      </c>
      <c r="E2833">
        <v>3</v>
      </c>
      <c r="F2833">
        <v>4</v>
      </c>
      <c r="G2833" s="4">
        <f>VALUE(SUBSTITUTE(SUBSTITUTE(Table1[[#This Row],[Price]],"$",""),",",""))</f>
        <v>1425415</v>
      </c>
      <c r="H2833" s="1">
        <f>Table1[[#This Row],[Price2]]/Table1[[#This Row],[Area]]</f>
        <v>441.98914728682172</v>
      </c>
      <c r="I2833">
        <v>3225</v>
      </c>
      <c r="J2833">
        <v>1972</v>
      </c>
      <c r="K2833">
        <v>22</v>
      </c>
      <c r="L2833" t="s">
        <v>14</v>
      </c>
      <c r="M2833" t="s">
        <v>188</v>
      </c>
      <c r="N2833" s="2" t="s">
        <v>3029</v>
      </c>
      <c r="O2833" t="s">
        <v>3030</v>
      </c>
      <c r="P2833" t="s">
        <v>21</v>
      </c>
      <c r="Q2833">
        <v>441.98914728682172</v>
      </c>
      <c r="R2833">
        <f ca="1">YEAR(TODAY())-Table1[[#This Row],[Year Built]]</f>
        <v>54</v>
      </c>
      <c r="S2833" t="str">
        <f>IF(Table1[[#This Row],[Days on Market]] &lt; 30,"Fast",IF(Table1[[#This Row],[Days on Market]]&lt;= 90,"Average", "Slow"))</f>
        <v>Fast</v>
      </c>
      <c r="T2833" t="str">
        <f>IF(Table1[[#This Row],[Price2]]&lt;500000,"Affordable",IF(Table1[[#This Row],[Price2]]&lt;1000000,"Mid range","Luxury"))</f>
        <v>Luxury</v>
      </c>
    </row>
    <row r="2834" spans="1:20" x14ac:dyDescent="0.35">
      <c r="A2834" s="3">
        <v>1425500</v>
      </c>
      <c r="B2834" s="2" t="s">
        <v>17</v>
      </c>
      <c r="C2834">
        <v>67436</v>
      </c>
      <c r="D2834" s="2" t="s">
        <v>13</v>
      </c>
      <c r="E2834">
        <v>3</v>
      </c>
      <c r="F2834">
        <v>1</v>
      </c>
      <c r="G2834" s="4">
        <f>VALUE(SUBSTITUTE(SUBSTITUTE(Table1[[#This Row],[Price]],"$",""),",",""))</f>
        <v>1425500</v>
      </c>
      <c r="H2834" s="1">
        <f>Table1[[#This Row],[Price2]]/Table1[[#This Row],[Area]]</f>
        <v>501.05448154657296</v>
      </c>
      <c r="I2834">
        <v>2845</v>
      </c>
      <c r="J2834">
        <v>1962</v>
      </c>
      <c r="K2834">
        <v>107</v>
      </c>
      <c r="L2834" t="s">
        <v>19</v>
      </c>
      <c r="M2834" t="s">
        <v>555</v>
      </c>
      <c r="N2834" s="2" t="s">
        <v>3033</v>
      </c>
      <c r="O2834" t="s">
        <v>3034</v>
      </c>
      <c r="P2834" t="s">
        <v>26</v>
      </c>
      <c r="Q2834">
        <v>501.05448154657296</v>
      </c>
      <c r="R2834">
        <f ca="1">YEAR(TODAY())-Table1[[#This Row],[Year Built]]</f>
        <v>64</v>
      </c>
      <c r="S2834" t="str">
        <f>IF(Table1[[#This Row],[Days on Market]] &lt; 30,"Fast",IF(Table1[[#This Row],[Days on Market]]&lt;= 90,"Average", "Slow"))</f>
        <v>Slow</v>
      </c>
      <c r="T2834" t="str">
        <f>IF(Table1[[#This Row],[Price2]]&lt;500000,"Affordable",IF(Table1[[#This Row],[Price2]]&lt;1000000,"Mid range","Luxury"))</f>
        <v>Luxury</v>
      </c>
    </row>
    <row r="2835" spans="1:20" x14ac:dyDescent="0.35">
      <c r="A2835" s="3">
        <v>1426040</v>
      </c>
      <c r="B2835" s="2" t="s">
        <v>27</v>
      </c>
      <c r="C2835">
        <v>53682</v>
      </c>
      <c r="D2835" s="2" t="s">
        <v>29</v>
      </c>
      <c r="E2835">
        <v>1</v>
      </c>
      <c r="F2835">
        <v>1</v>
      </c>
      <c r="G2835" s="4">
        <f>VALUE(SUBSTITUTE(SUBSTITUTE(Table1[[#This Row],[Price]],"$",""),",",""))</f>
        <v>1426040</v>
      </c>
      <c r="H2835" s="1">
        <f>Table1[[#This Row],[Price2]]/Table1[[#This Row],[Area]]</f>
        <v>1246.5384615384614</v>
      </c>
      <c r="I2835">
        <v>1144</v>
      </c>
      <c r="J2835">
        <v>1992</v>
      </c>
      <c r="K2835">
        <v>21</v>
      </c>
      <c r="L2835" t="s">
        <v>14</v>
      </c>
      <c r="M2835" t="s">
        <v>1771</v>
      </c>
      <c r="N2835" s="2" t="s">
        <v>3033</v>
      </c>
      <c r="O2835" t="s">
        <v>3034</v>
      </c>
      <c r="P2835" t="s">
        <v>26</v>
      </c>
      <c r="Q2835">
        <v>1246.5384615384614</v>
      </c>
      <c r="R2835">
        <f ca="1">YEAR(TODAY())-Table1[[#This Row],[Year Built]]</f>
        <v>34</v>
      </c>
      <c r="S2835" t="str">
        <f>IF(Table1[[#This Row],[Days on Market]] &lt; 30,"Fast",IF(Table1[[#This Row],[Days on Market]]&lt;= 90,"Average", "Slow"))</f>
        <v>Fast</v>
      </c>
      <c r="T2835" t="str">
        <f>IF(Table1[[#This Row],[Price2]]&lt;500000,"Affordable",IF(Table1[[#This Row],[Price2]]&lt;1000000,"Mid range","Luxury"))</f>
        <v>Luxury</v>
      </c>
    </row>
    <row r="2836" spans="1:20" x14ac:dyDescent="0.35">
      <c r="A2836" s="3">
        <v>1426326</v>
      </c>
      <c r="B2836" s="2" t="s">
        <v>34</v>
      </c>
      <c r="C2836">
        <v>88991</v>
      </c>
      <c r="D2836" s="2" t="s">
        <v>29</v>
      </c>
      <c r="E2836">
        <v>3</v>
      </c>
      <c r="F2836">
        <v>4</v>
      </c>
      <c r="G2836" s="4">
        <f>VALUE(SUBSTITUTE(SUBSTITUTE(Table1[[#This Row],[Price]],"$",""),",",""))</f>
        <v>1426326</v>
      </c>
      <c r="H2836" s="1">
        <f>Table1[[#This Row],[Price2]]/Table1[[#This Row],[Area]]</f>
        <v>413.54769498405335</v>
      </c>
      <c r="I2836">
        <v>3449</v>
      </c>
      <c r="J2836">
        <v>1959</v>
      </c>
      <c r="K2836">
        <v>59</v>
      </c>
      <c r="L2836" t="s">
        <v>19</v>
      </c>
      <c r="M2836" t="s">
        <v>1330</v>
      </c>
      <c r="N2836" s="2" t="s">
        <v>3031</v>
      </c>
      <c r="O2836" t="s">
        <v>3032</v>
      </c>
      <c r="P2836" t="s">
        <v>21</v>
      </c>
      <c r="Q2836">
        <v>413.54769498405335</v>
      </c>
      <c r="R2836">
        <f ca="1">YEAR(TODAY())-Table1[[#This Row],[Year Built]]</f>
        <v>67</v>
      </c>
      <c r="S2836" t="str">
        <f>IF(Table1[[#This Row],[Days on Market]] &lt; 30,"Fast",IF(Table1[[#This Row],[Days on Market]]&lt;= 90,"Average", "Slow"))</f>
        <v>Average</v>
      </c>
      <c r="T2836" t="str">
        <f>IF(Table1[[#This Row],[Price2]]&lt;500000,"Affordable",IF(Table1[[#This Row],[Price2]]&lt;1000000,"Mid range","Luxury"))</f>
        <v>Luxury</v>
      </c>
    </row>
    <row r="2837" spans="1:20" x14ac:dyDescent="0.35">
      <c r="A2837" s="3">
        <v>1426721</v>
      </c>
      <c r="B2837" s="2" t="s">
        <v>34</v>
      </c>
      <c r="C2837">
        <v>48593</v>
      </c>
      <c r="D2837" s="2" t="s">
        <v>35</v>
      </c>
      <c r="E2837">
        <v>4</v>
      </c>
      <c r="F2837">
        <v>1</v>
      </c>
      <c r="G2837" s="4">
        <f>VALUE(SUBSTITUTE(SUBSTITUTE(Table1[[#This Row],[Price]],"$",""),",",""))</f>
        <v>1426721</v>
      </c>
      <c r="H2837" s="1">
        <f>Table1[[#This Row],[Price2]]/Table1[[#This Row],[Area]]</f>
        <v>530.97171566803127</v>
      </c>
      <c r="I2837">
        <v>2687</v>
      </c>
      <c r="J2837">
        <v>2000</v>
      </c>
      <c r="K2837">
        <v>21</v>
      </c>
      <c r="L2837" t="s">
        <v>14</v>
      </c>
      <c r="M2837" t="s">
        <v>896</v>
      </c>
      <c r="N2837" s="2" t="s">
        <v>3031</v>
      </c>
      <c r="O2837" t="s">
        <v>3032</v>
      </c>
      <c r="P2837" t="s">
        <v>16</v>
      </c>
      <c r="Q2837">
        <v>530.97171566803127</v>
      </c>
      <c r="R2837">
        <f ca="1">YEAR(TODAY())-Table1[[#This Row],[Year Built]]</f>
        <v>26</v>
      </c>
      <c r="S2837" t="str">
        <f>IF(Table1[[#This Row],[Days on Market]] &lt; 30,"Fast",IF(Table1[[#This Row],[Days on Market]]&lt;= 90,"Average", "Slow"))</f>
        <v>Fast</v>
      </c>
      <c r="T2837" t="str">
        <f>IF(Table1[[#This Row],[Price2]]&lt;500000,"Affordable",IF(Table1[[#This Row],[Price2]]&lt;1000000,"Mid range","Luxury"))</f>
        <v>Luxury</v>
      </c>
    </row>
    <row r="2838" spans="1:20" x14ac:dyDescent="0.35">
      <c r="A2838" s="3">
        <v>1427202</v>
      </c>
      <c r="B2838" s="2" t="s">
        <v>34</v>
      </c>
      <c r="C2838">
        <v>97697</v>
      </c>
      <c r="D2838" s="2" t="s">
        <v>18</v>
      </c>
      <c r="E2838">
        <v>6</v>
      </c>
      <c r="F2838">
        <v>1</v>
      </c>
      <c r="G2838" s="4">
        <f>VALUE(SUBSTITUTE(SUBSTITUTE(Table1[[#This Row],[Price]],"$",""),",",""))</f>
        <v>1427202</v>
      </c>
      <c r="H2838" s="1">
        <f>Table1[[#This Row],[Price2]]/Table1[[#This Row],[Area]]</f>
        <v>1022.3510028653295</v>
      </c>
      <c r="I2838">
        <v>1396</v>
      </c>
      <c r="J2838">
        <v>2009</v>
      </c>
      <c r="K2838">
        <v>95</v>
      </c>
      <c r="L2838" t="s">
        <v>14</v>
      </c>
      <c r="M2838" t="s">
        <v>1251</v>
      </c>
      <c r="N2838" s="2" t="s">
        <v>3033</v>
      </c>
      <c r="O2838" t="s">
        <v>3034</v>
      </c>
      <c r="P2838" t="s">
        <v>16</v>
      </c>
      <c r="Q2838">
        <v>1022.3510028653295</v>
      </c>
      <c r="R2838">
        <f ca="1">YEAR(TODAY())-Table1[[#This Row],[Year Built]]</f>
        <v>17</v>
      </c>
      <c r="S2838" t="str">
        <f>IF(Table1[[#This Row],[Days on Market]] &lt; 30,"Fast",IF(Table1[[#This Row],[Days on Market]]&lt;= 90,"Average", "Slow"))</f>
        <v>Slow</v>
      </c>
      <c r="T2838" t="str">
        <f>IF(Table1[[#This Row],[Price2]]&lt;500000,"Affordable",IF(Table1[[#This Row],[Price2]]&lt;1000000,"Mid range","Luxury"))</f>
        <v>Luxury</v>
      </c>
    </row>
    <row r="2839" spans="1:20" x14ac:dyDescent="0.35">
      <c r="A2839" s="3">
        <v>1427494</v>
      </c>
      <c r="B2839" s="2" t="s">
        <v>27</v>
      </c>
      <c r="C2839">
        <v>14674</v>
      </c>
      <c r="D2839" s="2" t="s">
        <v>29</v>
      </c>
      <c r="E2839">
        <v>4</v>
      </c>
      <c r="F2839">
        <v>4</v>
      </c>
      <c r="G2839" s="4">
        <f>VALUE(SUBSTITUTE(SUBSTITUTE(Table1[[#This Row],[Price]],"$",""),",",""))</f>
        <v>1427494</v>
      </c>
      <c r="H2839" s="1">
        <f>Table1[[#This Row],[Price2]]/Table1[[#This Row],[Area]]</f>
        <v>567.8178202068417</v>
      </c>
      <c r="I2839">
        <v>2514</v>
      </c>
      <c r="J2839">
        <v>1994</v>
      </c>
      <c r="K2839">
        <v>100</v>
      </c>
      <c r="L2839" t="s">
        <v>14</v>
      </c>
      <c r="M2839" t="s">
        <v>233</v>
      </c>
      <c r="N2839" s="2" t="s">
        <v>3031</v>
      </c>
      <c r="O2839" t="s">
        <v>3032</v>
      </c>
      <c r="P2839" t="s">
        <v>21</v>
      </c>
      <c r="Q2839">
        <v>567.8178202068417</v>
      </c>
      <c r="R2839">
        <f ca="1">YEAR(TODAY())-Table1[[#This Row],[Year Built]]</f>
        <v>32</v>
      </c>
      <c r="S2839" t="str">
        <f>IF(Table1[[#This Row],[Days on Market]] &lt; 30,"Fast",IF(Table1[[#This Row],[Days on Market]]&lt;= 90,"Average", "Slow"))</f>
        <v>Slow</v>
      </c>
      <c r="T2839" t="str">
        <f>IF(Table1[[#This Row],[Price2]]&lt;500000,"Affordable",IF(Table1[[#This Row],[Price2]]&lt;1000000,"Mid range","Luxury"))</f>
        <v>Luxury</v>
      </c>
    </row>
    <row r="2840" spans="1:20" x14ac:dyDescent="0.35">
      <c r="A2840" s="3">
        <v>1427605</v>
      </c>
      <c r="B2840" s="2" t="s">
        <v>22</v>
      </c>
      <c r="C2840">
        <v>11286</v>
      </c>
      <c r="D2840" s="2" t="s">
        <v>18</v>
      </c>
      <c r="E2840">
        <v>3</v>
      </c>
      <c r="F2840">
        <v>3</v>
      </c>
      <c r="G2840" s="4">
        <f>VALUE(SUBSTITUTE(SUBSTITUTE(Table1[[#This Row],[Price]],"$",""),",",""))</f>
        <v>1427605</v>
      </c>
      <c r="H2840" s="1">
        <f>Table1[[#This Row],[Price2]]/Table1[[#This Row],[Area]]</f>
        <v>862.60120845921449</v>
      </c>
      <c r="I2840">
        <v>1655</v>
      </c>
      <c r="J2840">
        <v>1986</v>
      </c>
      <c r="K2840">
        <v>12</v>
      </c>
      <c r="L2840" t="s">
        <v>52</v>
      </c>
      <c r="M2840" t="s">
        <v>760</v>
      </c>
      <c r="N2840" s="2" t="s">
        <v>3031</v>
      </c>
      <c r="O2840" t="s">
        <v>3032</v>
      </c>
      <c r="P2840" t="s">
        <v>21</v>
      </c>
      <c r="Q2840">
        <v>862.60120845921449</v>
      </c>
      <c r="R2840">
        <f ca="1">YEAR(TODAY())-Table1[[#This Row],[Year Built]]</f>
        <v>40</v>
      </c>
      <c r="S2840" t="str">
        <f>IF(Table1[[#This Row],[Days on Market]] &lt; 30,"Fast",IF(Table1[[#This Row],[Days on Market]]&lt;= 90,"Average", "Slow"))</f>
        <v>Fast</v>
      </c>
      <c r="T2840" t="str">
        <f>IF(Table1[[#This Row],[Price2]]&lt;500000,"Affordable",IF(Table1[[#This Row],[Price2]]&lt;1000000,"Mid range","Luxury"))</f>
        <v>Luxury</v>
      </c>
    </row>
    <row r="2841" spans="1:20" x14ac:dyDescent="0.35">
      <c r="A2841" s="3">
        <v>1428613</v>
      </c>
      <c r="B2841" s="2" t="s">
        <v>34</v>
      </c>
      <c r="C2841">
        <v>29994</v>
      </c>
      <c r="D2841" s="2" t="s">
        <v>18</v>
      </c>
      <c r="E2841">
        <v>4</v>
      </c>
      <c r="F2841">
        <v>3</v>
      </c>
      <c r="G2841" s="4">
        <f>VALUE(SUBSTITUTE(SUBSTITUTE(Table1[[#This Row],[Price]],"$",""),",",""))</f>
        <v>1428613</v>
      </c>
      <c r="H2841" s="1">
        <f>Table1[[#This Row],[Price2]]/Table1[[#This Row],[Area]]</f>
        <v>683.2199904351985</v>
      </c>
      <c r="I2841">
        <v>2091</v>
      </c>
      <c r="J2841">
        <v>1986</v>
      </c>
      <c r="K2841">
        <v>96</v>
      </c>
      <c r="L2841" t="s">
        <v>30</v>
      </c>
      <c r="M2841" t="s">
        <v>726</v>
      </c>
      <c r="N2841" s="2" t="s">
        <v>3031</v>
      </c>
      <c r="O2841" t="s">
        <v>3032</v>
      </c>
      <c r="P2841" t="s">
        <v>16</v>
      </c>
      <c r="Q2841">
        <v>683.2199904351985</v>
      </c>
      <c r="R2841">
        <f ca="1">YEAR(TODAY())-Table1[[#This Row],[Year Built]]</f>
        <v>40</v>
      </c>
      <c r="S2841" t="str">
        <f>IF(Table1[[#This Row],[Days on Market]] &lt; 30,"Fast",IF(Table1[[#This Row],[Days on Market]]&lt;= 90,"Average", "Slow"))</f>
        <v>Slow</v>
      </c>
      <c r="T2841" t="str">
        <f>IF(Table1[[#This Row],[Price2]]&lt;500000,"Affordable",IF(Table1[[#This Row],[Price2]]&lt;1000000,"Mid range","Luxury"))</f>
        <v>Luxury</v>
      </c>
    </row>
    <row r="2842" spans="1:20" x14ac:dyDescent="0.35">
      <c r="A2842" s="3">
        <v>1428670</v>
      </c>
      <c r="B2842" s="2" t="s">
        <v>27</v>
      </c>
      <c r="C2842">
        <v>48336</v>
      </c>
      <c r="D2842" s="2" t="s">
        <v>18</v>
      </c>
      <c r="E2842">
        <v>6</v>
      </c>
      <c r="F2842">
        <v>4</v>
      </c>
      <c r="G2842" s="4">
        <f>VALUE(SUBSTITUTE(SUBSTITUTE(Table1[[#This Row],[Price]],"$",""),",",""))</f>
        <v>1428670</v>
      </c>
      <c r="H2842" s="1">
        <f>Table1[[#This Row],[Price2]]/Table1[[#This Row],[Area]]</f>
        <v>430.84137515078407</v>
      </c>
      <c r="I2842">
        <v>3316</v>
      </c>
      <c r="J2842">
        <v>1996</v>
      </c>
      <c r="K2842">
        <v>114</v>
      </c>
      <c r="L2842" t="s">
        <v>19</v>
      </c>
      <c r="M2842" t="s">
        <v>914</v>
      </c>
      <c r="N2842" s="2" t="s">
        <v>3033</v>
      </c>
      <c r="O2842" t="s">
        <v>3034</v>
      </c>
      <c r="P2842" t="s">
        <v>26</v>
      </c>
      <c r="Q2842">
        <v>430.84137515078407</v>
      </c>
      <c r="R2842">
        <f ca="1">YEAR(TODAY())-Table1[[#This Row],[Year Built]]</f>
        <v>30</v>
      </c>
      <c r="S2842" t="str">
        <f>IF(Table1[[#This Row],[Days on Market]] &lt; 30,"Fast",IF(Table1[[#This Row],[Days on Market]]&lt;= 90,"Average", "Slow"))</f>
        <v>Slow</v>
      </c>
      <c r="T2842" t="str">
        <f>IF(Table1[[#This Row],[Price2]]&lt;500000,"Affordable",IF(Table1[[#This Row],[Price2]]&lt;1000000,"Mid range","Luxury"))</f>
        <v>Luxury</v>
      </c>
    </row>
    <row r="2843" spans="1:20" x14ac:dyDescent="0.35">
      <c r="A2843" s="3">
        <v>1428849</v>
      </c>
      <c r="B2843" s="2" t="s">
        <v>17</v>
      </c>
      <c r="C2843">
        <v>17428</v>
      </c>
      <c r="D2843" s="2" t="s">
        <v>18</v>
      </c>
      <c r="E2843">
        <v>3</v>
      </c>
      <c r="F2843">
        <v>3</v>
      </c>
      <c r="G2843" s="4">
        <f>VALUE(SUBSTITUTE(SUBSTITUTE(Table1[[#This Row],[Price]],"$",""),",",""))</f>
        <v>1428849</v>
      </c>
      <c r="H2843" s="1">
        <f>Table1[[#This Row],[Price2]]/Table1[[#This Row],[Area]]</f>
        <v>387.9579147434157</v>
      </c>
      <c r="I2843">
        <v>3683</v>
      </c>
      <c r="J2843">
        <v>1991</v>
      </c>
      <c r="K2843">
        <v>92</v>
      </c>
      <c r="L2843" t="s">
        <v>40</v>
      </c>
      <c r="M2843" t="s">
        <v>692</v>
      </c>
      <c r="N2843" s="2" t="s">
        <v>3035</v>
      </c>
      <c r="O2843" t="s">
        <v>3036</v>
      </c>
      <c r="P2843" t="s">
        <v>26</v>
      </c>
      <c r="Q2843">
        <v>387.9579147434157</v>
      </c>
      <c r="R2843">
        <f ca="1">YEAR(TODAY())-Table1[[#This Row],[Year Built]]</f>
        <v>35</v>
      </c>
      <c r="S2843" t="str">
        <f>IF(Table1[[#This Row],[Days on Market]] &lt; 30,"Fast",IF(Table1[[#This Row],[Days on Market]]&lt;= 90,"Average", "Slow"))</f>
        <v>Slow</v>
      </c>
      <c r="T2843" t="str">
        <f>IF(Table1[[#This Row],[Price2]]&lt;500000,"Affordable",IF(Table1[[#This Row],[Price2]]&lt;1000000,"Mid range","Luxury"))</f>
        <v>Luxury</v>
      </c>
    </row>
    <row r="2844" spans="1:20" x14ac:dyDescent="0.35">
      <c r="A2844" s="3">
        <v>1429390</v>
      </c>
      <c r="B2844" s="2" t="s">
        <v>34</v>
      </c>
      <c r="C2844">
        <v>29177</v>
      </c>
      <c r="D2844" s="2" t="s">
        <v>18</v>
      </c>
      <c r="E2844">
        <v>5</v>
      </c>
      <c r="F2844">
        <v>2</v>
      </c>
      <c r="G2844" s="4">
        <f>VALUE(SUBSTITUTE(SUBSTITUTE(Table1[[#This Row],[Price]],"$",""),",",""))</f>
        <v>1429390</v>
      </c>
      <c r="H2844" s="1">
        <f>Table1[[#This Row],[Price2]]/Table1[[#This Row],[Area]]</f>
        <v>580.81674116212923</v>
      </c>
      <c r="I2844">
        <v>2461</v>
      </c>
      <c r="J2844">
        <v>2008</v>
      </c>
      <c r="K2844">
        <v>40</v>
      </c>
      <c r="L2844" t="s">
        <v>19</v>
      </c>
      <c r="M2844" t="s">
        <v>2616</v>
      </c>
      <c r="N2844" s="2" t="s">
        <v>3029</v>
      </c>
      <c r="O2844" t="s">
        <v>3030</v>
      </c>
      <c r="P2844" t="s">
        <v>26</v>
      </c>
      <c r="Q2844">
        <v>580.81674116212923</v>
      </c>
      <c r="R2844">
        <f ca="1">YEAR(TODAY())-Table1[[#This Row],[Year Built]]</f>
        <v>18</v>
      </c>
      <c r="S2844" t="str">
        <f>IF(Table1[[#This Row],[Days on Market]] &lt; 30,"Fast",IF(Table1[[#This Row],[Days on Market]]&lt;= 90,"Average", "Slow"))</f>
        <v>Average</v>
      </c>
      <c r="T2844" t="str">
        <f>IF(Table1[[#This Row],[Price2]]&lt;500000,"Affordable",IF(Table1[[#This Row],[Price2]]&lt;1000000,"Mid range","Luxury"))</f>
        <v>Luxury</v>
      </c>
    </row>
    <row r="2845" spans="1:20" x14ac:dyDescent="0.35">
      <c r="A2845" s="3">
        <v>1429416</v>
      </c>
      <c r="B2845" s="2" t="s">
        <v>12</v>
      </c>
      <c r="C2845">
        <v>59418</v>
      </c>
      <c r="D2845" s="2" t="s">
        <v>29</v>
      </c>
      <c r="E2845">
        <v>4</v>
      </c>
      <c r="F2845">
        <v>2</v>
      </c>
      <c r="G2845" s="4">
        <f>VALUE(SUBSTITUTE(SUBSTITUTE(Table1[[#This Row],[Price]],"$",""),",",""))</f>
        <v>1429416</v>
      </c>
      <c r="H2845" s="1">
        <f>Table1[[#This Row],[Price2]]/Table1[[#This Row],[Area]]</f>
        <v>764.80256821829857</v>
      </c>
      <c r="I2845">
        <v>1869</v>
      </c>
      <c r="J2845">
        <v>1979</v>
      </c>
      <c r="K2845">
        <v>66</v>
      </c>
      <c r="L2845" t="s">
        <v>52</v>
      </c>
      <c r="M2845" t="s">
        <v>1890</v>
      </c>
      <c r="N2845" s="2" t="s">
        <v>3035</v>
      </c>
      <c r="O2845" t="s">
        <v>3036</v>
      </c>
      <c r="P2845" t="s">
        <v>21</v>
      </c>
      <c r="Q2845">
        <v>764.80256821829857</v>
      </c>
      <c r="R2845">
        <f ca="1">YEAR(TODAY())-Table1[[#This Row],[Year Built]]</f>
        <v>47</v>
      </c>
      <c r="S2845" t="str">
        <f>IF(Table1[[#This Row],[Days on Market]] &lt; 30,"Fast",IF(Table1[[#This Row],[Days on Market]]&lt;= 90,"Average", "Slow"))</f>
        <v>Average</v>
      </c>
      <c r="T2845" t="str">
        <f>IF(Table1[[#This Row],[Price2]]&lt;500000,"Affordable",IF(Table1[[#This Row],[Price2]]&lt;1000000,"Mid range","Luxury"))</f>
        <v>Luxury</v>
      </c>
    </row>
    <row r="2846" spans="1:20" x14ac:dyDescent="0.35">
      <c r="A2846" s="3">
        <v>1429718</v>
      </c>
      <c r="B2846" s="2" t="s">
        <v>34</v>
      </c>
      <c r="C2846">
        <v>87038</v>
      </c>
      <c r="D2846" s="2" t="s">
        <v>35</v>
      </c>
      <c r="E2846">
        <v>1</v>
      </c>
      <c r="F2846">
        <v>4</v>
      </c>
      <c r="G2846" s="4">
        <f>VALUE(SUBSTITUTE(SUBSTITUTE(Table1[[#This Row],[Price]],"$",""),",",""))</f>
        <v>1429718</v>
      </c>
      <c r="H2846" s="1">
        <f>Table1[[#This Row],[Price2]]/Table1[[#This Row],[Area]]</f>
        <v>463.89292667099284</v>
      </c>
      <c r="I2846">
        <v>3082</v>
      </c>
      <c r="J2846">
        <v>1974</v>
      </c>
      <c r="K2846">
        <v>55</v>
      </c>
      <c r="L2846" t="s">
        <v>52</v>
      </c>
      <c r="M2846" t="s">
        <v>88</v>
      </c>
      <c r="N2846" s="2" t="s">
        <v>3033</v>
      </c>
      <c r="O2846" t="s">
        <v>3034</v>
      </c>
      <c r="P2846" t="s">
        <v>16</v>
      </c>
      <c r="Q2846">
        <v>463.89292667099284</v>
      </c>
      <c r="R2846">
        <f ca="1">YEAR(TODAY())-Table1[[#This Row],[Year Built]]</f>
        <v>52</v>
      </c>
      <c r="S2846" t="str">
        <f>IF(Table1[[#This Row],[Days on Market]] &lt; 30,"Fast",IF(Table1[[#This Row],[Days on Market]]&lt;= 90,"Average", "Slow"))</f>
        <v>Average</v>
      </c>
      <c r="T2846" t="str">
        <f>IF(Table1[[#This Row],[Price2]]&lt;500000,"Affordable",IF(Table1[[#This Row],[Price2]]&lt;1000000,"Mid range","Luxury"))</f>
        <v>Luxury</v>
      </c>
    </row>
    <row r="2847" spans="1:20" x14ac:dyDescent="0.35">
      <c r="A2847" s="3">
        <v>1430943</v>
      </c>
      <c r="B2847" s="2" t="s">
        <v>12</v>
      </c>
      <c r="C2847">
        <v>39273</v>
      </c>
      <c r="D2847" s="2" t="s">
        <v>13</v>
      </c>
      <c r="E2847">
        <v>2</v>
      </c>
      <c r="F2847">
        <v>2</v>
      </c>
      <c r="G2847" s="4">
        <f>VALUE(SUBSTITUTE(SUBSTITUTE(Table1[[#This Row],[Price]],"$",""),",",""))</f>
        <v>1430943</v>
      </c>
      <c r="H2847" s="1">
        <f>Table1[[#This Row],[Price2]]/Table1[[#This Row],[Area]]</f>
        <v>1707.5692124105012</v>
      </c>
      <c r="I2847">
        <v>838</v>
      </c>
      <c r="J2847">
        <v>1974</v>
      </c>
      <c r="K2847">
        <v>33</v>
      </c>
      <c r="L2847" t="s">
        <v>52</v>
      </c>
      <c r="M2847" t="s">
        <v>2572</v>
      </c>
      <c r="N2847" s="2" t="s">
        <v>3029</v>
      </c>
      <c r="O2847" t="s">
        <v>3030</v>
      </c>
      <c r="P2847" t="s">
        <v>26</v>
      </c>
      <c r="Q2847">
        <v>1707.5692124105012</v>
      </c>
      <c r="R2847">
        <f ca="1">YEAR(TODAY())-Table1[[#This Row],[Year Built]]</f>
        <v>52</v>
      </c>
      <c r="S2847" t="str">
        <f>IF(Table1[[#This Row],[Days on Market]] &lt; 30,"Fast",IF(Table1[[#This Row],[Days on Market]]&lt;= 90,"Average", "Slow"))</f>
        <v>Average</v>
      </c>
      <c r="T2847" t="str">
        <f>IF(Table1[[#This Row],[Price2]]&lt;500000,"Affordable",IF(Table1[[#This Row],[Price2]]&lt;1000000,"Mid range","Luxury"))</f>
        <v>Luxury</v>
      </c>
    </row>
    <row r="2848" spans="1:20" x14ac:dyDescent="0.35">
      <c r="A2848" s="3">
        <v>1430971</v>
      </c>
      <c r="B2848" s="2" t="s">
        <v>17</v>
      </c>
      <c r="C2848">
        <v>42583</v>
      </c>
      <c r="D2848" s="2" t="s">
        <v>35</v>
      </c>
      <c r="E2848">
        <v>5</v>
      </c>
      <c r="F2848">
        <v>1</v>
      </c>
      <c r="G2848" s="4">
        <f>VALUE(SUBSTITUTE(SUBSTITUTE(Table1[[#This Row],[Price]],"$",""),",",""))</f>
        <v>1430971</v>
      </c>
      <c r="H2848" s="1">
        <f>Table1[[#This Row],[Price2]]/Table1[[#This Row],[Area]]</f>
        <v>2225.4603421461898</v>
      </c>
      <c r="I2848">
        <v>643</v>
      </c>
      <c r="J2848">
        <v>1992</v>
      </c>
      <c r="K2848">
        <v>2</v>
      </c>
      <c r="L2848" t="s">
        <v>14</v>
      </c>
      <c r="M2848" t="s">
        <v>1835</v>
      </c>
      <c r="N2848" s="2" t="s">
        <v>3035</v>
      </c>
      <c r="O2848" t="s">
        <v>3036</v>
      </c>
      <c r="P2848" t="s">
        <v>21</v>
      </c>
      <c r="Q2848">
        <v>2225.4603421461898</v>
      </c>
      <c r="R2848">
        <f ca="1">YEAR(TODAY())-Table1[[#This Row],[Year Built]]</f>
        <v>34</v>
      </c>
      <c r="S2848" t="str">
        <f>IF(Table1[[#This Row],[Days on Market]] &lt; 30,"Fast",IF(Table1[[#This Row],[Days on Market]]&lt;= 90,"Average", "Slow"))</f>
        <v>Fast</v>
      </c>
      <c r="T2848" t="str">
        <f>IF(Table1[[#This Row],[Price2]]&lt;500000,"Affordable",IF(Table1[[#This Row],[Price2]]&lt;1000000,"Mid range","Luxury"))</f>
        <v>Luxury</v>
      </c>
    </row>
    <row r="2849" spans="1:20" x14ac:dyDescent="0.35">
      <c r="A2849" s="3">
        <v>1431093</v>
      </c>
      <c r="B2849" s="2" t="s">
        <v>27</v>
      </c>
      <c r="C2849">
        <v>52078</v>
      </c>
      <c r="D2849" s="2" t="s">
        <v>29</v>
      </c>
      <c r="E2849">
        <v>1</v>
      </c>
      <c r="F2849">
        <v>1</v>
      </c>
      <c r="G2849" s="4">
        <f>VALUE(SUBSTITUTE(SUBSTITUTE(Table1[[#This Row],[Price]],"$",""),",",""))</f>
        <v>1431093</v>
      </c>
      <c r="H2849" s="1">
        <f>Table1[[#This Row],[Price2]]/Table1[[#This Row],[Area]]</f>
        <v>402.89780405405406</v>
      </c>
      <c r="I2849">
        <v>3552</v>
      </c>
      <c r="J2849">
        <v>1950</v>
      </c>
      <c r="K2849">
        <v>24</v>
      </c>
      <c r="L2849" t="s">
        <v>30</v>
      </c>
      <c r="M2849" t="s">
        <v>2806</v>
      </c>
      <c r="N2849" s="2" t="s">
        <v>3029</v>
      </c>
      <c r="O2849" t="s">
        <v>3030</v>
      </c>
      <c r="P2849" t="s">
        <v>26</v>
      </c>
      <c r="Q2849">
        <v>402.89780405405406</v>
      </c>
      <c r="R2849">
        <f ca="1">YEAR(TODAY())-Table1[[#This Row],[Year Built]]</f>
        <v>76</v>
      </c>
      <c r="S2849" t="str">
        <f>IF(Table1[[#This Row],[Days on Market]] &lt; 30,"Fast",IF(Table1[[#This Row],[Days on Market]]&lt;= 90,"Average", "Slow"))</f>
        <v>Fast</v>
      </c>
      <c r="T2849" t="str">
        <f>IF(Table1[[#This Row],[Price2]]&lt;500000,"Affordable",IF(Table1[[#This Row],[Price2]]&lt;1000000,"Mid range","Luxury"))</f>
        <v>Luxury</v>
      </c>
    </row>
    <row r="2850" spans="1:20" x14ac:dyDescent="0.35">
      <c r="A2850" s="3">
        <v>1431603</v>
      </c>
      <c r="B2850" s="2" t="s">
        <v>34</v>
      </c>
      <c r="C2850">
        <v>87215</v>
      </c>
      <c r="D2850" s="2" t="s">
        <v>13</v>
      </c>
      <c r="E2850">
        <v>6</v>
      </c>
      <c r="F2850">
        <v>2</v>
      </c>
      <c r="G2850" s="4">
        <f>VALUE(SUBSTITUTE(SUBSTITUTE(Table1[[#This Row],[Price]],"$",""),",",""))</f>
        <v>1431603</v>
      </c>
      <c r="H2850" s="1">
        <f>Table1[[#This Row],[Price2]]/Table1[[#This Row],[Area]]</f>
        <v>618.93774319066142</v>
      </c>
      <c r="I2850">
        <v>2313</v>
      </c>
      <c r="J2850">
        <v>1966</v>
      </c>
      <c r="K2850">
        <v>120</v>
      </c>
      <c r="L2850" t="s">
        <v>52</v>
      </c>
      <c r="M2850" t="s">
        <v>2557</v>
      </c>
      <c r="N2850" s="2" t="s">
        <v>3029</v>
      </c>
      <c r="O2850" t="s">
        <v>3030</v>
      </c>
      <c r="P2850" t="s">
        <v>21</v>
      </c>
      <c r="Q2850">
        <v>618.93774319066142</v>
      </c>
      <c r="R2850">
        <f ca="1">YEAR(TODAY())-Table1[[#This Row],[Year Built]]</f>
        <v>60</v>
      </c>
      <c r="S2850" t="str">
        <f>IF(Table1[[#This Row],[Days on Market]] &lt; 30,"Fast",IF(Table1[[#This Row],[Days on Market]]&lt;= 90,"Average", "Slow"))</f>
        <v>Slow</v>
      </c>
      <c r="T2850" t="str">
        <f>IF(Table1[[#This Row],[Price2]]&lt;500000,"Affordable",IF(Table1[[#This Row],[Price2]]&lt;1000000,"Mid range","Luxury"))</f>
        <v>Luxury</v>
      </c>
    </row>
    <row r="2851" spans="1:20" x14ac:dyDescent="0.35">
      <c r="A2851" s="3">
        <v>1431844</v>
      </c>
      <c r="B2851" s="2" t="s">
        <v>27</v>
      </c>
      <c r="C2851">
        <v>55537</v>
      </c>
      <c r="D2851" s="2" t="s">
        <v>35</v>
      </c>
      <c r="E2851">
        <v>1</v>
      </c>
      <c r="F2851">
        <v>4</v>
      </c>
      <c r="G2851" s="4">
        <f>VALUE(SUBSTITUTE(SUBSTITUTE(Table1[[#This Row],[Price]],"$",""),",",""))</f>
        <v>1431844</v>
      </c>
      <c r="H2851" s="1">
        <f>Table1[[#This Row],[Price2]]/Table1[[#This Row],[Area]]</f>
        <v>436.5378048780488</v>
      </c>
      <c r="I2851">
        <v>3280</v>
      </c>
      <c r="J2851">
        <v>2012</v>
      </c>
      <c r="K2851">
        <v>62</v>
      </c>
      <c r="L2851" t="s">
        <v>19</v>
      </c>
      <c r="M2851" t="s">
        <v>2431</v>
      </c>
      <c r="N2851" s="2" t="s">
        <v>3035</v>
      </c>
      <c r="O2851" t="s">
        <v>3036</v>
      </c>
      <c r="P2851" t="s">
        <v>16</v>
      </c>
      <c r="Q2851">
        <v>436.5378048780488</v>
      </c>
      <c r="R2851">
        <f ca="1">YEAR(TODAY())-Table1[[#This Row],[Year Built]]</f>
        <v>14</v>
      </c>
      <c r="S2851" t="str">
        <f>IF(Table1[[#This Row],[Days on Market]] &lt; 30,"Fast",IF(Table1[[#This Row],[Days on Market]]&lt;= 90,"Average", "Slow"))</f>
        <v>Average</v>
      </c>
      <c r="T2851" t="str">
        <f>IF(Table1[[#This Row],[Price2]]&lt;500000,"Affordable",IF(Table1[[#This Row],[Price2]]&lt;1000000,"Mid range","Luxury"))</f>
        <v>Luxury</v>
      </c>
    </row>
    <row r="2852" spans="1:20" x14ac:dyDescent="0.35">
      <c r="A2852" s="3">
        <v>1432147</v>
      </c>
      <c r="B2852" s="2" t="s">
        <v>34</v>
      </c>
      <c r="C2852">
        <v>33365</v>
      </c>
      <c r="D2852" s="2" t="s">
        <v>13</v>
      </c>
      <c r="E2852">
        <v>6</v>
      </c>
      <c r="F2852">
        <v>4</v>
      </c>
      <c r="G2852" s="4">
        <f>VALUE(SUBSTITUTE(SUBSTITUTE(Table1[[#This Row],[Price]],"$",""),",",""))</f>
        <v>1432147</v>
      </c>
      <c r="H2852" s="1">
        <f>Table1[[#This Row],[Price2]]/Table1[[#This Row],[Area]]</f>
        <v>480.58624161073823</v>
      </c>
      <c r="I2852">
        <v>2980</v>
      </c>
      <c r="J2852">
        <v>2019</v>
      </c>
      <c r="K2852">
        <v>105</v>
      </c>
      <c r="L2852" t="s">
        <v>14</v>
      </c>
      <c r="M2852" t="s">
        <v>2856</v>
      </c>
      <c r="N2852" s="2" t="s">
        <v>3035</v>
      </c>
      <c r="O2852" t="s">
        <v>3036</v>
      </c>
      <c r="P2852" t="s">
        <v>21</v>
      </c>
      <c r="Q2852">
        <v>480.58624161073823</v>
      </c>
      <c r="R2852">
        <f ca="1">YEAR(TODAY())-Table1[[#This Row],[Year Built]]</f>
        <v>7</v>
      </c>
      <c r="S2852" t="str">
        <f>IF(Table1[[#This Row],[Days on Market]] &lt; 30,"Fast",IF(Table1[[#This Row],[Days on Market]]&lt;= 90,"Average", "Slow"))</f>
        <v>Slow</v>
      </c>
      <c r="T2852" t="str">
        <f>IF(Table1[[#This Row],[Price2]]&lt;500000,"Affordable",IF(Table1[[#This Row],[Price2]]&lt;1000000,"Mid range","Luxury"))</f>
        <v>Luxury</v>
      </c>
    </row>
    <row r="2853" spans="1:20" x14ac:dyDescent="0.35">
      <c r="A2853" s="3">
        <v>1432269</v>
      </c>
      <c r="B2853" s="2" t="s">
        <v>27</v>
      </c>
      <c r="C2853">
        <v>34395</v>
      </c>
      <c r="D2853" s="2" t="s">
        <v>35</v>
      </c>
      <c r="E2853">
        <v>1</v>
      </c>
      <c r="F2853">
        <v>4</v>
      </c>
      <c r="G2853" s="4">
        <f>VALUE(SUBSTITUTE(SUBSTITUTE(Table1[[#This Row],[Price]],"$",""),",",""))</f>
        <v>1432269</v>
      </c>
      <c r="H2853" s="1">
        <f>Table1[[#This Row],[Price2]]/Table1[[#This Row],[Area]]</f>
        <v>2237.9203124999999</v>
      </c>
      <c r="I2853">
        <v>640</v>
      </c>
      <c r="J2853">
        <v>1960</v>
      </c>
      <c r="K2853">
        <v>29</v>
      </c>
      <c r="L2853" t="s">
        <v>52</v>
      </c>
      <c r="M2853" t="s">
        <v>2560</v>
      </c>
      <c r="N2853" s="2" t="s">
        <v>3033</v>
      </c>
      <c r="O2853" t="s">
        <v>3034</v>
      </c>
      <c r="P2853" t="s">
        <v>26</v>
      </c>
      <c r="Q2853">
        <v>2237.9203124999999</v>
      </c>
      <c r="R2853">
        <f ca="1">YEAR(TODAY())-Table1[[#This Row],[Year Built]]</f>
        <v>66</v>
      </c>
      <c r="S2853" t="str">
        <f>IF(Table1[[#This Row],[Days on Market]] &lt; 30,"Fast",IF(Table1[[#This Row],[Days on Market]]&lt;= 90,"Average", "Slow"))</f>
        <v>Fast</v>
      </c>
      <c r="T2853" t="str">
        <f>IF(Table1[[#This Row],[Price2]]&lt;500000,"Affordable",IF(Table1[[#This Row],[Price2]]&lt;1000000,"Mid range","Luxury"))</f>
        <v>Luxury</v>
      </c>
    </row>
    <row r="2854" spans="1:20" x14ac:dyDescent="0.35">
      <c r="A2854" s="3">
        <v>1432283</v>
      </c>
      <c r="B2854" s="2" t="s">
        <v>12</v>
      </c>
      <c r="C2854">
        <v>22202</v>
      </c>
      <c r="D2854" s="2" t="s">
        <v>29</v>
      </c>
      <c r="E2854">
        <v>1</v>
      </c>
      <c r="F2854">
        <v>3</v>
      </c>
      <c r="G2854" s="4">
        <f>VALUE(SUBSTITUTE(SUBSTITUTE(Table1[[#This Row],[Price]],"$",""),",",""))</f>
        <v>1432283</v>
      </c>
      <c r="H2854" s="1">
        <f>Table1[[#This Row],[Price2]]/Table1[[#This Row],[Area]]</f>
        <v>467.60790075089784</v>
      </c>
      <c r="I2854">
        <v>3063</v>
      </c>
      <c r="J2854">
        <v>1987</v>
      </c>
      <c r="K2854">
        <v>98</v>
      </c>
      <c r="L2854" t="s">
        <v>52</v>
      </c>
      <c r="M2854" t="s">
        <v>1964</v>
      </c>
      <c r="N2854" s="2" t="s">
        <v>3035</v>
      </c>
      <c r="O2854" t="s">
        <v>3036</v>
      </c>
      <c r="P2854" t="s">
        <v>21</v>
      </c>
      <c r="Q2854">
        <v>467.60790075089784</v>
      </c>
      <c r="R2854">
        <f ca="1">YEAR(TODAY())-Table1[[#This Row],[Year Built]]</f>
        <v>39</v>
      </c>
      <c r="S2854" t="str">
        <f>IF(Table1[[#This Row],[Days on Market]] &lt; 30,"Fast",IF(Table1[[#This Row],[Days on Market]]&lt;= 90,"Average", "Slow"))</f>
        <v>Slow</v>
      </c>
      <c r="T2854" t="str">
        <f>IF(Table1[[#This Row],[Price2]]&lt;500000,"Affordable",IF(Table1[[#This Row],[Price2]]&lt;1000000,"Mid range","Luxury"))</f>
        <v>Luxury</v>
      </c>
    </row>
    <row r="2855" spans="1:20" x14ac:dyDescent="0.35">
      <c r="A2855" s="3">
        <v>1432839</v>
      </c>
      <c r="B2855" s="2" t="s">
        <v>17</v>
      </c>
      <c r="C2855">
        <v>97184</v>
      </c>
      <c r="D2855" s="2" t="s">
        <v>23</v>
      </c>
      <c r="E2855">
        <v>5</v>
      </c>
      <c r="F2855">
        <v>4</v>
      </c>
      <c r="G2855" s="4">
        <f>VALUE(SUBSTITUTE(SUBSTITUTE(Table1[[#This Row],[Price]],"$",""),",",""))</f>
        <v>1432839</v>
      </c>
      <c r="H2855" s="1">
        <f>Table1[[#This Row],[Price2]]/Table1[[#This Row],[Area]]</f>
        <v>762.55401809473119</v>
      </c>
      <c r="I2855">
        <v>1879</v>
      </c>
      <c r="J2855">
        <v>2012</v>
      </c>
      <c r="K2855">
        <v>12</v>
      </c>
      <c r="L2855" t="s">
        <v>40</v>
      </c>
      <c r="M2855" t="s">
        <v>2981</v>
      </c>
      <c r="N2855" s="2" t="s">
        <v>3033</v>
      </c>
      <c r="O2855" t="s">
        <v>3034</v>
      </c>
      <c r="P2855" t="s">
        <v>26</v>
      </c>
      <c r="Q2855">
        <v>762.55401809473119</v>
      </c>
      <c r="R2855">
        <f ca="1">YEAR(TODAY())-Table1[[#This Row],[Year Built]]</f>
        <v>14</v>
      </c>
      <c r="S2855" t="str">
        <f>IF(Table1[[#This Row],[Days on Market]] &lt; 30,"Fast",IF(Table1[[#This Row],[Days on Market]]&lt;= 90,"Average", "Slow"))</f>
        <v>Fast</v>
      </c>
      <c r="T2855" t="str">
        <f>IF(Table1[[#This Row],[Price2]]&lt;500000,"Affordable",IF(Table1[[#This Row],[Price2]]&lt;1000000,"Mid range","Luxury"))</f>
        <v>Luxury</v>
      </c>
    </row>
    <row r="2856" spans="1:20" x14ac:dyDescent="0.35">
      <c r="A2856" s="3">
        <v>1433049</v>
      </c>
      <c r="B2856" s="2" t="s">
        <v>17</v>
      </c>
      <c r="C2856">
        <v>66545</v>
      </c>
      <c r="D2856" s="2" t="s">
        <v>13</v>
      </c>
      <c r="E2856">
        <v>4</v>
      </c>
      <c r="F2856">
        <v>2</v>
      </c>
      <c r="G2856" s="4">
        <f>VALUE(SUBSTITUTE(SUBSTITUTE(Table1[[#This Row],[Price]],"$",""),",",""))</f>
        <v>1433049</v>
      </c>
      <c r="H2856" s="1">
        <f>Table1[[#This Row],[Price2]]/Table1[[#This Row],[Area]]</f>
        <v>957.9204545454545</v>
      </c>
      <c r="I2856">
        <v>1496</v>
      </c>
      <c r="J2856">
        <v>1961</v>
      </c>
      <c r="K2856">
        <v>55</v>
      </c>
      <c r="L2856" t="s">
        <v>30</v>
      </c>
      <c r="M2856" t="s">
        <v>314</v>
      </c>
      <c r="N2856" s="2" t="s">
        <v>3029</v>
      </c>
      <c r="O2856" t="s">
        <v>3030</v>
      </c>
      <c r="P2856" t="s">
        <v>26</v>
      </c>
      <c r="Q2856">
        <v>957.9204545454545</v>
      </c>
      <c r="R2856">
        <f ca="1">YEAR(TODAY())-Table1[[#This Row],[Year Built]]</f>
        <v>65</v>
      </c>
      <c r="S2856" t="str">
        <f>IF(Table1[[#This Row],[Days on Market]] &lt; 30,"Fast",IF(Table1[[#This Row],[Days on Market]]&lt;= 90,"Average", "Slow"))</f>
        <v>Average</v>
      </c>
      <c r="T2856" t="str">
        <f>IF(Table1[[#This Row],[Price2]]&lt;500000,"Affordable",IF(Table1[[#This Row],[Price2]]&lt;1000000,"Mid range","Luxury"))</f>
        <v>Luxury</v>
      </c>
    </row>
    <row r="2857" spans="1:20" x14ac:dyDescent="0.35">
      <c r="A2857" s="3">
        <v>1433590</v>
      </c>
      <c r="B2857" s="2" t="s">
        <v>12</v>
      </c>
      <c r="C2857">
        <v>70384</v>
      </c>
      <c r="D2857" s="2" t="s">
        <v>23</v>
      </c>
      <c r="E2857">
        <v>4</v>
      </c>
      <c r="F2857">
        <v>3</v>
      </c>
      <c r="G2857" s="4">
        <f>VALUE(SUBSTITUTE(SUBSTITUTE(Table1[[#This Row],[Price]],"$",""),",",""))</f>
        <v>1433590</v>
      </c>
      <c r="H2857" s="1">
        <f>Table1[[#This Row],[Price2]]/Table1[[#This Row],[Area]]</f>
        <v>901.62893081761001</v>
      </c>
      <c r="I2857">
        <v>1590</v>
      </c>
      <c r="J2857">
        <v>1985</v>
      </c>
      <c r="K2857">
        <v>3</v>
      </c>
      <c r="L2857" t="s">
        <v>52</v>
      </c>
      <c r="M2857" t="s">
        <v>1580</v>
      </c>
      <c r="N2857" s="2" t="s">
        <v>3035</v>
      </c>
      <c r="O2857" t="s">
        <v>3036</v>
      </c>
      <c r="P2857" t="s">
        <v>21</v>
      </c>
      <c r="Q2857">
        <v>901.62893081761001</v>
      </c>
      <c r="R2857">
        <f ca="1">YEAR(TODAY())-Table1[[#This Row],[Year Built]]</f>
        <v>41</v>
      </c>
      <c r="S2857" t="str">
        <f>IF(Table1[[#This Row],[Days on Market]] &lt; 30,"Fast",IF(Table1[[#This Row],[Days on Market]]&lt;= 90,"Average", "Slow"))</f>
        <v>Fast</v>
      </c>
      <c r="T2857" t="str">
        <f>IF(Table1[[#This Row],[Price2]]&lt;500000,"Affordable",IF(Table1[[#This Row],[Price2]]&lt;1000000,"Mid range","Luxury"))</f>
        <v>Luxury</v>
      </c>
    </row>
    <row r="2858" spans="1:20" x14ac:dyDescent="0.35">
      <c r="A2858" s="3">
        <v>1433695</v>
      </c>
      <c r="B2858" s="2" t="s">
        <v>27</v>
      </c>
      <c r="C2858">
        <v>37005</v>
      </c>
      <c r="D2858" s="2" t="s">
        <v>35</v>
      </c>
      <c r="E2858">
        <v>4</v>
      </c>
      <c r="F2858">
        <v>4</v>
      </c>
      <c r="G2858" s="4">
        <f>VALUE(SUBSTITUTE(SUBSTITUTE(Table1[[#This Row],[Price]],"$",""),",",""))</f>
        <v>1433695</v>
      </c>
      <c r="H2858" s="1">
        <f>Table1[[#This Row],[Price2]]/Table1[[#This Row],[Area]]</f>
        <v>441.95283600493218</v>
      </c>
      <c r="I2858">
        <v>3244</v>
      </c>
      <c r="J2858">
        <v>1978</v>
      </c>
      <c r="K2858">
        <v>84</v>
      </c>
      <c r="L2858" t="s">
        <v>52</v>
      </c>
      <c r="M2858" t="s">
        <v>1228</v>
      </c>
      <c r="N2858" s="2" t="s">
        <v>3027</v>
      </c>
      <c r="O2858" t="s">
        <v>3028</v>
      </c>
      <c r="P2858" t="s">
        <v>16</v>
      </c>
      <c r="Q2858">
        <v>441.95283600493218</v>
      </c>
      <c r="R2858">
        <f ca="1">YEAR(TODAY())-Table1[[#This Row],[Year Built]]</f>
        <v>48</v>
      </c>
      <c r="S2858" t="str">
        <f>IF(Table1[[#This Row],[Days on Market]] &lt; 30,"Fast",IF(Table1[[#This Row],[Days on Market]]&lt;= 90,"Average", "Slow"))</f>
        <v>Average</v>
      </c>
      <c r="T2858" t="str">
        <f>IF(Table1[[#This Row],[Price2]]&lt;500000,"Affordable",IF(Table1[[#This Row],[Price2]]&lt;1000000,"Mid range","Luxury"))</f>
        <v>Luxury</v>
      </c>
    </row>
    <row r="2859" spans="1:20" x14ac:dyDescent="0.35">
      <c r="A2859" s="3">
        <v>1433969</v>
      </c>
      <c r="B2859" s="2" t="s">
        <v>27</v>
      </c>
      <c r="C2859">
        <v>81291</v>
      </c>
      <c r="D2859" s="2" t="s">
        <v>29</v>
      </c>
      <c r="E2859">
        <v>1</v>
      </c>
      <c r="F2859">
        <v>3</v>
      </c>
      <c r="G2859" s="4">
        <f>VALUE(SUBSTITUTE(SUBSTITUTE(Table1[[#This Row],[Price]],"$",""),",",""))</f>
        <v>1433969</v>
      </c>
      <c r="H2859" s="1">
        <f>Table1[[#This Row],[Price2]]/Table1[[#This Row],[Area]]</f>
        <v>369.96104231166152</v>
      </c>
      <c r="I2859">
        <v>3876</v>
      </c>
      <c r="J2859">
        <v>1993</v>
      </c>
      <c r="K2859">
        <v>63</v>
      </c>
      <c r="L2859" t="s">
        <v>19</v>
      </c>
      <c r="M2859" t="s">
        <v>668</v>
      </c>
      <c r="N2859" s="2" t="s">
        <v>3035</v>
      </c>
      <c r="O2859" t="s">
        <v>3036</v>
      </c>
      <c r="P2859" t="s">
        <v>16</v>
      </c>
      <c r="Q2859">
        <v>369.96104231166152</v>
      </c>
      <c r="R2859">
        <f ca="1">YEAR(TODAY())-Table1[[#This Row],[Year Built]]</f>
        <v>33</v>
      </c>
      <c r="S2859" t="str">
        <f>IF(Table1[[#This Row],[Days on Market]] &lt; 30,"Fast",IF(Table1[[#This Row],[Days on Market]]&lt;= 90,"Average", "Slow"))</f>
        <v>Average</v>
      </c>
      <c r="T2859" t="str">
        <f>IF(Table1[[#This Row],[Price2]]&lt;500000,"Affordable",IF(Table1[[#This Row],[Price2]]&lt;1000000,"Mid range","Luxury"))</f>
        <v>Luxury</v>
      </c>
    </row>
    <row r="2860" spans="1:20" x14ac:dyDescent="0.35">
      <c r="A2860" s="3">
        <v>1433992</v>
      </c>
      <c r="B2860" s="2" t="s">
        <v>17</v>
      </c>
      <c r="C2860">
        <v>55323</v>
      </c>
      <c r="D2860" s="2" t="s">
        <v>13</v>
      </c>
      <c r="E2860">
        <v>2</v>
      </c>
      <c r="F2860">
        <v>3</v>
      </c>
      <c r="G2860" s="4">
        <f>VALUE(SUBSTITUTE(SUBSTITUTE(Table1[[#This Row],[Price]],"$",""),",",""))</f>
        <v>1433992</v>
      </c>
      <c r="H2860" s="1">
        <f>Table1[[#This Row],[Price2]]/Table1[[#This Row],[Area]]</f>
        <v>474.36056897122063</v>
      </c>
      <c r="I2860">
        <v>3023</v>
      </c>
      <c r="J2860">
        <v>1956</v>
      </c>
      <c r="K2860">
        <v>47</v>
      </c>
      <c r="L2860" t="s">
        <v>19</v>
      </c>
      <c r="M2860" t="s">
        <v>2873</v>
      </c>
      <c r="N2860" s="2" t="s">
        <v>3031</v>
      </c>
      <c r="O2860" t="s">
        <v>3032</v>
      </c>
      <c r="P2860" t="s">
        <v>21</v>
      </c>
      <c r="Q2860">
        <v>474.36056897122063</v>
      </c>
      <c r="R2860">
        <f ca="1">YEAR(TODAY())-Table1[[#This Row],[Year Built]]</f>
        <v>70</v>
      </c>
      <c r="S2860" t="str">
        <f>IF(Table1[[#This Row],[Days on Market]] &lt; 30,"Fast",IF(Table1[[#This Row],[Days on Market]]&lt;= 90,"Average", "Slow"))</f>
        <v>Average</v>
      </c>
      <c r="T2860" t="str">
        <f>IF(Table1[[#This Row],[Price2]]&lt;500000,"Affordable",IF(Table1[[#This Row],[Price2]]&lt;1000000,"Mid range","Luxury"))</f>
        <v>Luxury</v>
      </c>
    </row>
    <row r="2861" spans="1:20" x14ac:dyDescent="0.35">
      <c r="A2861" s="3">
        <v>1434930</v>
      </c>
      <c r="B2861" s="2" t="s">
        <v>12</v>
      </c>
      <c r="C2861">
        <v>96391</v>
      </c>
      <c r="D2861" s="2" t="s">
        <v>13</v>
      </c>
      <c r="E2861">
        <v>4</v>
      </c>
      <c r="F2861">
        <v>1</v>
      </c>
      <c r="G2861" s="4">
        <f>VALUE(SUBSTITUTE(SUBSTITUTE(Table1[[#This Row],[Price]],"$",""),",",""))</f>
        <v>1434930</v>
      </c>
      <c r="H2861" s="1">
        <f>Table1[[#This Row],[Price2]]/Table1[[#This Row],[Area]]</f>
        <v>1051.2307692307693</v>
      </c>
      <c r="I2861">
        <v>1365</v>
      </c>
      <c r="J2861">
        <v>1967</v>
      </c>
      <c r="K2861">
        <v>9</v>
      </c>
      <c r="L2861" t="s">
        <v>40</v>
      </c>
      <c r="M2861" t="s">
        <v>592</v>
      </c>
      <c r="N2861" s="2" t="s">
        <v>3029</v>
      </c>
      <c r="O2861" t="s">
        <v>3030</v>
      </c>
      <c r="P2861" t="s">
        <v>21</v>
      </c>
      <c r="Q2861">
        <v>1051.2307692307693</v>
      </c>
      <c r="R2861">
        <f ca="1">YEAR(TODAY())-Table1[[#This Row],[Year Built]]</f>
        <v>59</v>
      </c>
      <c r="S2861" t="str">
        <f>IF(Table1[[#This Row],[Days on Market]] &lt; 30,"Fast",IF(Table1[[#This Row],[Days on Market]]&lt;= 90,"Average", "Slow"))</f>
        <v>Fast</v>
      </c>
      <c r="T2861" t="str">
        <f>IF(Table1[[#This Row],[Price2]]&lt;500000,"Affordable",IF(Table1[[#This Row],[Price2]]&lt;1000000,"Mid range","Luxury"))</f>
        <v>Luxury</v>
      </c>
    </row>
    <row r="2862" spans="1:20" x14ac:dyDescent="0.35">
      <c r="A2862" s="3">
        <v>1434978</v>
      </c>
      <c r="B2862" s="2" t="s">
        <v>17</v>
      </c>
      <c r="C2862">
        <v>19720</v>
      </c>
      <c r="D2862" s="2" t="s">
        <v>13</v>
      </c>
      <c r="E2862">
        <v>3</v>
      </c>
      <c r="F2862">
        <v>4</v>
      </c>
      <c r="G2862" s="4">
        <f>VALUE(SUBSTITUTE(SUBSTITUTE(Table1[[#This Row],[Price]],"$",""),",",""))</f>
        <v>1434978</v>
      </c>
      <c r="H2862" s="1">
        <f>Table1[[#This Row],[Price2]]/Table1[[#This Row],[Area]]</f>
        <v>763.28617021276591</v>
      </c>
      <c r="I2862">
        <v>1880</v>
      </c>
      <c r="J2862">
        <v>1954</v>
      </c>
      <c r="K2862">
        <v>27</v>
      </c>
      <c r="L2862" t="s">
        <v>30</v>
      </c>
      <c r="M2862" t="s">
        <v>2868</v>
      </c>
      <c r="N2862" s="2" t="s">
        <v>3031</v>
      </c>
      <c r="O2862" t="s">
        <v>3032</v>
      </c>
      <c r="P2862" t="s">
        <v>16</v>
      </c>
      <c r="Q2862">
        <v>763.28617021276591</v>
      </c>
      <c r="R2862">
        <f ca="1">YEAR(TODAY())-Table1[[#This Row],[Year Built]]</f>
        <v>72</v>
      </c>
      <c r="S2862" t="str">
        <f>IF(Table1[[#This Row],[Days on Market]] &lt; 30,"Fast",IF(Table1[[#This Row],[Days on Market]]&lt;= 90,"Average", "Slow"))</f>
        <v>Fast</v>
      </c>
      <c r="T2862" t="str">
        <f>IF(Table1[[#This Row],[Price2]]&lt;500000,"Affordable",IF(Table1[[#This Row],[Price2]]&lt;1000000,"Mid range","Luxury"))</f>
        <v>Luxury</v>
      </c>
    </row>
    <row r="2863" spans="1:20" x14ac:dyDescent="0.35">
      <c r="A2863" s="3">
        <v>1435866</v>
      </c>
      <c r="B2863" s="2" t="s">
        <v>22</v>
      </c>
      <c r="C2863">
        <v>44927</v>
      </c>
      <c r="D2863" s="2" t="s">
        <v>18</v>
      </c>
      <c r="E2863">
        <v>2</v>
      </c>
      <c r="F2863">
        <v>1</v>
      </c>
      <c r="G2863" s="4">
        <f>VALUE(SUBSTITUTE(SUBSTITUTE(Table1[[#This Row],[Price]],"$",""),",",""))</f>
        <v>1435866</v>
      </c>
      <c r="H2863" s="1">
        <f>Table1[[#This Row],[Price2]]/Table1[[#This Row],[Area]]</f>
        <v>467.10019518542617</v>
      </c>
      <c r="I2863">
        <v>3074</v>
      </c>
      <c r="J2863">
        <v>2011</v>
      </c>
      <c r="K2863">
        <v>78</v>
      </c>
      <c r="L2863" t="s">
        <v>19</v>
      </c>
      <c r="M2863" t="s">
        <v>1664</v>
      </c>
      <c r="N2863" s="2" t="s">
        <v>3035</v>
      </c>
      <c r="O2863" t="s">
        <v>3036</v>
      </c>
      <c r="P2863" t="s">
        <v>21</v>
      </c>
      <c r="Q2863">
        <v>467.10019518542617</v>
      </c>
      <c r="R2863">
        <f ca="1">YEAR(TODAY())-Table1[[#This Row],[Year Built]]</f>
        <v>15</v>
      </c>
      <c r="S2863" t="str">
        <f>IF(Table1[[#This Row],[Days on Market]] &lt; 30,"Fast",IF(Table1[[#This Row],[Days on Market]]&lt;= 90,"Average", "Slow"))</f>
        <v>Average</v>
      </c>
      <c r="T2863" t="str">
        <f>IF(Table1[[#This Row],[Price2]]&lt;500000,"Affordable",IF(Table1[[#This Row],[Price2]]&lt;1000000,"Mid range","Luxury"))</f>
        <v>Luxury</v>
      </c>
    </row>
    <row r="2864" spans="1:20" x14ac:dyDescent="0.35">
      <c r="A2864" s="3">
        <v>1436174</v>
      </c>
      <c r="B2864" s="2" t="s">
        <v>17</v>
      </c>
      <c r="C2864">
        <v>54345</v>
      </c>
      <c r="D2864" s="2" t="s">
        <v>13</v>
      </c>
      <c r="E2864">
        <v>3</v>
      </c>
      <c r="F2864">
        <v>3</v>
      </c>
      <c r="G2864" s="4">
        <f>VALUE(SUBSTITUTE(SUBSTITUTE(Table1[[#This Row],[Price]],"$",""),",",""))</f>
        <v>1436174</v>
      </c>
      <c r="H2864" s="1">
        <f>Table1[[#This Row],[Price2]]/Table1[[#This Row],[Area]]</f>
        <v>399.04806890803002</v>
      </c>
      <c r="I2864">
        <v>3599</v>
      </c>
      <c r="J2864">
        <v>1977</v>
      </c>
      <c r="K2864">
        <v>4</v>
      </c>
      <c r="L2864" t="s">
        <v>52</v>
      </c>
      <c r="M2864" t="s">
        <v>961</v>
      </c>
      <c r="N2864" s="2" t="s">
        <v>3031</v>
      </c>
      <c r="O2864" t="s">
        <v>3032</v>
      </c>
      <c r="P2864" t="s">
        <v>16</v>
      </c>
      <c r="Q2864">
        <v>399.04806890803002</v>
      </c>
      <c r="R2864">
        <f ca="1">YEAR(TODAY())-Table1[[#This Row],[Year Built]]</f>
        <v>49</v>
      </c>
      <c r="S2864" t="str">
        <f>IF(Table1[[#This Row],[Days on Market]] &lt; 30,"Fast",IF(Table1[[#This Row],[Days on Market]]&lt;= 90,"Average", "Slow"))</f>
        <v>Fast</v>
      </c>
      <c r="T2864" t="str">
        <f>IF(Table1[[#This Row],[Price2]]&lt;500000,"Affordable",IF(Table1[[#This Row],[Price2]]&lt;1000000,"Mid range","Luxury"))</f>
        <v>Luxury</v>
      </c>
    </row>
    <row r="2865" spans="1:20" x14ac:dyDescent="0.35">
      <c r="A2865" s="3">
        <v>1436618</v>
      </c>
      <c r="B2865" s="2" t="s">
        <v>17</v>
      </c>
      <c r="C2865">
        <v>63407</v>
      </c>
      <c r="D2865" s="2" t="s">
        <v>23</v>
      </c>
      <c r="E2865">
        <v>4</v>
      </c>
      <c r="F2865">
        <v>2</v>
      </c>
      <c r="G2865" s="4">
        <f>VALUE(SUBSTITUTE(SUBSTITUTE(Table1[[#This Row],[Price]],"$",""),",",""))</f>
        <v>1436618</v>
      </c>
      <c r="H2865" s="1">
        <f>Table1[[#This Row],[Price2]]/Table1[[#This Row],[Area]]</f>
        <v>725.9312784234462</v>
      </c>
      <c r="I2865">
        <v>1979</v>
      </c>
      <c r="J2865">
        <v>1956</v>
      </c>
      <c r="K2865">
        <v>53</v>
      </c>
      <c r="L2865" t="s">
        <v>30</v>
      </c>
      <c r="M2865" t="s">
        <v>230</v>
      </c>
      <c r="N2865" s="2" t="s">
        <v>3031</v>
      </c>
      <c r="O2865" t="s">
        <v>3032</v>
      </c>
      <c r="P2865" t="s">
        <v>26</v>
      </c>
      <c r="Q2865">
        <v>725.9312784234462</v>
      </c>
      <c r="R2865">
        <f ca="1">YEAR(TODAY())-Table1[[#This Row],[Year Built]]</f>
        <v>70</v>
      </c>
      <c r="S2865" t="str">
        <f>IF(Table1[[#This Row],[Days on Market]] &lt; 30,"Fast",IF(Table1[[#This Row],[Days on Market]]&lt;= 90,"Average", "Slow"))</f>
        <v>Average</v>
      </c>
      <c r="T2865" t="str">
        <f>IF(Table1[[#This Row],[Price2]]&lt;500000,"Affordable",IF(Table1[[#This Row],[Price2]]&lt;1000000,"Mid range","Luxury"))</f>
        <v>Luxury</v>
      </c>
    </row>
    <row r="2866" spans="1:20" x14ac:dyDescent="0.35">
      <c r="A2866" s="3">
        <v>1436634</v>
      </c>
      <c r="B2866" s="2" t="s">
        <v>34</v>
      </c>
      <c r="C2866">
        <v>62932</v>
      </c>
      <c r="D2866" s="2" t="s">
        <v>29</v>
      </c>
      <c r="E2866">
        <v>2</v>
      </c>
      <c r="F2866">
        <v>3</v>
      </c>
      <c r="G2866" s="4">
        <f>VALUE(SUBSTITUTE(SUBSTITUTE(Table1[[#This Row],[Price]],"$",""),",",""))</f>
        <v>1436634</v>
      </c>
      <c r="H2866" s="1">
        <f>Table1[[#This Row],[Price2]]/Table1[[#This Row],[Area]]</f>
        <v>492.8418524871355</v>
      </c>
      <c r="I2866">
        <v>2915</v>
      </c>
      <c r="J2866">
        <v>2018</v>
      </c>
      <c r="K2866">
        <v>100</v>
      </c>
      <c r="L2866" t="s">
        <v>19</v>
      </c>
      <c r="M2866" t="s">
        <v>823</v>
      </c>
      <c r="N2866" s="2" t="s">
        <v>3033</v>
      </c>
      <c r="O2866" t="s">
        <v>3034</v>
      </c>
      <c r="P2866" t="s">
        <v>21</v>
      </c>
      <c r="Q2866">
        <v>492.8418524871355</v>
      </c>
      <c r="R2866">
        <f ca="1">YEAR(TODAY())-Table1[[#This Row],[Year Built]]</f>
        <v>8</v>
      </c>
      <c r="S2866" t="str">
        <f>IF(Table1[[#This Row],[Days on Market]] &lt; 30,"Fast",IF(Table1[[#This Row],[Days on Market]]&lt;= 90,"Average", "Slow"))</f>
        <v>Slow</v>
      </c>
      <c r="T2866" t="str">
        <f>IF(Table1[[#This Row],[Price2]]&lt;500000,"Affordable",IF(Table1[[#This Row],[Price2]]&lt;1000000,"Mid range","Luxury"))</f>
        <v>Luxury</v>
      </c>
    </row>
    <row r="2867" spans="1:20" x14ac:dyDescent="0.35">
      <c r="A2867" s="3">
        <v>1438956</v>
      </c>
      <c r="B2867" s="2" t="s">
        <v>27</v>
      </c>
      <c r="C2867">
        <v>45798</v>
      </c>
      <c r="D2867" s="2" t="s">
        <v>13</v>
      </c>
      <c r="E2867">
        <v>3</v>
      </c>
      <c r="F2867">
        <v>2</v>
      </c>
      <c r="G2867" s="4">
        <f>VALUE(SUBSTITUTE(SUBSTITUTE(Table1[[#This Row],[Price]],"$",""),",",""))</f>
        <v>1438956</v>
      </c>
      <c r="H2867" s="1">
        <f>Table1[[#This Row],[Price2]]/Table1[[#This Row],[Area]]</f>
        <v>429.15478675812705</v>
      </c>
      <c r="I2867">
        <v>3353</v>
      </c>
      <c r="J2867">
        <v>1970</v>
      </c>
      <c r="K2867">
        <v>48</v>
      </c>
      <c r="L2867" t="s">
        <v>30</v>
      </c>
      <c r="M2867" t="s">
        <v>1730</v>
      </c>
      <c r="N2867" s="2" t="s">
        <v>3031</v>
      </c>
      <c r="O2867" t="s">
        <v>3032</v>
      </c>
      <c r="P2867" t="s">
        <v>16</v>
      </c>
      <c r="Q2867">
        <v>429.15478675812705</v>
      </c>
      <c r="R2867">
        <f ca="1">YEAR(TODAY())-Table1[[#This Row],[Year Built]]</f>
        <v>56</v>
      </c>
      <c r="S2867" t="str">
        <f>IF(Table1[[#This Row],[Days on Market]] &lt; 30,"Fast",IF(Table1[[#This Row],[Days on Market]]&lt;= 90,"Average", "Slow"))</f>
        <v>Average</v>
      </c>
      <c r="T2867" t="str">
        <f>IF(Table1[[#This Row],[Price2]]&lt;500000,"Affordable",IF(Table1[[#This Row],[Price2]]&lt;1000000,"Mid range","Luxury"))</f>
        <v>Luxury</v>
      </c>
    </row>
    <row r="2868" spans="1:20" x14ac:dyDescent="0.35">
      <c r="A2868" s="3">
        <v>1439743</v>
      </c>
      <c r="B2868" s="2" t="s">
        <v>34</v>
      </c>
      <c r="C2868">
        <v>23668</v>
      </c>
      <c r="D2868" s="2" t="s">
        <v>23</v>
      </c>
      <c r="E2868">
        <v>6</v>
      </c>
      <c r="F2868">
        <v>1</v>
      </c>
      <c r="G2868" s="4">
        <f>VALUE(SUBSTITUTE(SUBSTITUTE(Table1[[#This Row],[Price]],"$",""),",",""))</f>
        <v>1439743</v>
      </c>
      <c r="H2868" s="1">
        <f>Table1[[#This Row],[Price2]]/Table1[[#This Row],[Area]]</f>
        <v>599.89291666666668</v>
      </c>
      <c r="I2868">
        <v>2400</v>
      </c>
      <c r="J2868">
        <v>2003</v>
      </c>
      <c r="K2868">
        <v>30</v>
      </c>
      <c r="L2868" t="s">
        <v>14</v>
      </c>
      <c r="M2868" t="s">
        <v>2564</v>
      </c>
      <c r="N2868" s="2" t="s">
        <v>3035</v>
      </c>
      <c r="O2868" t="s">
        <v>3036</v>
      </c>
      <c r="P2868" t="s">
        <v>16</v>
      </c>
      <c r="Q2868">
        <v>599.89291666666668</v>
      </c>
      <c r="R2868">
        <f ca="1">YEAR(TODAY())-Table1[[#This Row],[Year Built]]</f>
        <v>23</v>
      </c>
      <c r="S2868" t="str">
        <f>IF(Table1[[#This Row],[Days on Market]] &lt; 30,"Fast",IF(Table1[[#This Row],[Days on Market]]&lt;= 90,"Average", "Slow"))</f>
        <v>Average</v>
      </c>
      <c r="T2868" t="str">
        <f>IF(Table1[[#This Row],[Price2]]&lt;500000,"Affordable",IF(Table1[[#This Row],[Price2]]&lt;1000000,"Mid range","Luxury"))</f>
        <v>Luxury</v>
      </c>
    </row>
    <row r="2869" spans="1:20" x14ac:dyDescent="0.35">
      <c r="A2869" s="3">
        <v>1440454</v>
      </c>
      <c r="B2869" s="2" t="s">
        <v>17</v>
      </c>
      <c r="C2869">
        <v>24208</v>
      </c>
      <c r="D2869" s="2" t="s">
        <v>13</v>
      </c>
      <c r="E2869">
        <v>3</v>
      </c>
      <c r="F2869">
        <v>4</v>
      </c>
      <c r="G2869" s="4">
        <f>VALUE(SUBSTITUTE(SUBSTITUTE(Table1[[#This Row],[Price]],"$",""),",",""))</f>
        <v>1440454</v>
      </c>
      <c r="H2869" s="1">
        <f>Table1[[#This Row],[Price2]]/Table1[[#This Row],[Area]]</f>
        <v>1827.9873096446699</v>
      </c>
      <c r="I2869">
        <v>788</v>
      </c>
      <c r="J2869">
        <v>1962</v>
      </c>
      <c r="K2869">
        <v>59</v>
      </c>
      <c r="L2869" t="s">
        <v>40</v>
      </c>
      <c r="M2869" t="s">
        <v>1846</v>
      </c>
      <c r="N2869" s="2" t="s">
        <v>3033</v>
      </c>
      <c r="O2869" t="s">
        <v>3034</v>
      </c>
      <c r="P2869" t="s">
        <v>21</v>
      </c>
      <c r="Q2869">
        <v>1827.9873096446699</v>
      </c>
      <c r="R2869">
        <f ca="1">YEAR(TODAY())-Table1[[#This Row],[Year Built]]</f>
        <v>64</v>
      </c>
      <c r="S2869" t="str">
        <f>IF(Table1[[#This Row],[Days on Market]] &lt; 30,"Fast",IF(Table1[[#This Row],[Days on Market]]&lt;= 90,"Average", "Slow"))</f>
        <v>Average</v>
      </c>
      <c r="T2869" t="str">
        <f>IF(Table1[[#This Row],[Price2]]&lt;500000,"Affordable",IF(Table1[[#This Row],[Price2]]&lt;1000000,"Mid range","Luxury"))</f>
        <v>Luxury</v>
      </c>
    </row>
    <row r="2870" spans="1:20" x14ac:dyDescent="0.35">
      <c r="A2870" s="3">
        <v>1440490</v>
      </c>
      <c r="B2870" s="2" t="s">
        <v>12</v>
      </c>
      <c r="C2870">
        <v>36666</v>
      </c>
      <c r="D2870" s="2" t="s">
        <v>13</v>
      </c>
      <c r="E2870">
        <v>3</v>
      </c>
      <c r="F2870">
        <v>4</v>
      </c>
      <c r="G2870" s="4">
        <f>VALUE(SUBSTITUTE(SUBSTITUTE(Table1[[#This Row],[Price]],"$",""),",",""))</f>
        <v>1440490</v>
      </c>
      <c r="H2870" s="1">
        <f>Table1[[#This Row],[Price2]]/Table1[[#This Row],[Area]]</f>
        <v>490.46305754170925</v>
      </c>
      <c r="I2870">
        <v>2937</v>
      </c>
      <c r="J2870">
        <v>1963</v>
      </c>
      <c r="K2870">
        <v>111</v>
      </c>
      <c r="L2870" t="s">
        <v>30</v>
      </c>
      <c r="M2870" t="s">
        <v>669</v>
      </c>
      <c r="N2870" s="2" t="s">
        <v>3029</v>
      </c>
      <c r="O2870" t="s">
        <v>3030</v>
      </c>
      <c r="P2870" t="s">
        <v>26</v>
      </c>
      <c r="Q2870">
        <v>490.46305754170925</v>
      </c>
      <c r="R2870">
        <f ca="1">YEAR(TODAY())-Table1[[#This Row],[Year Built]]</f>
        <v>63</v>
      </c>
      <c r="S2870" t="str">
        <f>IF(Table1[[#This Row],[Days on Market]] &lt; 30,"Fast",IF(Table1[[#This Row],[Days on Market]]&lt;= 90,"Average", "Slow"))</f>
        <v>Slow</v>
      </c>
      <c r="T2870" t="str">
        <f>IF(Table1[[#This Row],[Price2]]&lt;500000,"Affordable",IF(Table1[[#This Row],[Price2]]&lt;1000000,"Mid range","Luxury"))</f>
        <v>Luxury</v>
      </c>
    </row>
    <row r="2871" spans="1:20" x14ac:dyDescent="0.35">
      <c r="A2871" s="3">
        <v>1440759</v>
      </c>
      <c r="B2871" s="2" t="s">
        <v>12</v>
      </c>
      <c r="C2871">
        <v>55033</v>
      </c>
      <c r="D2871" s="2" t="s">
        <v>23</v>
      </c>
      <c r="E2871">
        <v>5</v>
      </c>
      <c r="F2871">
        <v>3</v>
      </c>
      <c r="G2871" s="4">
        <f>VALUE(SUBSTITUTE(SUBSTITUTE(Table1[[#This Row],[Price]],"$",""),",",""))</f>
        <v>1440759</v>
      </c>
      <c r="H2871" s="1">
        <f>Table1[[#This Row],[Price2]]/Table1[[#This Row],[Area]]</f>
        <v>1423.6749011857708</v>
      </c>
      <c r="I2871">
        <v>1012</v>
      </c>
      <c r="J2871">
        <v>1954</v>
      </c>
      <c r="K2871">
        <v>94</v>
      </c>
      <c r="L2871" t="s">
        <v>40</v>
      </c>
      <c r="M2871" t="s">
        <v>133</v>
      </c>
      <c r="N2871" s="2" t="s">
        <v>3027</v>
      </c>
      <c r="O2871" t="s">
        <v>3028</v>
      </c>
      <c r="P2871" t="s">
        <v>21</v>
      </c>
      <c r="Q2871">
        <v>1423.6749011857708</v>
      </c>
      <c r="R2871">
        <f ca="1">YEAR(TODAY())-Table1[[#This Row],[Year Built]]</f>
        <v>72</v>
      </c>
      <c r="S2871" t="str">
        <f>IF(Table1[[#This Row],[Days on Market]] &lt; 30,"Fast",IF(Table1[[#This Row],[Days on Market]]&lt;= 90,"Average", "Slow"))</f>
        <v>Slow</v>
      </c>
      <c r="T2871" t="str">
        <f>IF(Table1[[#This Row],[Price2]]&lt;500000,"Affordable",IF(Table1[[#This Row],[Price2]]&lt;1000000,"Mid range","Luxury"))</f>
        <v>Luxury</v>
      </c>
    </row>
    <row r="2872" spans="1:20" x14ac:dyDescent="0.35">
      <c r="A2872" s="3">
        <v>1440863</v>
      </c>
      <c r="B2872" s="2" t="s">
        <v>17</v>
      </c>
      <c r="C2872">
        <v>37227</v>
      </c>
      <c r="D2872" s="2" t="s">
        <v>23</v>
      </c>
      <c r="E2872">
        <v>1</v>
      </c>
      <c r="F2872">
        <v>2</v>
      </c>
      <c r="G2872" s="4">
        <f>VALUE(SUBSTITUTE(SUBSTITUTE(Table1[[#This Row],[Price]],"$",""),",",""))</f>
        <v>1440863</v>
      </c>
      <c r="H2872" s="1">
        <f>Table1[[#This Row],[Price2]]/Table1[[#This Row],[Area]]</f>
        <v>467.96459889574538</v>
      </c>
      <c r="I2872">
        <v>3079</v>
      </c>
      <c r="J2872">
        <v>1955</v>
      </c>
      <c r="K2872">
        <v>24</v>
      </c>
      <c r="L2872" t="s">
        <v>19</v>
      </c>
      <c r="M2872" t="s">
        <v>2837</v>
      </c>
      <c r="N2872" s="2" t="s">
        <v>3035</v>
      </c>
      <c r="O2872" t="s">
        <v>3036</v>
      </c>
      <c r="P2872" t="s">
        <v>26</v>
      </c>
      <c r="Q2872">
        <v>467.96459889574538</v>
      </c>
      <c r="R2872">
        <f ca="1">YEAR(TODAY())-Table1[[#This Row],[Year Built]]</f>
        <v>71</v>
      </c>
      <c r="S2872" t="str">
        <f>IF(Table1[[#This Row],[Days on Market]] &lt; 30,"Fast",IF(Table1[[#This Row],[Days on Market]]&lt;= 90,"Average", "Slow"))</f>
        <v>Fast</v>
      </c>
      <c r="T2872" t="str">
        <f>IF(Table1[[#This Row],[Price2]]&lt;500000,"Affordable",IF(Table1[[#This Row],[Price2]]&lt;1000000,"Mid range","Luxury"))</f>
        <v>Luxury</v>
      </c>
    </row>
    <row r="2873" spans="1:20" x14ac:dyDescent="0.35">
      <c r="A2873" s="3">
        <v>1441227</v>
      </c>
      <c r="B2873" s="2" t="s">
        <v>12</v>
      </c>
      <c r="C2873">
        <v>11522</v>
      </c>
      <c r="D2873" s="2" t="s">
        <v>13</v>
      </c>
      <c r="E2873">
        <v>1</v>
      </c>
      <c r="F2873">
        <v>1</v>
      </c>
      <c r="G2873" s="4">
        <f>VALUE(SUBSTITUTE(SUBSTITUTE(Table1[[#This Row],[Price]],"$",""),",",""))</f>
        <v>1441227</v>
      </c>
      <c r="H2873" s="1">
        <f>Table1[[#This Row],[Price2]]/Table1[[#This Row],[Area]]</f>
        <v>997.38892733564012</v>
      </c>
      <c r="I2873">
        <v>1445</v>
      </c>
      <c r="J2873">
        <v>1971</v>
      </c>
      <c r="K2873">
        <v>15</v>
      </c>
      <c r="L2873" t="s">
        <v>52</v>
      </c>
      <c r="M2873" t="s">
        <v>357</v>
      </c>
      <c r="N2873" s="2" t="s">
        <v>3029</v>
      </c>
      <c r="O2873" t="s">
        <v>3030</v>
      </c>
      <c r="P2873" t="s">
        <v>26</v>
      </c>
      <c r="Q2873">
        <v>997.38892733564012</v>
      </c>
      <c r="R2873">
        <f ca="1">YEAR(TODAY())-Table1[[#This Row],[Year Built]]</f>
        <v>55</v>
      </c>
      <c r="S2873" t="str">
        <f>IF(Table1[[#This Row],[Days on Market]] &lt; 30,"Fast",IF(Table1[[#This Row],[Days on Market]]&lt;= 90,"Average", "Slow"))</f>
        <v>Fast</v>
      </c>
      <c r="T2873" t="str">
        <f>IF(Table1[[#This Row],[Price2]]&lt;500000,"Affordable",IF(Table1[[#This Row],[Price2]]&lt;1000000,"Mid range","Luxury"))</f>
        <v>Luxury</v>
      </c>
    </row>
    <row r="2874" spans="1:20" x14ac:dyDescent="0.35">
      <c r="A2874" s="3">
        <v>1442853</v>
      </c>
      <c r="B2874" s="2" t="s">
        <v>12</v>
      </c>
      <c r="C2874">
        <v>32794</v>
      </c>
      <c r="D2874" s="2" t="s">
        <v>18</v>
      </c>
      <c r="E2874">
        <v>6</v>
      </c>
      <c r="F2874">
        <v>4</v>
      </c>
      <c r="G2874" s="4">
        <f>VALUE(SUBSTITUTE(SUBSTITUTE(Table1[[#This Row],[Price]],"$",""),",",""))</f>
        <v>1442853</v>
      </c>
      <c r="H2874" s="1">
        <f>Table1[[#This Row],[Price2]]/Table1[[#This Row],[Area]]</f>
        <v>1717.6821428571429</v>
      </c>
      <c r="I2874">
        <v>840</v>
      </c>
      <c r="J2874">
        <v>1983</v>
      </c>
      <c r="K2874">
        <v>63</v>
      </c>
      <c r="L2874" t="s">
        <v>40</v>
      </c>
      <c r="M2874" t="s">
        <v>1396</v>
      </c>
      <c r="N2874" s="2" t="s">
        <v>3035</v>
      </c>
      <c r="O2874" t="s">
        <v>3036</v>
      </c>
      <c r="P2874" t="s">
        <v>21</v>
      </c>
      <c r="Q2874">
        <v>1717.6821428571429</v>
      </c>
      <c r="R2874">
        <f ca="1">YEAR(TODAY())-Table1[[#This Row],[Year Built]]</f>
        <v>43</v>
      </c>
      <c r="S2874" t="str">
        <f>IF(Table1[[#This Row],[Days on Market]] &lt; 30,"Fast",IF(Table1[[#This Row],[Days on Market]]&lt;= 90,"Average", "Slow"))</f>
        <v>Average</v>
      </c>
      <c r="T2874" t="str">
        <f>IF(Table1[[#This Row],[Price2]]&lt;500000,"Affordable",IF(Table1[[#This Row],[Price2]]&lt;1000000,"Mid range","Luxury"))</f>
        <v>Luxury</v>
      </c>
    </row>
    <row r="2875" spans="1:20" x14ac:dyDescent="0.35">
      <c r="A2875" s="3">
        <v>1442863</v>
      </c>
      <c r="B2875" s="2" t="s">
        <v>27</v>
      </c>
      <c r="C2875">
        <v>90177</v>
      </c>
      <c r="D2875" s="2" t="s">
        <v>13</v>
      </c>
      <c r="E2875">
        <v>4</v>
      </c>
      <c r="F2875">
        <v>2</v>
      </c>
      <c r="G2875" s="4">
        <f>VALUE(SUBSTITUTE(SUBSTITUTE(Table1[[#This Row],[Price]],"$",""),",",""))</f>
        <v>1442863</v>
      </c>
      <c r="H2875" s="1">
        <f>Table1[[#This Row],[Price2]]/Table1[[#This Row],[Area]]</f>
        <v>633.39025460930645</v>
      </c>
      <c r="I2875">
        <v>2278</v>
      </c>
      <c r="J2875">
        <v>1966</v>
      </c>
      <c r="K2875">
        <v>103</v>
      </c>
      <c r="L2875" t="s">
        <v>19</v>
      </c>
      <c r="M2875" t="s">
        <v>619</v>
      </c>
      <c r="N2875" s="2" t="s">
        <v>3027</v>
      </c>
      <c r="O2875" t="s">
        <v>3028</v>
      </c>
      <c r="P2875" t="s">
        <v>21</v>
      </c>
      <c r="Q2875">
        <v>633.39025460930645</v>
      </c>
      <c r="R2875">
        <f ca="1">YEAR(TODAY())-Table1[[#This Row],[Year Built]]</f>
        <v>60</v>
      </c>
      <c r="S2875" t="str">
        <f>IF(Table1[[#This Row],[Days on Market]] &lt; 30,"Fast",IF(Table1[[#This Row],[Days on Market]]&lt;= 90,"Average", "Slow"))</f>
        <v>Slow</v>
      </c>
      <c r="T2875" t="str">
        <f>IF(Table1[[#This Row],[Price2]]&lt;500000,"Affordable",IF(Table1[[#This Row],[Price2]]&lt;1000000,"Mid range","Luxury"))</f>
        <v>Luxury</v>
      </c>
    </row>
    <row r="2876" spans="1:20" x14ac:dyDescent="0.35">
      <c r="A2876" s="3">
        <v>1442996</v>
      </c>
      <c r="B2876" s="2" t="s">
        <v>27</v>
      </c>
      <c r="C2876">
        <v>21034</v>
      </c>
      <c r="D2876" s="2" t="s">
        <v>23</v>
      </c>
      <c r="E2876">
        <v>5</v>
      </c>
      <c r="F2876">
        <v>1</v>
      </c>
      <c r="G2876" s="4">
        <f>VALUE(SUBSTITUTE(SUBSTITUTE(Table1[[#This Row],[Price]],"$",""),",",""))</f>
        <v>1442996</v>
      </c>
      <c r="H2876" s="1">
        <f>Table1[[#This Row],[Price2]]/Table1[[#This Row],[Area]]</f>
        <v>389.15749730312837</v>
      </c>
      <c r="I2876">
        <v>3708</v>
      </c>
      <c r="J2876">
        <v>2022</v>
      </c>
      <c r="K2876">
        <v>25</v>
      </c>
      <c r="L2876" t="s">
        <v>30</v>
      </c>
      <c r="M2876" t="s">
        <v>1406</v>
      </c>
      <c r="N2876" s="2" t="s">
        <v>3029</v>
      </c>
      <c r="O2876" t="s">
        <v>3030</v>
      </c>
      <c r="P2876" t="s">
        <v>16</v>
      </c>
      <c r="Q2876">
        <v>389.15749730312837</v>
      </c>
      <c r="R2876">
        <f ca="1">YEAR(TODAY())-Table1[[#This Row],[Year Built]]</f>
        <v>4</v>
      </c>
      <c r="S2876" t="str">
        <f>IF(Table1[[#This Row],[Days on Market]] &lt; 30,"Fast",IF(Table1[[#This Row],[Days on Market]]&lt;= 90,"Average", "Slow"))</f>
        <v>Fast</v>
      </c>
      <c r="T2876" t="str">
        <f>IF(Table1[[#This Row],[Price2]]&lt;500000,"Affordable",IF(Table1[[#This Row],[Price2]]&lt;1000000,"Mid range","Luxury"))</f>
        <v>Luxury</v>
      </c>
    </row>
    <row r="2877" spans="1:20" x14ac:dyDescent="0.35">
      <c r="A2877" s="3">
        <v>1443890</v>
      </c>
      <c r="B2877" s="2" t="s">
        <v>17</v>
      </c>
      <c r="C2877">
        <v>46959</v>
      </c>
      <c r="D2877" s="2" t="s">
        <v>23</v>
      </c>
      <c r="E2877">
        <v>5</v>
      </c>
      <c r="F2877">
        <v>4</v>
      </c>
      <c r="G2877" s="4">
        <f>VALUE(SUBSTITUTE(SUBSTITUTE(Table1[[#This Row],[Price]],"$",""),",",""))</f>
        <v>1443890</v>
      </c>
      <c r="H2877" s="1">
        <f>Table1[[#This Row],[Price2]]/Table1[[#This Row],[Area]]</f>
        <v>786.43246187363832</v>
      </c>
      <c r="I2877">
        <v>1836</v>
      </c>
      <c r="J2877">
        <v>1988</v>
      </c>
      <c r="K2877">
        <v>39</v>
      </c>
      <c r="L2877" t="s">
        <v>14</v>
      </c>
      <c r="M2877" t="s">
        <v>2208</v>
      </c>
      <c r="N2877" s="2" t="s">
        <v>3031</v>
      </c>
      <c r="O2877" t="s">
        <v>3032</v>
      </c>
      <c r="P2877" t="s">
        <v>26</v>
      </c>
      <c r="Q2877">
        <v>786.43246187363832</v>
      </c>
      <c r="R2877">
        <f ca="1">YEAR(TODAY())-Table1[[#This Row],[Year Built]]</f>
        <v>38</v>
      </c>
      <c r="S2877" t="str">
        <f>IF(Table1[[#This Row],[Days on Market]] &lt; 30,"Fast",IF(Table1[[#This Row],[Days on Market]]&lt;= 90,"Average", "Slow"))</f>
        <v>Average</v>
      </c>
      <c r="T2877" t="str">
        <f>IF(Table1[[#This Row],[Price2]]&lt;500000,"Affordable",IF(Table1[[#This Row],[Price2]]&lt;1000000,"Mid range","Luxury"))</f>
        <v>Luxury</v>
      </c>
    </row>
    <row r="2878" spans="1:20" x14ac:dyDescent="0.35">
      <c r="A2878" s="3">
        <v>1444036</v>
      </c>
      <c r="B2878" s="2" t="s">
        <v>12</v>
      </c>
      <c r="C2878">
        <v>73665</v>
      </c>
      <c r="D2878" s="2" t="s">
        <v>13</v>
      </c>
      <c r="E2878">
        <v>6</v>
      </c>
      <c r="F2878">
        <v>3</v>
      </c>
      <c r="G2878" s="4">
        <f>VALUE(SUBSTITUTE(SUBSTITUTE(Table1[[#This Row],[Price]],"$",""),",",""))</f>
        <v>1444036</v>
      </c>
      <c r="H2878" s="1">
        <f>Table1[[#This Row],[Price2]]/Table1[[#This Row],[Area]]</f>
        <v>1943.520861372813</v>
      </c>
      <c r="I2878">
        <v>743</v>
      </c>
      <c r="J2878">
        <v>2018</v>
      </c>
      <c r="K2878">
        <v>50</v>
      </c>
      <c r="L2878" t="s">
        <v>14</v>
      </c>
      <c r="M2878" t="s">
        <v>56</v>
      </c>
      <c r="N2878" s="2" t="s">
        <v>3033</v>
      </c>
      <c r="O2878" t="s">
        <v>3034</v>
      </c>
      <c r="P2878" t="s">
        <v>21</v>
      </c>
      <c r="Q2878">
        <v>1943.520861372813</v>
      </c>
      <c r="R2878">
        <f ca="1">YEAR(TODAY())-Table1[[#This Row],[Year Built]]</f>
        <v>8</v>
      </c>
      <c r="S2878" t="str">
        <f>IF(Table1[[#This Row],[Days on Market]] &lt; 30,"Fast",IF(Table1[[#This Row],[Days on Market]]&lt;= 90,"Average", "Slow"))</f>
        <v>Average</v>
      </c>
      <c r="T2878" t="str">
        <f>IF(Table1[[#This Row],[Price2]]&lt;500000,"Affordable",IF(Table1[[#This Row],[Price2]]&lt;1000000,"Mid range","Luxury"))</f>
        <v>Luxury</v>
      </c>
    </row>
    <row r="2879" spans="1:20" x14ac:dyDescent="0.35">
      <c r="A2879" s="3">
        <v>1444049</v>
      </c>
      <c r="B2879" s="2" t="s">
        <v>22</v>
      </c>
      <c r="C2879">
        <v>57281</v>
      </c>
      <c r="D2879" s="2" t="s">
        <v>18</v>
      </c>
      <c r="E2879">
        <v>2</v>
      </c>
      <c r="F2879">
        <v>3</v>
      </c>
      <c r="G2879" s="4">
        <f>VALUE(SUBSTITUTE(SUBSTITUTE(Table1[[#This Row],[Price]],"$",""),",",""))</f>
        <v>1444049</v>
      </c>
      <c r="H2879" s="1">
        <f>Table1[[#This Row],[Price2]]/Table1[[#This Row],[Area]]</f>
        <v>570.54484393520352</v>
      </c>
      <c r="I2879">
        <v>2531</v>
      </c>
      <c r="J2879">
        <v>1964</v>
      </c>
      <c r="K2879">
        <v>86</v>
      </c>
      <c r="L2879" t="s">
        <v>52</v>
      </c>
      <c r="M2879" t="s">
        <v>1391</v>
      </c>
      <c r="N2879" s="2" t="s">
        <v>3031</v>
      </c>
      <c r="O2879" t="s">
        <v>3032</v>
      </c>
      <c r="P2879" t="s">
        <v>16</v>
      </c>
      <c r="Q2879">
        <v>570.54484393520352</v>
      </c>
      <c r="R2879">
        <f ca="1">YEAR(TODAY())-Table1[[#This Row],[Year Built]]</f>
        <v>62</v>
      </c>
      <c r="S2879" t="str">
        <f>IF(Table1[[#This Row],[Days on Market]] &lt; 30,"Fast",IF(Table1[[#This Row],[Days on Market]]&lt;= 90,"Average", "Slow"))</f>
        <v>Average</v>
      </c>
      <c r="T2879" t="str">
        <f>IF(Table1[[#This Row],[Price2]]&lt;500000,"Affordable",IF(Table1[[#This Row],[Price2]]&lt;1000000,"Mid range","Luxury"))</f>
        <v>Luxury</v>
      </c>
    </row>
    <row r="2880" spans="1:20" x14ac:dyDescent="0.35">
      <c r="A2880" s="3">
        <v>1444268</v>
      </c>
      <c r="B2880" s="2" t="s">
        <v>34</v>
      </c>
      <c r="C2880">
        <v>84752</v>
      </c>
      <c r="D2880" s="2" t="s">
        <v>29</v>
      </c>
      <c r="E2880">
        <v>4</v>
      </c>
      <c r="F2880">
        <v>4</v>
      </c>
      <c r="G2880" s="4">
        <f>VALUE(SUBSTITUTE(SUBSTITUTE(Table1[[#This Row],[Price]],"$",""),",",""))</f>
        <v>1444268</v>
      </c>
      <c r="H2880" s="1">
        <f>Table1[[#This Row],[Price2]]/Table1[[#This Row],[Area]]</f>
        <v>521.96169136248648</v>
      </c>
      <c r="I2880">
        <v>2767</v>
      </c>
      <c r="J2880">
        <v>1958</v>
      </c>
      <c r="K2880">
        <v>64</v>
      </c>
      <c r="L2880" t="s">
        <v>14</v>
      </c>
      <c r="M2880" t="s">
        <v>1538</v>
      </c>
      <c r="N2880" s="2" t="s">
        <v>3027</v>
      </c>
      <c r="O2880" t="s">
        <v>3028</v>
      </c>
      <c r="P2880" t="s">
        <v>21</v>
      </c>
      <c r="Q2880">
        <v>521.96169136248648</v>
      </c>
      <c r="R2880">
        <f ca="1">YEAR(TODAY())-Table1[[#This Row],[Year Built]]</f>
        <v>68</v>
      </c>
      <c r="S2880" t="str">
        <f>IF(Table1[[#This Row],[Days on Market]] &lt; 30,"Fast",IF(Table1[[#This Row],[Days on Market]]&lt;= 90,"Average", "Slow"))</f>
        <v>Average</v>
      </c>
      <c r="T2880" t="str">
        <f>IF(Table1[[#This Row],[Price2]]&lt;500000,"Affordable",IF(Table1[[#This Row],[Price2]]&lt;1000000,"Mid range","Luxury"))</f>
        <v>Luxury</v>
      </c>
    </row>
    <row r="2881" spans="1:20" x14ac:dyDescent="0.35">
      <c r="A2881" s="3">
        <v>1445108</v>
      </c>
      <c r="B2881" s="2" t="s">
        <v>17</v>
      </c>
      <c r="C2881">
        <v>39662</v>
      </c>
      <c r="D2881" s="2" t="s">
        <v>29</v>
      </c>
      <c r="E2881">
        <v>2</v>
      </c>
      <c r="F2881">
        <v>4</v>
      </c>
      <c r="G2881" s="4">
        <f>VALUE(SUBSTITUTE(SUBSTITUTE(Table1[[#This Row],[Price]],"$",""),",",""))</f>
        <v>1445108</v>
      </c>
      <c r="H2881" s="1">
        <f>Table1[[#This Row],[Price2]]/Table1[[#This Row],[Area]]</f>
        <v>603.38538622129431</v>
      </c>
      <c r="I2881">
        <v>2395</v>
      </c>
      <c r="J2881">
        <v>2000</v>
      </c>
      <c r="K2881">
        <v>31</v>
      </c>
      <c r="L2881" t="s">
        <v>14</v>
      </c>
      <c r="M2881" t="s">
        <v>279</v>
      </c>
      <c r="N2881" s="2" t="s">
        <v>3027</v>
      </c>
      <c r="O2881" t="s">
        <v>3028</v>
      </c>
      <c r="P2881" t="s">
        <v>26</v>
      </c>
      <c r="Q2881">
        <v>603.38538622129431</v>
      </c>
      <c r="R2881">
        <f ca="1">YEAR(TODAY())-Table1[[#This Row],[Year Built]]</f>
        <v>26</v>
      </c>
      <c r="S2881" t="str">
        <f>IF(Table1[[#This Row],[Days on Market]] &lt; 30,"Fast",IF(Table1[[#This Row],[Days on Market]]&lt;= 90,"Average", "Slow"))</f>
        <v>Average</v>
      </c>
      <c r="T2881" t="str">
        <f>IF(Table1[[#This Row],[Price2]]&lt;500000,"Affordable",IF(Table1[[#This Row],[Price2]]&lt;1000000,"Mid range","Luxury"))</f>
        <v>Luxury</v>
      </c>
    </row>
    <row r="2882" spans="1:20" x14ac:dyDescent="0.35">
      <c r="A2882" s="3">
        <v>1445315</v>
      </c>
      <c r="B2882" s="2" t="s">
        <v>27</v>
      </c>
      <c r="C2882">
        <v>93603</v>
      </c>
      <c r="D2882" s="2" t="s">
        <v>18</v>
      </c>
      <c r="E2882">
        <v>2</v>
      </c>
      <c r="F2882">
        <v>3</v>
      </c>
      <c r="G2882" s="4">
        <f>VALUE(SUBSTITUTE(SUBSTITUTE(Table1[[#This Row],[Price]],"$",""),",",""))</f>
        <v>1445315</v>
      </c>
      <c r="H2882" s="1">
        <f>Table1[[#This Row],[Price2]]/Table1[[#This Row],[Area]]</f>
        <v>761.89509752240383</v>
      </c>
      <c r="I2882">
        <v>1897</v>
      </c>
      <c r="J2882">
        <v>1952</v>
      </c>
      <c r="K2882">
        <v>10</v>
      </c>
      <c r="L2882" t="s">
        <v>19</v>
      </c>
      <c r="M2882" t="s">
        <v>825</v>
      </c>
      <c r="N2882" s="2" t="s">
        <v>3029</v>
      </c>
      <c r="O2882" t="s">
        <v>3030</v>
      </c>
      <c r="P2882" t="s">
        <v>16</v>
      </c>
      <c r="Q2882">
        <v>761.89509752240383</v>
      </c>
      <c r="R2882">
        <f ca="1">YEAR(TODAY())-Table1[[#This Row],[Year Built]]</f>
        <v>74</v>
      </c>
      <c r="S2882" t="str">
        <f>IF(Table1[[#This Row],[Days on Market]] &lt; 30,"Fast",IF(Table1[[#This Row],[Days on Market]]&lt;= 90,"Average", "Slow"))</f>
        <v>Fast</v>
      </c>
      <c r="T2882" t="str">
        <f>IF(Table1[[#This Row],[Price2]]&lt;500000,"Affordable",IF(Table1[[#This Row],[Price2]]&lt;1000000,"Mid range","Luxury"))</f>
        <v>Luxury</v>
      </c>
    </row>
    <row r="2883" spans="1:20" x14ac:dyDescent="0.35">
      <c r="A2883" s="3">
        <v>1445626</v>
      </c>
      <c r="B2883" s="2" t="s">
        <v>17</v>
      </c>
      <c r="C2883">
        <v>42379</v>
      </c>
      <c r="D2883" s="2" t="s">
        <v>29</v>
      </c>
      <c r="E2883">
        <v>2</v>
      </c>
      <c r="F2883">
        <v>1</v>
      </c>
      <c r="G2883" s="4">
        <f>VALUE(SUBSTITUTE(SUBSTITUTE(Table1[[#This Row],[Price]],"$",""),",",""))</f>
        <v>1445626</v>
      </c>
      <c r="H2883" s="1">
        <f>Table1[[#This Row],[Price2]]/Table1[[#This Row],[Area]]</f>
        <v>1510.5809822361546</v>
      </c>
      <c r="I2883">
        <v>957</v>
      </c>
      <c r="J2883">
        <v>1999</v>
      </c>
      <c r="K2883">
        <v>107</v>
      </c>
      <c r="L2883" t="s">
        <v>19</v>
      </c>
      <c r="M2883" t="s">
        <v>2051</v>
      </c>
      <c r="N2883" s="2" t="s">
        <v>3033</v>
      </c>
      <c r="O2883" t="s">
        <v>3034</v>
      </c>
      <c r="P2883" t="s">
        <v>21</v>
      </c>
      <c r="Q2883">
        <v>1510.5809822361546</v>
      </c>
      <c r="R2883">
        <f ca="1">YEAR(TODAY())-Table1[[#This Row],[Year Built]]</f>
        <v>27</v>
      </c>
      <c r="S2883" t="str">
        <f>IF(Table1[[#This Row],[Days on Market]] &lt; 30,"Fast",IF(Table1[[#This Row],[Days on Market]]&lt;= 90,"Average", "Slow"))</f>
        <v>Slow</v>
      </c>
      <c r="T2883" t="str">
        <f>IF(Table1[[#This Row],[Price2]]&lt;500000,"Affordable",IF(Table1[[#This Row],[Price2]]&lt;1000000,"Mid range","Luxury"))</f>
        <v>Luxury</v>
      </c>
    </row>
    <row r="2884" spans="1:20" x14ac:dyDescent="0.35">
      <c r="A2884" s="3">
        <v>1445658</v>
      </c>
      <c r="B2884" s="2" t="s">
        <v>22</v>
      </c>
      <c r="C2884">
        <v>57265</v>
      </c>
      <c r="D2884" s="2" t="s">
        <v>18</v>
      </c>
      <c r="E2884">
        <v>3</v>
      </c>
      <c r="F2884">
        <v>2</v>
      </c>
      <c r="G2884" s="4">
        <f>VALUE(SUBSTITUTE(SUBSTITUTE(Table1[[#This Row],[Price]],"$",""),",",""))</f>
        <v>1445658</v>
      </c>
      <c r="H2884" s="1">
        <f>Table1[[#This Row],[Price2]]/Table1[[#This Row],[Area]]</f>
        <v>1015.2092696629213</v>
      </c>
      <c r="I2884">
        <v>1424</v>
      </c>
      <c r="J2884">
        <v>1962</v>
      </c>
      <c r="K2884">
        <v>63</v>
      </c>
      <c r="L2884" t="s">
        <v>19</v>
      </c>
      <c r="M2884" t="s">
        <v>2099</v>
      </c>
      <c r="N2884" s="2" t="s">
        <v>3031</v>
      </c>
      <c r="O2884" t="s">
        <v>3032</v>
      </c>
      <c r="P2884" t="s">
        <v>16</v>
      </c>
      <c r="Q2884">
        <v>1015.2092696629213</v>
      </c>
      <c r="R2884">
        <f ca="1">YEAR(TODAY())-Table1[[#This Row],[Year Built]]</f>
        <v>64</v>
      </c>
      <c r="S2884" t="str">
        <f>IF(Table1[[#This Row],[Days on Market]] &lt; 30,"Fast",IF(Table1[[#This Row],[Days on Market]]&lt;= 90,"Average", "Slow"))</f>
        <v>Average</v>
      </c>
      <c r="T2884" t="str">
        <f>IF(Table1[[#This Row],[Price2]]&lt;500000,"Affordable",IF(Table1[[#This Row],[Price2]]&lt;1000000,"Mid range","Luxury"))</f>
        <v>Luxury</v>
      </c>
    </row>
    <row r="2885" spans="1:20" x14ac:dyDescent="0.35">
      <c r="A2885" s="3">
        <v>1446565</v>
      </c>
      <c r="B2885" s="2" t="s">
        <v>12</v>
      </c>
      <c r="C2885">
        <v>96424</v>
      </c>
      <c r="D2885" s="2" t="s">
        <v>23</v>
      </c>
      <c r="E2885">
        <v>1</v>
      </c>
      <c r="F2885">
        <v>3</v>
      </c>
      <c r="G2885" s="4">
        <f>VALUE(SUBSTITUTE(SUBSTITUTE(Table1[[#This Row],[Price]],"$",""),",",""))</f>
        <v>1446565</v>
      </c>
      <c r="H2885" s="1">
        <f>Table1[[#This Row],[Price2]]/Table1[[#This Row],[Area]]</f>
        <v>1323.4812442817931</v>
      </c>
      <c r="I2885">
        <v>1093</v>
      </c>
      <c r="J2885">
        <v>1975</v>
      </c>
      <c r="K2885">
        <v>36</v>
      </c>
      <c r="L2885" t="s">
        <v>30</v>
      </c>
      <c r="M2885" t="s">
        <v>2959</v>
      </c>
      <c r="N2885" s="2" t="s">
        <v>3031</v>
      </c>
      <c r="O2885" t="s">
        <v>3032</v>
      </c>
      <c r="P2885" t="s">
        <v>21</v>
      </c>
      <c r="Q2885">
        <v>1323.4812442817931</v>
      </c>
      <c r="R2885">
        <f ca="1">YEAR(TODAY())-Table1[[#This Row],[Year Built]]</f>
        <v>51</v>
      </c>
      <c r="S2885" t="str">
        <f>IF(Table1[[#This Row],[Days on Market]] &lt; 30,"Fast",IF(Table1[[#This Row],[Days on Market]]&lt;= 90,"Average", "Slow"))</f>
        <v>Average</v>
      </c>
      <c r="T2885" t="str">
        <f>IF(Table1[[#This Row],[Price2]]&lt;500000,"Affordable",IF(Table1[[#This Row],[Price2]]&lt;1000000,"Mid range","Luxury"))</f>
        <v>Luxury</v>
      </c>
    </row>
    <row r="2886" spans="1:20" x14ac:dyDescent="0.35">
      <c r="A2886" s="3">
        <v>1446602</v>
      </c>
      <c r="B2886" s="2" t="s">
        <v>22</v>
      </c>
      <c r="C2886">
        <v>94828</v>
      </c>
      <c r="D2886" s="2" t="s">
        <v>35</v>
      </c>
      <c r="E2886">
        <v>6</v>
      </c>
      <c r="F2886">
        <v>3</v>
      </c>
      <c r="G2886" s="4">
        <f>VALUE(SUBSTITUTE(SUBSTITUTE(Table1[[#This Row],[Price]],"$",""),",",""))</f>
        <v>1446602</v>
      </c>
      <c r="H2886" s="1">
        <f>Table1[[#This Row],[Price2]]/Table1[[#This Row],[Area]]</f>
        <v>521.11023054755049</v>
      </c>
      <c r="I2886">
        <v>2776</v>
      </c>
      <c r="J2886">
        <v>1972</v>
      </c>
      <c r="K2886">
        <v>83</v>
      </c>
      <c r="L2886" t="s">
        <v>14</v>
      </c>
      <c r="M2886" t="s">
        <v>1626</v>
      </c>
      <c r="N2886" s="2" t="s">
        <v>3031</v>
      </c>
      <c r="O2886" t="s">
        <v>3032</v>
      </c>
      <c r="P2886" t="s">
        <v>16</v>
      </c>
      <c r="Q2886">
        <v>521.11023054755049</v>
      </c>
      <c r="R2886">
        <f ca="1">YEAR(TODAY())-Table1[[#This Row],[Year Built]]</f>
        <v>54</v>
      </c>
      <c r="S2886" t="str">
        <f>IF(Table1[[#This Row],[Days on Market]] &lt; 30,"Fast",IF(Table1[[#This Row],[Days on Market]]&lt;= 90,"Average", "Slow"))</f>
        <v>Average</v>
      </c>
      <c r="T2886" t="str">
        <f>IF(Table1[[#This Row],[Price2]]&lt;500000,"Affordable",IF(Table1[[#This Row],[Price2]]&lt;1000000,"Mid range","Luxury"))</f>
        <v>Luxury</v>
      </c>
    </row>
    <row r="2887" spans="1:20" x14ac:dyDescent="0.35">
      <c r="A2887" s="3">
        <v>1447420</v>
      </c>
      <c r="B2887" s="2" t="s">
        <v>17</v>
      </c>
      <c r="C2887">
        <v>67379</v>
      </c>
      <c r="D2887" s="2" t="s">
        <v>13</v>
      </c>
      <c r="E2887">
        <v>5</v>
      </c>
      <c r="F2887">
        <v>2</v>
      </c>
      <c r="G2887" s="4">
        <f>VALUE(SUBSTITUTE(SUBSTITUTE(Table1[[#This Row],[Price]],"$",""),",",""))</f>
        <v>1447420</v>
      </c>
      <c r="H2887" s="1">
        <f>Table1[[#This Row],[Price2]]/Table1[[#This Row],[Area]]</f>
        <v>616.97357203751062</v>
      </c>
      <c r="I2887">
        <v>2346</v>
      </c>
      <c r="J2887">
        <v>1996</v>
      </c>
      <c r="K2887">
        <v>107</v>
      </c>
      <c r="L2887" t="s">
        <v>30</v>
      </c>
      <c r="M2887" t="s">
        <v>2853</v>
      </c>
      <c r="N2887" s="2" t="s">
        <v>3031</v>
      </c>
      <c r="O2887" t="s">
        <v>3032</v>
      </c>
      <c r="P2887" t="s">
        <v>16</v>
      </c>
      <c r="Q2887">
        <v>616.97357203751062</v>
      </c>
      <c r="R2887">
        <f ca="1">YEAR(TODAY())-Table1[[#This Row],[Year Built]]</f>
        <v>30</v>
      </c>
      <c r="S2887" t="str">
        <f>IF(Table1[[#This Row],[Days on Market]] &lt; 30,"Fast",IF(Table1[[#This Row],[Days on Market]]&lt;= 90,"Average", "Slow"))</f>
        <v>Slow</v>
      </c>
      <c r="T2887" t="str">
        <f>IF(Table1[[#This Row],[Price2]]&lt;500000,"Affordable",IF(Table1[[#This Row],[Price2]]&lt;1000000,"Mid range","Luxury"))</f>
        <v>Luxury</v>
      </c>
    </row>
    <row r="2888" spans="1:20" x14ac:dyDescent="0.35">
      <c r="A2888" s="3">
        <v>1447743</v>
      </c>
      <c r="B2888" s="2" t="s">
        <v>17</v>
      </c>
      <c r="C2888">
        <v>48074</v>
      </c>
      <c r="D2888" s="2" t="s">
        <v>29</v>
      </c>
      <c r="E2888">
        <v>1</v>
      </c>
      <c r="F2888">
        <v>4</v>
      </c>
      <c r="G2888" s="4">
        <f>VALUE(SUBSTITUTE(SUBSTITUTE(Table1[[#This Row],[Price]],"$",""),",",""))</f>
        <v>1447743</v>
      </c>
      <c r="H2888" s="1">
        <f>Table1[[#This Row],[Price2]]/Table1[[#This Row],[Area]]</f>
        <v>694.36115107913668</v>
      </c>
      <c r="I2888">
        <v>2085</v>
      </c>
      <c r="J2888">
        <v>1998</v>
      </c>
      <c r="K2888">
        <v>26</v>
      </c>
      <c r="L2888" t="s">
        <v>30</v>
      </c>
      <c r="M2888" t="s">
        <v>480</v>
      </c>
      <c r="N2888" s="2" t="s">
        <v>3027</v>
      </c>
      <c r="O2888" t="s">
        <v>3028</v>
      </c>
      <c r="P2888" t="s">
        <v>21</v>
      </c>
      <c r="Q2888">
        <v>694.36115107913668</v>
      </c>
      <c r="R2888">
        <f ca="1">YEAR(TODAY())-Table1[[#This Row],[Year Built]]</f>
        <v>28</v>
      </c>
      <c r="S2888" t="str">
        <f>IF(Table1[[#This Row],[Days on Market]] &lt; 30,"Fast",IF(Table1[[#This Row],[Days on Market]]&lt;= 90,"Average", "Slow"))</f>
        <v>Fast</v>
      </c>
      <c r="T2888" t="str">
        <f>IF(Table1[[#This Row],[Price2]]&lt;500000,"Affordable",IF(Table1[[#This Row],[Price2]]&lt;1000000,"Mid range","Luxury"))</f>
        <v>Luxury</v>
      </c>
    </row>
    <row r="2889" spans="1:20" x14ac:dyDescent="0.35">
      <c r="A2889" s="3">
        <v>1448184</v>
      </c>
      <c r="B2889" s="2" t="s">
        <v>34</v>
      </c>
      <c r="C2889">
        <v>35493</v>
      </c>
      <c r="D2889" s="2" t="s">
        <v>35</v>
      </c>
      <c r="E2889">
        <v>2</v>
      </c>
      <c r="F2889">
        <v>1</v>
      </c>
      <c r="G2889" s="4">
        <f>VALUE(SUBSTITUTE(SUBSTITUTE(Table1[[#This Row],[Price]],"$",""),",",""))</f>
        <v>1448184</v>
      </c>
      <c r="H2889" s="1">
        <f>Table1[[#This Row],[Price2]]/Table1[[#This Row],[Area]]</f>
        <v>749.96582081822885</v>
      </c>
      <c r="I2889">
        <v>1931</v>
      </c>
      <c r="J2889">
        <v>2004</v>
      </c>
      <c r="K2889">
        <v>59</v>
      </c>
      <c r="L2889" t="s">
        <v>30</v>
      </c>
      <c r="M2889" t="s">
        <v>2639</v>
      </c>
      <c r="N2889" s="2" t="s">
        <v>3029</v>
      </c>
      <c r="O2889" t="s">
        <v>3030</v>
      </c>
      <c r="P2889" t="s">
        <v>16</v>
      </c>
      <c r="Q2889">
        <v>749.96582081822885</v>
      </c>
      <c r="R2889">
        <f ca="1">YEAR(TODAY())-Table1[[#This Row],[Year Built]]</f>
        <v>22</v>
      </c>
      <c r="S2889" t="str">
        <f>IF(Table1[[#This Row],[Days on Market]] &lt; 30,"Fast",IF(Table1[[#This Row],[Days on Market]]&lt;= 90,"Average", "Slow"))</f>
        <v>Average</v>
      </c>
      <c r="T2889" t="str">
        <f>IF(Table1[[#This Row],[Price2]]&lt;500000,"Affordable",IF(Table1[[#This Row],[Price2]]&lt;1000000,"Mid range","Luxury"))</f>
        <v>Luxury</v>
      </c>
    </row>
    <row r="2890" spans="1:20" x14ac:dyDescent="0.35">
      <c r="A2890" s="3">
        <v>1448976</v>
      </c>
      <c r="B2890" s="2" t="s">
        <v>22</v>
      </c>
      <c r="C2890">
        <v>19836</v>
      </c>
      <c r="D2890" s="2" t="s">
        <v>23</v>
      </c>
      <c r="E2890">
        <v>2</v>
      </c>
      <c r="F2890">
        <v>2</v>
      </c>
      <c r="G2890" s="4">
        <f>VALUE(SUBSTITUTE(SUBSTITUTE(Table1[[#This Row],[Price]],"$",""),",",""))</f>
        <v>1448976</v>
      </c>
      <c r="H2890" s="1">
        <f>Table1[[#This Row],[Price2]]/Table1[[#This Row],[Area]]</f>
        <v>527.09203346671518</v>
      </c>
      <c r="I2890">
        <v>2749</v>
      </c>
      <c r="J2890">
        <v>2001</v>
      </c>
      <c r="K2890">
        <v>71</v>
      </c>
      <c r="L2890" t="s">
        <v>19</v>
      </c>
      <c r="M2890" t="s">
        <v>672</v>
      </c>
      <c r="N2890" s="2" t="s">
        <v>3029</v>
      </c>
      <c r="O2890" t="s">
        <v>3030</v>
      </c>
      <c r="P2890" t="s">
        <v>26</v>
      </c>
      <c r="Q2890">
        <v>527.09203346671518</v>
      </c>
      <c r="R2890">
        <f ca="1">YEAR(TODAY())-Table1[[#This Row],[Year Built]]</f>
        <v>25</v>
      </c>
      <c r="S2890" t="str">
        <f>IF(Table1[[#This Row],[Days on Market]] &lt; 30,"Fast",IF(Table1[[#This Row],[Days on Market]]&lt;= 90,"Average", "Slow"))</f>
        <v>Average</v>
      </c>
      <c r="T2890" t="str">
        <f>IF(Table1[[#This Row],[Price2]]&lt;500000,"Affordable",IF(Table1[[#This Row],[Price2]]&lt;1000000,"Mid range","Luxury"))</f>
        <v>Luxury</v>
      </c>
    </row>
    <row r="2891" spans="1:20" x14ac:dyDescent="0.35">
      <c r="A2891" s="3">
        <v>1449651</v>
      </c>
      <c r="B2891" s="2" t="s">
        <v>27</v>
      </c>
      <c r="C2891">
        <v>29271</v>
      </c>
      <c r="D2891" s="2" t="s">
        <v>23</v>
      </c>
      <c r="E2891">
        <v>5</v>
      </c>
      <c r="F2891">
        <v>3</v>
      </c>
      <c r="G2891" s="4">
        <f>VALUE(SUBSTITUTE(SUBSTITUTE(Table1[[#This Row],[Price]],"$",""),",",""))</f>
        <v>1449651</v>
      </c>
      <c r="H2891" s="1">
        <f>Table1[[#This Row],[Price2]]/Table1[[#This Row],[Area]]</f>
        <v>621.63421955403089</v>
      </c>
      <c r="I2891">
        <v>2332</v>
      </c>
      <c r="J2891">
        <v>1953</v>
      </c>
      <c r="K2891">
        <v>113</v>
      </c>
      <c r="L2891" t="s">
        <v>30</v>
      </c>
      <c r="M2891" t="s">
        <v>291</v>
      </c>
      <c r="N2891" s="2" t="s">
        <v>3031</v>
      </c>
      <c r="O2891" t="s">
        <v>3032</v>
      </c>
      <c r="P2891" t="s">
        <v>16</v>
      </c>
      <c r="Q2891">
        <v>621.63421955403089</v>
      </c>
      <c r="R2891">
        <f ca="1">YEAR(TODAY())-Table1[[#This Row],[Year Built]]</f>
        <v>73</v>
      </c>
      <c r="S2891" t="str">
        <f>IF(Table1[[#This Row],[Days on Market]] &lt; 30,"Fast",IF(Table1[[#This Row],[Days on Market]]&lt;= 90,"Average", "Slow"))</f>
        <v>Slow</v>
      </c>
      <c r="T2891" t="str">
        <f>IF(Table1[[#This Row],[Price2]]&lt;500000,"Affordable",IF(Table1[[#This Row],[Price2]]&lt;1000000,"Mid range","Luxury"))</f>
        <v>Luxury</v>
      </c>
    </row>
    <row r="2892" spans="1:20" x14ac:dyDescent="0.35">
      <c r="A2892" s="3">
        <v>1449697</v>
      </c>
      <c r="B2892" s="2" t="s">
        <v>17</v>
      </c>
      <c r="C2892">
        <v>14363</v>
      </c>
      <c r="D2892" s="2" t="s">
        <v>13</v>
      </c>
      <c r="E2892">
        <v>6</v>
      </c>
      <c r="F2892">
        <v>4</v>
      </c>
      <c r="G2892" s="4">
        <f>VALUE(SUBSTITUTE(SUBSTITUTE(Table1[[#This Row],[Price]],"$",""),",",""))</f>
        <v>1449697</v>
      </c>
      <c r="H2892" s="1">
        <f>Table1[[#This Row],[Price2]]/Table1[[#This Row],[Area]]</f>
        <v>517.56408425562302</v>
      </c>
      <c r="I2892">
        <v>2801</v>
      </c>
      <c r="J2892">
        <v>1972</v>
      </c>
      <c r="K2892">
        <v>28</v>
      </c>
      <c r="L2892" t="s">
        <v>19</v>
      </c>
      <c r="M2892" t="s">
        <v>1017</v>
      </c>
      <c r="N2892" s="2" t="s">
        <v>3035</v>
      </c>
      <c r="O2892" t="s">
        <v>3036</v>
      </c>
      <c r="P2892" t="s">
        <v>26</v>
      </c>
      <c r="Q2892">
        <v>517.56408425562302</v>
      </c>
      <c r="R2892">
        <f ca="1">YEAR(TODAY())-Table1[[#This Row],[Year Built]]</f>
        <v>54</v>
      </c>
      <c r="S2892" t="str">
        <f>IF(Table1[[#This Row],[Days on Market]] &lt; 30,"Fast",IF(Table1[[#This Row],[Days on Market]]&lt;= 90,"Average", "Slow"))</f>
        <v>Fast</v>
      </c>
      <c r="T2892" t="str">
        <f>IF(Table1[[#This Row],[Price2]]&lt;500000,"Affordable",IF(Table1[[#This Row],[Price2]]&lt;1000000,"Mid range","Luxury"))</f>
        <v>Luxury</v>
      </c>
    </row>
    <row r="2893" spans="1:20" x14ac:dyDescent="0.35">
      <c r="A2893" s="3">
        <v>1449947</v>
      </c>
      <c r="B2893" s="2" t="s">
        <v>27</v>
      </c>
      <c r="C2893">
        <v>31656</v>
      </c>
      <c r="D2893" s="2" t="s">
        <v>29</v>
      </c>
      <c r="E2893">
        <v>2</v>
      </c>
      <c r="F2893">
        <v>1</v>
      </c>
      <c r="G2893" s="4">
        <f>VALUE(SUBSTITUTE(SUBSTITUTE(Table1[[#This Row],[Price]],"$",""),",",""))</f>
        <v>1449947</v>
      </c>
      <c r="H2893" s="1">
        <f>Table1[[#This Row],[Price2]]/Table1[[#This Row],[Area]]</f>
        <v>1751.1437198067633</v>
      </c>
      <c r="I2893">
        <v>828</v>
      </c>
      <c r="J2893">
        <v>2006</v>
      </c>
      <c r="K2893">
        <v>41</v>
      </c>
      <c r="L2893" t="s">
        <v>14</v>
      </c>
      <c r="M2893" t="s">
        <v>1425</v>
      </c>
      <c r="N2893" s="2" t="s">
        <v>3027</v>
      </c>
      <c r="O2893" t="s">
        <v>3028</v>
      </c>
      <c r="P2893" t="s">
        <v>16</v>
      </c>
      <c r="Q2893">
        <v>1751.1437198067633</v>
      </c>
      <c r="R2893">
        <f ca="1">YEAR(TODAY())-Table1[[#This Row],[Year Built]]</f>
        <v>20</v>
      </c>
      <c r="S2893" t="str">
        <f>IF(Table1[[#This Row],[Days on Market]] &lt; 30,"Fast",IF(Table1[[#This Row],[Days on Market]]&lt;= 90,"Average", "Slow"))</f>
        <v>Average</v>
      </c>
      <c r="T2893" t="str">
        <f>IF(Table1[[#This Row],[Price2]]&lt;500000,"Affordable",IF(Table1[[#This Row],[Price2]]&lt;1000000,"Mid range","Luxury"))</f>
        <v>Luxury</v>
      </c>
    </row>
    <row r="2894" spans="1:20" x14ac:dyDescent="0.35">
      <c r="A2894" s="3">
        <v>1449986</v>
      </c>
      <c r="B2894" s="2" t="s">
        <v>27</v>
      </c>
      <c r="C2894">
        <v>27879</v>
      </c>
      <c r="D2894" s="2" t="s">
        <v>18</v>
      </c>
      <c r="E2894">
        <v>2</v>
      </c>
      <c r="F2894">
        <v>1</v>
      </c>
      <c r="G2894" s="4">
        <f>VALUE(SUBSTITUTE(SUBSTITUTE(Table1[[#This Row],[Price]],"$",""),",",""))</f>
        <v>1449986</v>
      </c>
      <c r="H2894" s="1">
        <f>Table1[[#This Row],[Price2]]/Table1[[#This Row],[Area]]</f>
        <v>451.28727046374104</v>
      </c>
      <c r="I2894">
        <v>3213</v>
      </c>
      <c r="J2894">
        <v>1962</v>
      </c>
      <c r="K2894">
        <v>119</v>
      </c>
      <c r="L2894" t="s">
        <v>19</v>
      </c>
      <c r="M2894" t="s">
        <v>2254</v>
      </c>
      <c r="N2894" s="2" t="s">
        <v>3027</v>
      </c>
      <c r="O2894" t="s">
        <v>3028</v>
      </c>
      <c r="P2894" t="s">
        <v>26</v>
      </c>
      <c r="Q2894">
        <v>451.28727046374104</v>
      </c>
      <c r="R2894">
        <f ca="1">YEAR(TODAY())-Table1[[#This Row],[Year Built]]</f>
        <v>64</v>
      </c>
      <c r="S2894" t="str">
        <f>IF(Table1[[#This Row],[Days on Market]] &lt; 30,"Fast",IF(Table1[[#This Row],[Days on Market]]&lt;= 90,"Average", "Slow"))</f>
        <v>Slow</v>
      </c>
      <c r="T2894" t="str">
        <f>IF(Table1[[#This Row],[Price2]]&lt;500000,"Affordable",IF(Table1[[#This Row],[Price2]]&lt;1000000,"Mid range","Luxury"))</f>
        <v>Luxury</v>
      </c>
    </row>
    <row r="2895" spans="1:20" x14ac:dyDescent="0.35">
      <c r="A2895" s="3">
        <v>1450619</v>
      </c>
      <c r="B2895" s="2" t="s">
        <v>22</v>
      </c>
      <c r="C2895">
        <v>62413</v>
      </c>
      <c r="D2895" s="2" t="s">
        <v>29</v>
      </c>
      <c r="E2895">
        <v>3</v>
      </c>
      <c r="F2895">
        <v>4</v>
      </c>
      <c r="G2895" s="4">
        <f>VALUE(SUBSTITUTE(SUBSTITUTE(Table1[[#This Row],[Price]],"$",""),",",""))</f>
        <v>1450619</v>
      </c>
      <c r="H2895" s="1">
        <f>Table1[[#This Row],[Price2]]/Table1[[#This Row],[Area]]</f>
        <v>467.33859536082474</v>
      </c>
      <c r="I2895">
        <v>3104</v>
      </c>
      <c r="J2895">
        <v>1980</v>
      </c>
      <c r="K2895">
        <v>82</v>
      </c>
      <c r="L2895" t="s">
        <v>52</v>
      </c>
      <c r="M2895" t="s">
        <v>2130</v>
      </c>
      <c r="N2895" s="2" t="s">
        <v>3029</v>
      </c>
      <c r="O2895" t="s">
        <v>3030</v>
      </c>
      <c r="P2895" t="s">
        <v>16</v>
      </c>
      <c r="Q2895">
        <v>467.33859536082474</v>
      </c>
      <c r="R2895">
        <f ca="1">YEAR(TODAY())-Table1[[#This Row],[Year Built]]</f>
        <v>46</v>
      </c>
      <c r="S2895" t="str">
        <f>IF(Table1[[#This Row],[Days on Market]] &lt; 30,"Fast",IF(Table1[[#This Row],[Days on Market]]&lt;= 90,"Average", "Slow"))</f>
        <v>Average</v>
      </c>
      <c r="T2895" t="str">
        <f>IF(Table1[[#This Row],[Price2]]&lt;500000,"Affordable",IF(Table1[[#This Row],[Price2]]&lt;1000000,"Mid range","Luxury"))</f>
        <v>Luxury</v>
      </c>
    </row>
    <row r="2896" spans="1:20" x14ac:dyDescent="0.35">
      <c r="A2896" s="3">
        <v>1450914</v>
      </c>
      <c r="B2896" s="2" t="s">
        <v>12</v>
      </c>
      <c r="C2896">
        <v>50594</v>
      </c>
      <c r="D2896" s="2" t="s">
        <v>35</v>
      </c>
      <c r="E2896">
        <v>2</v>
      </c>
      <c r="F2896">
        <v>3</v>
      </c>
      <c r="G2896" s="4">
        <f>VALUE(SUBSTITUTE(SUBSTITUTE(Table1[[#This Row],[Price]],"$",""),",",""))</f>
        <v>1450914</v>
      </c>
      <c r="H2896" s="1">
        <f>Table1[[#This Row],[Price2]]/Table1[[#This Row],[Area]]</f>
        <v>406.98849929873774</v>
      </c>
      <c r="I2896">
        <v>3565</v>
      </c>
      <c r="J2896">
        <v>1979</v>
      </c>
      <c r="K2896">
        <v>89</v>
      </c>
      <c r="L2896" t="s">
        <v>14</v>
      </c>
      <c r="M2896" t="s">
        <v>1816</v>
      </c>
      <c r="N2896" s="2" t="s">
        <v>3035</v>
      </c>
      <c r="O2896" t="s">
        <v>3036</v>
      </c>
      <c r="P2896" t="s">
        <v>16</v>
      </c>
      <c r="Q2896">
        <v>406.98849929873774</v>
      </c>
      <c r="R2896">
        <f ca="1">YEAR(TODAY())-Table1[[#This Row],[Year Built]]</f>
        <v>47</v>
      </c>
      <c r="S2896" t="str">
        <f>IF(Table1[[#This Row],[Days on Market]] &lt; 30,"Fast",IF(Table1[[#This Row],[Days on Market]]&lt;= 90,"Average", "Slow"))</f>
        <v>Average</v>
      </c>
      <c r="T2896" t="str">
        <f>IF(Table1[[#This Row],[Price2]]&lt;500000,"Affordable",IF(Table1[[#This Row],[Price2]]&lt;1000000,"Mid range","Luxury"))</f>
        <v>Luxury</v>
      </c>
    </row>
    <row r="2897" spans="1:20" x14ac:dyDescent="0.35">
      <c r="A2897" s="3">
        <v>1451100</v>
      </c>
      <c r="B2897" s="2" t="s">
        <v>27</v>
      </c>
      <c r="C2897">
        <v>88679</v>
      </c>
      <c r="D2897" s="2" t="s">
        <v>23</v>
      </c>
      <c r="E2897">
        <v>4</v>
      </c>
      <c r="F2897">
        <v>4</v>
      </c>
      <c r="G2897" s="4">
        <f>VALUE(SUBSTITUTE(SUBSTITUTE(Table1[[#This Row],[Price]],"$",""),",",""))</f>
        <v>1451100</v>
      </c>
      <c r="H2897" s="1">
        <f>Table1[[#This Row],[Price2]]/Table1[[#This Row],[Area]]</f>
        <v>1397.9768786127167</v>
      </c>
      <c r="I2897">
        <v>1038</v>
      </c>
      <c r="J2897">
        <v>1961</v>
      </c>
      <c r="K2897">
        <v>49</v>
      </c>
      <c r="L2897" t="s">
        <v>19</v>
      </c>
      <c r="M2897" t="s">
        <v>1304</v>
      </c>
      <c r="N2897" s="2" t="s">
        <v>3033</v>
      </c>
      <c r="O2897" t="s">
        <v>3034</v>
      </c>
      <c r="P2897" t="s">
        <v>16</v>
      </c>
      <c r="Q2897">
        <v>1397.9768786127167</v>
      </c>
      <c r="R2897">
        <f ca="1">YEAR(TODAY())-Table1[[#This Row],[Year Built]]</f>
        <v>65</v>
      </c>
      <c r="S2897" t="str">
        <f>IF(Table1[[#This Row],[Days on Market]] &lt; 30,"Fast",IF(Table1[[#This Row],[Days on Market]]&lt;= 90,"Average", "Slow"))</f>
        <v>Average</v>
      </c>
      <c r="T2897" t="str">
        <f>IF(Table1[[#This Row],[Price2]]&lt;500000,"Affordable",IF(Table1[[#This Row],[Price2]]&lt;1000000,"Mid range","Luxury"))</f>
        <v>Luxury</v>
      </c>
    </row>
    <row r="2898" spans="1:20" x14ac:dyDescent="0.35">
      <c r="A2898" s="3">
        <v>1451974</v>
      </c>
      <c r="B2898" s="2" t="s">
        <v>22</v>
      </c>
      <c r="C2898">
        <v>79802</v>
      </c>
      <c r="D2898" s="2" t="s">
        <v>13</v>
      </c>
      <c r="E2898">
        <v>6</v>
      </c>
      <c r="F2898">
        <v>3</v>
      </c>
      <c r="G2898" s="4">
        <f>VALUE(SUBSTITUTE(SUBSTITUTE(Table1[[#This Row],[Price]],"$",""),",",""))</f>
        <v>1451974</v>
      </c>
      <c r="H2898" s="1">
        <f>Table1[[#This Row],[Price2]]/Table1[[#This Row],[Area]]</f>
        <v>635.71541155866896</v>
      </c>
      <c r="I2898">
        <v>2284</v>
      </c>
      <c r="J2898">
        <v>1964</v>
      </c>
      <c r="K2898">
        <v>55</v>
      </c>
      <c r="L2898" t="s">
        <v>30</v>
      </c>
      <c r="M2898" t="s">
        <v>146</v>
      </c>
      <c r="N2898" s="2" t="s">
        <v>3027</v>
      </c>
      <c r="O2898" t="s">
        <v>3028</v>
      </c>
      <c r="P2898" t="s">
        <v>26</v>
      </c>
      <c r="Q2898">
        <v>635.71541155866896</v>
      </c>
      <c r="R2898">
        <f ca="1">YEAR(TODAY())-Table1[[#This Row],[Year Built]]</f>
        <v>62</v>
      </c>
      <c r="S2898" t="str">
        <f>IF(Table1[[#This Row],[Days on Market]] &lt; 30,"Fast",IF(Table1[[#This Row],[Days on Market]]&lt;= 90,"Average", "Slow"))</f>
        <v>Average</v>
      </c>
      <c r="T2898" t="str">
        <f>IF(Table1[[#This Row],[Price2]]&lt;500000,"Affordable",IF(Table1[[#This Row],[Price2]]&lt;1000000,"Mid range","Luxury"))</f>
        <v>Luxury</v>
      </c>
    </row>
    <row r="2899" spans="1:20" x14ac:dyDescent="0.35">
      <c r="A2899" s="3">
        <v>1452143</v>
      </c>
      <c r="B2899" s="2" t="s">
        <v>12</v>
      </c>
      <c r="C2899">
        <v>93193</v>
      </c>
      <c r="D2899" s="2" t="s">
        <v>18</v>
      </c>
      <c r="E2899">
        <v>5</v>
      </c>
      <c r="F2899">
        <v>2</v>
      </c>
      <c r="G2899" s="4">
        <f>VALUE(SUBSTITUTE(SUBSTITUTE(Table1[[#This Row],[Price]],"$",""),",",""))</f>
        <v>1452143</v>
      </c>
      <c r="H2899" s="1">
        <f>Table1[[#This Row],[Price2]]/Table1[[#This Row],[Area]]</f>
        <v>519.17876296031466</v>
      </c>
      <c r="I2899">
        <v>2797</v>
      </c>
      <c r="J2899">
        <v>1965</v>
      </c>
      <c r="K2899">
        <v>17</v>
      </c>
      <c r="L2899" t="s">
        <v>40</v>
      </c>
      <c r="M2899" t="s">
        <v>748</v>
      </c>
      <c r="N2899" s="2" t="s">
        <v>3035</v>
      </c>
      <c r="O2899" t="s">
        <v>3036</v>
      </c>
      <c r="P2899" t="s">
        <v>26</v>
      </c>
      <c r="Q2899">
        <v>519.17876296031466</v>
      </c>
      <c r="R2899">
        <f ca="1">YEAR(TODAY())-Table1[[#This Row],[Year Built]]</f>
        <v>61</v>
      </c>
      <c r="S2899" t="str">
        <f>IF(Table1[[#This Row],[Days on Market]] &lt; 30,"Fast",IF(Table1[[#This Row],[Days on Market]]&lt;= 90,"Average", "Slow"))</f>
        <v>Fast</v>
      </c>
      <c r="T2899" t="str">
        <f>IF(Table1[[#This Row],[Price2]]&lt;500000,"Affordable",IF(Table1[[#This Row],[Price2]]&lt;1000000,"Mid range","Luxury"))</f>
        <v>Luxury</v>
      </c>
    </row>
    <row r="2900" spans="1:20" x14ac:dyDescent="0.35">
      <c r="A2900" s="3">
        <v>1453148</v>
      </c>
      <c r="B2900" s="2" t="s">
        <v>22</v>
      </c>
      <c r="C2900">
        <v>82732</v>
      </c>
      <c r="D2900" s="2" t="s">
        <v>29</v>
      </c>
      <c r="E2900">
        <v>1</v>
      </c>
      <c r="F2900">
        <v>2</v>
      </c>
      <c r="G2900" s="4">
        <f>VALUE(SUBSTITUTE(SUBSTITUTE(Table1[[#This Row],[Price]],"$",""),",",""))</f>
        <v>1453148</v>
      </c>
      <c r="H2900" s="1">
        <f>Table1[[#This Row],[Price2]]/Table1[[#This Row],[Area]]</f>
        <v>1084.4388059701494</v>
      </c>
      <c r="I2900">
        <v>1340</v>
      </c>
      <c r="J2900">
        <v>1969</v>
      </c>
      <c r="K2900">
        <v>94</v>
      </c>
      <c r="L2900" t="s">
        <v>19</v>
      </c>
      <c r="M2900" t="s">
        <v>1086</v>
      </c>
      <c r="N2900" s="2" t="s">
        <v>3033</v>
      </c>
      <c r="O2900" t="s">
        <v>3034</v>
      </c>
      <c r="P2900" t="s">
        <v>21</v>
      </c>
      <c r="Q2900">
        <v>1084.4388059701494</v>
      </c>
      <c r="R2900">
        <f ca="1">YEAR(TODAY())-Table1[[#This Row],[Year Built]]</f>
        <v>57</v>
      </c>
      <c r="S2900" t="str">
        <f>IF(Table1[[#This Row],[Days on Market]] &lt; 30,"Fast",IF(Table1[[#This Row],[Days on Market]]&lt;= 90,"Average", "Slow"))</f>
        <v>Slow</v>
      </c>
      <c r="T2900" t="str">
        <f>IF(Table1[[#This Row],[Price2]]&lt;500000,"Affordable",IF(Table1[[#This Row],[Price2]]&lt;1000000,"Mid range","Luxury"))</f>
        <v>Luxury</v>
      </c>
    </row>
    <row r="2901" spans="1:20" x14ac:dyDescent="0.35">
      <c r="A2901" s="3">
        <v>1453453</v>
      </c>
      <c r="B2901" s="2" t="s">
        <v>34</v>
      </c>
      <c r="C2901">
        <v>45138</v>
      </c>
      <c r="D2901" s="2" t="s">
        <v>35</v>
      </c>
      <c r="E2901">
        <v>6</v>
      </c>
      <c r="F2901">
        <v>1</v>
      </c>
      <c r="G2901" s="4">
        <f>VALUE(SUBSTITUTE(SUBSTITUTE(Table1[[#This Row],[Price]],"$",""),",",""))</f>
        <v>1453453</v>
      </c>
      <c r="H2901" s="1">
        <f>Table1[[#This Row],[Price2]]/Table1[[#This Row],[Area]]</f>
        <v>1118.0407692307692</v>
      </c>
      <c r="I2901">
        <v>1300</v>
      </c>
      <c r="J2901">
        <v>2004</v>
      </c>
      <c r="K2901">
        <v>29</v>
      </c>
      <c r="L2901" t="s">
        <v>19</v>
      </c>
      <c r="M2901" t="s">
        <v>246</v>
      </c>
      <c r="N2901" s="2" t="s">
        <v>3029</v>
      </c>
      <c r="O2901" t="s">
        <v>3030</v>
      </c>
      <c r="P2901" t="s">
        <v>16</v>
      </c>
      <c r="Q2901">
        <v>1118.0407692307692</v>
      </c>
      <c r="R2901">
        <f ca="1">YEAR(TODAY())-Table1[[#This Row],[Year Built]]</f>
        <v>22</v>
      </c>
      <c r="S2901" t="str">
        <f>IF(Table1[[#This Row],[Days on Market]] &lt; 30,"Fast",IF(Table1[[#This Row],[Days on Market]]&lt;= 90,"Average", "Slow"))</f>
        <v>Fast</v>
      </c>
      <c r="T2901" t="str">
        <f>IF(Table1[[#This Row],[Price2]]&lt;500000,"Affordable",IF(Table1[[#This Row],[Price2]]&lt;1000000,"Mid range","Luxury"))</f>
        <v>Luxury</v>
      </c>
    </row>
    <row r="2902" spans="1:20" x14ac:dyDescent="0.35">
      <c r="A2902" s="3">
        <v>1453664</v>
      </c>
      <c r="B2902" s="2" t="s">
        <v>17</v>
      </c>
      <c r="C2902">
        <v>86778</v>
      </c>
      <c r="D2902" s="2" t="s">
        <v>23</v>
      </c>
      <c r="E2902">
        <v>1</v>
      </c>
      <c r="F2902">
        <v>1</v>
      </c>
      <c r="G2902" s="4">
        <f>VALUE(SUBSTITUTE(SUBSTITUTE(Table1[[#This Row],[Price]],"$",""),",",""))</f>
        <v>1453664</v>
      </c>
      <c r="H2902" s="1">
        <f>Table1[[#This Row],[Price2]]/Table1[[#This Row],[Area]]</f>
        <v>1425.1607843137256</v>
      </c>
      <c r="I2902">
        <v>1020</v>
      </c>
      <c r="J2902">
        <v>2023</v>
      </c>
      <c r="K2902">
        <v>25</v>
      </c>
      <c r="L2902" t="s">
        <v>52</v>
      </c>
      <c r="M2902" t="s">
        <v>969</v>
      </c>
      <c r="N2902" s="2" t="s">
        <v>3033</v>
      </c>
      <c r="O2902" t="s">
        <v>3034</v>
      </c>
      <c r="P2902" t="s">
        <v>26</v>
      </c>
      <c r="Q2902">
        <v>1425.1607843137256</v>
      </c>
      <c r="R2902">
        <f ca="1">YEAR(TODAY())-Table1[[#This Row],[Year Built]]</f>
        <v>3</v>
      </c>
      <c r="S2902" t="str">
        <f>IF(Table1[[#This Row],[Days on Market]] &lt; 30,"Fast",IF(Table1[[#This Row],[Days on Market]]&lt;= 90,"Average", "Slow"))</f>
        <v>Fast</v>
      </c>
      <c r="T2902" t="str">
        <f>IF(Table1[[#This Row],[Price2]]&lt;500000,"Affordable",IF(Table1[[#This Row],[Price2]]&lt;1000000,"Mid range","Luxury"))</f>
        <v>Luxury</v>
      </c>
    </row>
    <row r="2903" spans="1:20" x14ac:dyDescent="0.35">
      <c r="A2903" s="3">
        <v>1454268</v>
      </c>
      <c r="B2903" s="2" t="s">
        <v>34</v>
      </c>
      <c r="C2903">
        <v>95098</v>
      </c>
      <c r="D2903" s="2" t="s">
        <v>18</v>
      </c>
      <c r="E2903">
        <v>2</v>
      </c>
      <c r="F2903">
        <v>4</v>
      </c>
      <c r="G2903" s="4">
        <f>VALUE(SUBSTITUTE(SUBSTITUTE(Table1[[#This Row],[Price]],"$",""),",",""))</f>
        <v>1454268</v>
      </c>
      <c r="H2903" s="1">
        <f>Table1[[#This Row],[Price2]]/Table1[[#This Row],[Area]]</f>
        <v>717.09467455621302</v>
      </c>
      <c r="I2903">
        <v>2028</v>
      </c>
      <c r="J2903">
        <v>2020</v>
      </c>
      <c r="K2903">
        <v>54</v>
      </c>
      <c r="L2903" t="s">
        <v>30</v>
      </c>
      <c r="M2903" t="s">
        <v>888</v>
      </c>
      <c r="N2903" s="2" t="s">
        <v>3035</v>
      </c>
      <c r="O2903" t="s">
        <v>3036</v>
      </c>
      <c r="P2903" t="s">
        <v>21</v>
      </c>
      <c r="Q2903">
        <v>717.09467455621302</v>
      </c>
      <c r="R2903">
        <f ca="1">YEAR(TODAY())-Table1[[#This Row],[Year Built]]</f>
        <v>6</v>
      </c>
      <c r="S2903" t="str">
        <f>IF(Table1[[#This Row],[Days on Market]] &lt; 30,"Fast",IF(Table1[[#This Row],[Days on Market]]&lt;= 90,"Average", "Slow"))</f>
        <v>Average</v>
      </c>
      <c r="T2903" t="str">
        <f>IF(Table1[[#This Row],[Price2]]&lt;500000,"Affordable",IF(Table1[[#This Row],[Price2]]&lt;1000000,"Mid range","Luxury"))</f>
        <v>Luxury</v>
      </c>
    </row>
    <row r="2904" spans="1:20" x14ac:dyDescent="0.35">
      <c r="A2904" s="3">
        <v>1454344</v>
      </c>
      <c r="B2904" s="2" t="s">
        <v>17</v>
      </c>
      <c r="C2904">
        <v>46047</v>
      </c>
      <c r="D2904" s="2" t="s">
        <v>23</v>
      </c>
      <c r="E2904">
        <v>3</v>
      </c>
      <c r="F2904">
        <v>4</v>
      </c>
      <c r="G2904" s="4">
        <f>VALUE(SUBSTITUTE(SUBSTITUTE(Table1[[#This Row],[Price]],"$",""),",",""))</f>
        <v>1454344</v>
      </c>
      <c r="H2904" s="1">
        <f>Table1[[#This Row],[Price2]]/Table1[[#This Row],[Area]]</f>
        <v>1637.7747747747749</v>
      </c>
      <c r="I2904">
        <v>888</v>
      </c>
      <c r="J2904">
        <v>1979</v>
      </c>
      <c r="K2904">
        <v>120</v>
      </c>
      <c r="L2904" t="s">
        <v>19</v>
      </c>
      <c r="M2904" t="s">
        <v>1312</v>
      </c>
      <c r="N2904" s="2" t="s">
        <v>3031</v>
      </c>
      <c r="O2904" t="s">
        <v>3032</v>
      </c>
      <c r="P2904" t="s">
        <v>26</v>
      </c>
      <c r="Q2904">
        <v>1637.7747747747749</v>
      </c>
      <c r="R2904">
        <f ca="1">YEAR(TODAY())-Table1[[#This Row],[Year Built]]</f>
        <v>47</v>
      </c>
      <c r="S2904" t="str">
        <f>IF(Table1[[#This Row],[Days on Market]] &lt; 30,"Fast",IF(Table1[[#This Row],[Days on Market]]&lt;= 90,"Average", "Slow"))</f>
        <v>Slow</v>
      </c>
      <c r="T2904" t="str">
        <f>IF(Table1[[#This Row],[Price2]]&lt;500000,"Affordable",IF(Table1[[#This Row],[Price2]]&lt;1000000,"Mid range","Luxury"))</f>
        <v>Luxury</v>
      </c>
    </row>
    <row r="2905" spans="1:20" x14ac:dyDescent="0.35">
      <c r="A2905" s="3">
        <v>1455317</v>
      </c>
      <c r="B2905" s="2" t="s">
        <v>22</v>
      </c>
      <c r="C2905">
        <v>38784</v>
      </c>
      <c r="D2905" s="2" t="s">
        <v>18</v>
      </c>
      <c r="E2905">
        <v>1</v>
      </c>
      <c r="F2905">
        <v>2</v>
      </c>
      <c r="G2905" s="4">
        <f>VALUE(SUBSTITUTE(SUBSTITUTE(Table1[[#This Row],[Price]],"$",""),",",""))</f>
        <v>1455317</v>
      </c>
      <c r="H2905" s="1">
        <f>Table1[[#This Row],[Price2]]/Table1[[#This Row],[Area]]</f>
        <v>1423.9892367906066</v>
      </c>
      <c r="I2905">
        <v>1022</v>
      </c>
      <c r="J2905">
        <v>1984</v>
      </c>
      <c r="K2905">
        <v>40</v>
      </c>
      <c r="L2905" t="s">
        <v>40</v>
      </c>
      <c r="M2905" t="s">
        <v>1742</v>
      </c>
      <c r="N2905" s="2" t="s">
        <v>3035</v>
      </c>
      <c r="O2905" t="s">
        <v>3036</v>
      </c>
      <c r="P2905" t="s">
        <v>26</v>
      </c>
      <c r="Q2905">
        <v>1423.9892367906066</v>
      </c>
      <c r="R2905">
        <f ca="1">YEAR(TODAY())-Table1[[#This Row],[Year Built]]</f>
        <v>42</v>
      </c>
      <c r="S2905" t="str">
        <f>IF(Table1[[#This Row],[Days on Market]] &lt; 30,"Fast",IF(Table1[[#This Row],[Days on Market]]&lt;= 90,"Average", "Slow"))</f>
        <v>Average</v>
      </c>
      <c r="T2905" t="str">
        <f>IF(Table1[[#This Row],[Price2]]&lt;500000,"Affordable",IF(Table1[[#This Row],[Price2]]&lt;1000000,"Mid range","Luxury"))</f>
        <v>Luxury</v>
      </c>
    </row>
    <row r="2906" spans="1:20" x14ac:dyDescent="0.35">
      <c r="A2906" s="3">
        <v>1455417</v>
      </c>
      <c r="B2906" s="2" t="s">
        <v>12</v>
      </c>
      <c r="C2906">
        <v>68218</v>
      </c>
      <c r="D2906" s="2" t="s">
        <v>35</v>
      </c>
      <c r="E2906">
        <v>1</v>
      </c>
      <c r="F2906">
        <v>4</v>
      </c>
      <c r="G2906" s="4">
        <f>VALUE(SUBSTITUTE(SUBSTITUTE(Table1[[#This Row],[Price]],"$",""),",",""))</f>
        <v>1455417</v>
      </c>
      <c r="H2906" s="1">
        <f>Table1[[#This Row],[Price2]]/Table1[[#This Row],[Area]]</f>
        <v>535.07977941176466</v>
      </c>
      <c r="I2906">
        <v>2720</v>
      </c>
      <c r="J2906">
        <v>2003</v>
      </c>
      <c r="K2906">
        <v>101</v>
      </c>
      <c r="L2906" t="s">
        <v>19</v>
      </c>
      <c r="M2906" t="s">
        <v>990</v>
      </c>
      <c r="N2906" s="2" t="s">
        <v>3035</v>
      </c>
      <c r="O2906" t="s">
        <v>3036</v>
      </c>
      <c r="P2906" t="s">
        <v>21</v>
      </c>
      <c r="Q2906">
        <v>535.07977941176466</v>
      </c>
      <c r="R2906">
        <f ca="1">YEAR(TODAY())-Table1[[#This Row],[Year Built]]</f>
        <v>23</v>
      </c>
      <c r="S2906" t="str">
        <f>IF(Table1[[#This Row],[Days on Market]] &lt; 30,"Fast",IF(Table1[[#This Row],[Days on Market]]&lt;= 90,"Average", "Slow"))</f>
        <v>Slow</v>
      </c>
      <c r="T2906" t="str">
        <f>IF(Table1[[#This Row],[Price2]]&lt;500000,"Affordable",IF(Table1[[#This Row],[Price2]]&lt;1000000,"Mid range","Luxury"))</f>
        <v>Luxury</v>
      </c>
    </row>
    <row r="2907" spans="1:20" x14ac:dyDescent="0.35">
      <c r="A2907" s="3">
        <v>1455708</v>
      </c>
      <c r="B2907" s="2" t="s">
        <v>27</v>
      </c>
      <c r="C2907">
        <v>21112</v>
      </c>
      <c r="D2907" s="2" t="s">
        <v>29</v>
      </c>
      <c r="E2907">
        <v>1</v>
      </c>
      <c r="F2907">
        <v>2</v>
      </c>
      <c r="G2907" s="4">
        <f>VALUE(SUBSTITUTE(SUBSTITUTE(Table1[[#This Row],[Price]],"$",""),",",""))</f>
        <v>1455708</v>
      </c>
      <c r="H2907" s="1">
        <f>Table1[[#This Row],[Price2]]/Table1[[#This Row],[Area]]</f>
        <v>1871.0899742930592</v>
      </c>
      <c r="I2907">
        <v>778</v>
      </c>
      <c r="J2907">
        <v>2009</v>
      </c>
      <c r="K2907">
        <v>63</v>
      </c>
      <c r="L2907" t="s">
        <v>30</v>
      </c>
      <c r="M2907" t="s">
        <v>1438</v>
      </c>
      <c r="N2907" s="2" t="s">
        <v>3027</v>
      </c>
      <c r="O2907" t="s">
        <v>3028</v>
      </c>
      <c r="P2907" t="s">
        <v>26</v>
      </c>
      <c r="Q2907">
        <v>1871.0899742930592</v>
      </c>
      <c r="R2907">
        <f ca="1">YEAR(TODAY())-Table1[[#This Row],[Year Built]]</f>
        <v>17</v>
      </c>
      <c r="S2907" t="str">
        <f>IF(Table1[[#This Row],[Days on Market]] &lt; 30,"Fast",IF(Table1[[#This Row],[Days on Market]]&lt;= 90,"Average", "Slow"))</f>
        <v>Average</v>
      </c>
      <c r="T2907" t="str">
        <f>IF(Table1[[#This Row],[Price2]]&lt;500000,"Affordable",IF(Table1[[#This Row],[Price2]]&lt;1000000,"Mid range","Luxury"))</f>
        <v>Luxury</v>
      </c>
    </row>
    <row r="2908" spans="1:20" x14ac:dyDescent="0.35">
      <c r="A2908" s="3">
        <v>1456112</v>
      </c>
      <c r="B2908" s="2" t="s">
        <v>27</v>
      </c>
      <c r="C2908">
        <v>91478</v>
      </c>
      <c r="D2908" s="2" t="s">
        <v>29</v>
      </c>
      <c r="E2908">
        <v>6</v>
      </c>
      <c r="F2908">
        <v>1</v>
      </c>
      <c r="G2908" s="4">
        <f>VALUE(SUBSTITUTE(SUBSTITUTE(Table1[[#This Row],[Price]],"$",""),",",""))</f>
        <v>1456112</v>
      </c>
      <c r="H2908" s="1">
        <f>Table1[[#This Row],[Price2]]/Table1[[#This Row],[Area]]</f>
        <v>1188.6628571428571</v>
      </c>
      <c r="I2908">
        <v>1225</v>
      </c>
      <c r="J2908">
        <v>1973</v>
      </c>
      <c r="K2908">
        <v>10</v>
      </c>
      <c r="L2908" t="s">
        <v>14</v>
      </c>
      <c r="M2908" t="s">
        <v>2862</v>
      </c>
      <c r="N2908" s="2" t="s">
        <v>3035</v>
      </c>
      <c r="O2908" t="s">
        <v>3036</v>
      </c>
      <c r="P2908" t="s">
        <v>16</v>
      </c>
      <c r="Q2908">
        <v>1188.6628571428571</v>
      </c>
      <c r="R2908">
        <f ca="1">YEAR(TODAY())-Table1[[#This Row],[Year Built]]</f>
        <v>53</v>
      </c>
      <c r="S2908" t="str">
        <f>IF(Table1[[#This Row],[Days on Market]] &lt; 30,"Fast",IF(Table1[[#This Row],[Days on Market]]&lt;= 90,"Average", "Slow"))</f>
        <v>Fast</v>
      </c>
      <c r="T2908" t="str">
        <f>IF(Table1[[#This Row],[Price2]]&lt;500000,"Affordable",IF(Table1[[#This Row],[Price2]]&lt;1000000,"Mid range","Luxury"))</f>
        <v>Luxury</v>
      </c>
    </row>
    <row r="2909" spans="1:20" x14ac:dyDescent="0.35">
      <c r="A2909" s="3">
        <v>1456198</v>
      </c>
      <c r="B2909" s="2" t="s">
        <v>12</v>
      </c>
      <c r="C2909">
        <v>77634</v>
      </c>
      <c r="D2909" s="2" t="s">
        <v>18</v>
      </c>
      <c r="E2909">
        <v>2</v>
      </c>
      <c r="F2909">
        <v>3</v>
      </c>
      <c r="G2909" s="4">
        <f>VALUE(SUBSTITUTE(SUBSTITUTE(Table1[[#This Row],[Price]],"$",""),",",""))</f>
        <v>1456198</v>
      </c>
      <c r="H2909" s="1">
        <f>Table1[[#This Row],[Price2]]/Table1[[#This Row],[Area]]</f>
        <v>372.14362381804244</v>
      </c>
      <c r="I2909">
        <v>3913</v>
      </c>
      <c r="J2909">
        <v>2012</v>
      </c>
      <c r="K2909">
        <v>4</v>
      </c>
      <c r="L2909" t="s">
        <v>52</v>
      </c>
      <c r="M2909" t="s">
        <v>708</v>
      </c>
      <c r="N2909" s="2" t="s">
        <v>3027</v>
      </c>
      <c r="O2909" t="s">
        <v>3028</v>
      </c>
      <c r="P2909" t="s">
        <v>21</v>
      </c>
      <c r="Q2909">
        <v>372.14362381804244</v>
      </c>
      <c r="R2909">
        <f ca="1">YEAR(TODAY())-Table1[[#This Row],[Year Built]]</f>
        <v>14</v>
      </c>
      <c r="S2909" t="str">
        <f>IF(Table1[[#This Row],[Days on Market]] &lt; 30,"Fast",IF(Table1[[#This Row],[Days on Market]]&lt;= 90,"Average", "Slow"))</f>
        <v>Fast</v>
      </c>
      <c r="T2909" t="str">
        <f>IF(Table1[[#This Row],[Price2]]&lt;500000,"Affordable",IF(Table1[[#This Row],[Price2]]&lt;1000000,"Mid range","Luxury"))</f>
        <v>Luxury</v>
      </c>
    </row>
    <row r="2910" spans="1:20" x14ac:dyDescent="0.35">
      <c r="A2910" s="3">
        <v>1456218</v>
      </c>
      <c r="B2910" s="2" t="s">
        <v>22</v>
      </c>
      <c r="C2910">
        <v>43034</v>
      </c>
      <c r="D2910" s="2" t="s">
        <v>13</v>
      </c>
      <c r="E2910">
        <v>6</v>
      </c>
      <c r="F2910">
        <v>2</v>
      </c>
      <c r="G2910" s="4">
        <f>VALUE(SUBSTITUTE(SUBSTITUTE(Table1[[#This Row],[Price]],"$",""),",",""))</f>
        <v>1456218</v>
      </c>
      <c r="H2910" s="1">
        <f>Table1[[#This Row],[Price2]]/Table1[[#This Row],[Area]]</f>
        <v>2036.6685314685315</v>
      </c>
      <c r="I2910">
        <v>715</v>
      </c>
      <c r="J2910">
        <v>2002</v>
      </c>
      <c r="K2910">
        <v>111</v>
      </c>
      <c r="L2910" t="s">
        <v>52</v>
      </c>
      <c r="M2910" t="s">
        <v>1371</v>
      </c>
      <c r="N2910" s="2" t="s">
        <v>3027</v>
      </c>
      <c r="O2910" t="s">
        <v>3028</v>
      </c>
      <c r="P2910" t="s">
        <v>26</v>
      </c>
      <c r="Q2910">
        <v>2036.6685314685315</v>
      </c>
      <c r="R2910">
        <f ca="1">YEAR(TODAY())-Table1[[#This Row],[Year Built]]</f>
        <v>24</v>
      </c>
      <c r="S2910" t="str">
        <f>IF(Table1[[#This Row],[Days on Market]] &lt; 30,"Fast",IF(Table1[[#This Row],[Days on Market]]&lt;= 90,"Average", "Slow"))</f>
        <v>Slow</v>
      </c>
      <c r="T2910" t="str">
        <f>IF(Table1[[#This Row],[Price2]]&lt;500000,"Affordable",IF(Table1[[#This Row],[Price2]]&lt;1000000,"Mid range","Luxury"))</f>
        <v>Luxury</v>
      </c>
    </row>
    <row r="2911" spans="1:20" x14ac:dyDescent="0.35">
      <c r="A2911" s="3">
        <v>1456318</v>
      </c>
      <c r="B2911" s="2" t="s">
        <v>22</v>
      </c>
      <c r="C2911">
        <v>67032</v>
      </c>
      <c r="D2911" s="2" t="s">
        <v>35</v>
      </c>
      <c r="E2911">
        <v>3</v>
      </c>
      <c r="F2911">
        <v>4</v>
      </c>
      <c r="G2911" s="4">
        <f>VALUE(SUBSTITUTE(SUBSTITUTE(Table1[[#This Row],[Price]],"$",""),",",""))</f>
        <v>1456318</v>
      </c>
      <c r="H2911" s="1">
        <f>Table1[[#This Row],[Price2]]/Table1[[#This Row],[Area]]</f>
        <v>660.76134301270417</v>
      </c>
      <c r="I2911">
        <v>2204</v>
      </c>
      <c r="J2911">
        <v>1959</v>
      </c>
      <c r="K2911">
        <v>87</v>
      </c>
      <c r="L2911" t="s">
        <v>30</v>
      </c>
      <c r="M2911" t="s">
        <v>918</v>
      </c>
      <c r="N2911" s="2" t="s">
        <v>3029</v>
      </c>
      <c r="O2911" t="s">
        <v>3030</v>
      </c>
      <c r="P2911" t="s">
        <v>21</v>
      </c>
      <c r="Q2911">
        <v>660.76134301270417</v>
      </c>
      <c r="R2911">
        <f ca="1">YEAR(TODAY())-Table1[[#This Row],[Year Built]]</f>
        <v>67</v>
      </c>
      <c r="S2911" t="str">
        <f>IF(Table1[[#This Row],[Days on Market]] &lt; 30,"Fast",IF(Table1[[#This Row],[Days on Market]]&lt;= 90,"Average", "Slow"))</f>
        <v>Average</v>
      </c>
      <c r="T2911" t="str">
        <f>IF(Table1[[#This Row],[Price2]]&lt;500000,"Affordable",IF(Table1[[#This Row],[Price2]]&lt;1000000,"Mid range","Luxury"))</f>
        <v>Luxury</v>
      </c>
    </row>
    <row r="2912" spans="1:20" x14ac:dyDescent="0.35">
      <c r="A2912" s="3">
        <v>1456442</v>
      </c>
      <c r="B2912" s="2" t="s">
        <v>17</v>
      </c>
      <c r="C2912">
        <v>71572</v>
      </c>
      <c r="D2912" s="2" t="s">
        <v>35</v>
      </c>
      <c r="E2912">
        <v>1</v>
      </c>
      <c r="F2912">
        <v>1</v>
      </c>
      <c r="G2912" s="4">
        <f>VALUE(SUBSTITUTE(SUBSTITUTE(Table1[[#This Row],[Price]],"$",""),",",""))</f>
        <v>1456442</v>
      </c>
      <c r="H2912" s="1">
        <f>Table1[[#This Row],[Price2]]/Table1[[#This Row],[Area]]</f>
        <v>736.6929691451694</v>
      </c>
      <c r="I2912">
        <v>1977</v>
      </c>
      <c r="J2912">
        <v>2020</v>
      </c>
      <c r="K2912">
        <v>68</v>
      </c>
      <c r="L2912" t="s">
        <v>14</v>
      </c>
      <c r="M2912" t="s">
        <v>2950</v>
      </c>
      <c r="N2912" s="2" t="s">
        <v>3035</v>
      </c>
      <c r="O2912" t="s">
        <v>3036</v>
      </c>
      <c r="P2912" t="s">
        <v>26</v>
      </c>
      <c r="Q2912">
        <v>736.6929691451694</v>
      </c>
      <c r="R2912">
        <f ca="1">YEAR(TODAY())-Table1[[#This Row],[Year Built]]</f>
        <v>6</v>
      </c>
      <c r="S2912" t="str">
        <f>IF(Table1[[#This Row],[Days on Market]] &lt; 30,"Fast",IF(Table1[[#This Row],[Days on Market]]&lt;= 90,"Average", "Slow"))</f>
        <v>Average</v>
      </c>
      <c r="T2912" t="str">
        <f>IF(Table1[[#This Row],[Price2]]&lt;500000,"Affordable",IF(Table1[[#This Row],[Price2]]&lt;1000000,"Mid range","Luxury"))</f>
        <v>Luxury</v>
      </c>
    </row>
    <row r="2913" spans="1:20" x14ac:dyDescent="0.35">
      <c r="A2913" s="3">
        <v>1456728</v>
      </c>
      <c r="B2913" s="2" t="s">
        <v>34</v>
      </c>
      <c r="C2913">
        <v>17955</v>
      </c>
      <c r="D2913" s="2" t="s">
        <v>29</v>
      </c>
      <c r="E2913">
        <v>4</v>
      </c>
      <c r="F2913">
        <v>1</v>
      </c>
      <c r="G2913" s="4">
        <f>VALUE(SUBSTITUTE(SUBSTITUTE(Table1[[#This Row],[Price]],"$",""),",",""))</f>
        <v>1456728</v>
      </c>
      <c r="H2913" s="1">
        <f>Table1[[#This Row],[Price2]]/Table1[[#This Row],[Area]]</f>
        <v>398.23072717331877</v>
      </c>
      <c r="I2913">
        <v>3658</v>
      </c>
      <c r="J2913">
        <v>1964</v>
      </c>
      <c r="K2913">
        <v>29</v>
      </c>
      <c r="L2913" t="s">
        <v>52</v>
      </c>
      <c r="M2913" t="s">
        <v>1414</v>
      </c>
      <c r="N2913" s="2" t="s">
        <v>3035</v>
      </c>
      <c r="O2913" t="s">
        <v>3036</v>
      </c>
      <c r="P2913" t="s">
        <v>26</v>
      </c>
      <c r="Q2913">
        <v>398.23072717331877</v>
      </c>
      <c r="R2913">
        <f ca="1">YEAR(TODAY())-Table1[[#This Row],[Year Built]]</f>
        <v>62</v>
      </c>
      <c r="S2913" t="str">
        <f>IF(Table1[[#This Row],[Days on Market]] &lt; 30,"Fast",IF(Table1[[#This Row],[Days on Market]]&lt;= 90,"Average", "Slow"))</f>
        <v>Fast</v>
      </c>
      <c r="T2913" t="str">
        <f>IF(Table1[[#This Row],[Price2]]&lt;500000,"Affordable",IF(Table1[[#This Row],[Price2]]&lt;1000000,"Mid range","Luxury"))</f>
        <v>Luxury</v>
      </c>
    </row>
    <row r="2914" spans="1:20" x14ac:dyDescent="0.35">
      <c r="A2914" s="3">
        <v>1458415</v>
      </c>
      <c r="B2914" s="2" t="s">
        <v>17</v>
      </c>
      <c r="C2914">
        <v>55613</v>
      </c>
      <c r="D2914" s="2" t="s">
        <v>35</v>
      </c>
      <c r="E2914">
        <v>2</v>
      </c>
      <c r="F2914">
        <v>4</v>
      </c>
      <c r="G2914" s="4">
        <f>VALUE(SUBSTITUTE(SUBSTITUTE(Table1[[#This Row],[Price]],"$",""),",",""))</f>
        <v>1458415</v>
      </c>
      <c r="H2914" s="1">
        <f>Table1[[#This Row],[Price2]]/Table1[[#This Row],[Area]]</f>
        <v>388.49627064464573</v>
      </c>
      <c r="I2914">
        <v>3754</v>
      </c>
      <c r="J2914">
        <v>1958</v>
      </c>
      <c r="K2914">
        <v>107</v>
      </c>
      <c r="L2914" t="s">
        <v>40</v>
      </c>
      <c r="M2914" t="s">
        <v>1851</v>
      </c>
      <c r="N2914" s="2" t="s">
        <v>3027</v>
      </c>
      <c r="O2914" t="s">
        <v>3028</v>
      </c>
      <c r="P2914" t="s">
        <v>21</v>
      </c>
      <c r="Q2914">
        <v>388.49627064464573</v>
      </c>
      <c r="R2914">
        <f ca="1">YEAR(TODAY())-Table1[[#This Row],[Year Built]]</f>
        <v>68</v>
      </c>
      <c r="S2914" t="str">
        <f>IF(Table1[[#This Row],[Days on Market]] &lt; 30,"Fast",IF(Table1[[#This Row],[Days on Market]]&lt;= 90,"Average", "Slow"))</f>
        <v>Slow</v>
      </c>
      <c r="T2914" t="str">
        <f>IF(Table1[[#This Row],[Price2]]&lt;500000,"Affordable",IF(Table1[[#This Row],[Price2]]&lt;1000000,"Mid range","Luxury"))</f>
        <v>Luxury</v>
      </c>
    </row>
    <row r="2915" spans="1:20" x14ac:dyDescent="0.35">
      <c r="A2915" s="3">
        <v>1458463</v>
      </c>
      <c r="B2915" s="2" t="s">
        <v>27</v>
      </c>
      <c r="C2915">
        <v>37866</v>
      </c>
      <c r="D2915" s="2" t="s">
        <v>29</v>
      </c>
      <c r="E2915">
        <v>2</v>
      </c>
      <c r="F2915">
        <v>2</v>
      </c>
      <c r="G2915" s="4">
        <f>VALUE(SUBSTITUTE(SUBSTITUTE(Table1[[#This Row],[Price]],"$",""),",",""))</f>
        <v>1458463</v>
      </c>
      <c r="H2915" s="1">
        <f>Table1[[#This Row],[Price2]]/Table1[[#This Row],[Area]]</f>
        <v>649.93894830659542</v>
      </c>
      <c r="I2915">
        <v>2244</v>
      </c>
      <c r="J2915">
        <v>1960</v>
      </c>
      <c r="K2915">
        <v>6</v>
      </c>
      <c r="L2915" t="s">
        <v>30</v>
      </c>
      <c r="M2915" t="s">
        <v>898</v>
      </c>
      <c r="N2915" s="2" t="s">
        <v>3027</v>
      </c>
      <c r="O2915" t="s">
        <v>3028</v>
      </c>
      <c r="P2915" t="s">
        <v>21</v>
      </c>
      <c r="Q2915">
        <v>649.93894830659542</v>
      </c>
      <c r="R2915">
        <f ca="1">YEAR(TODAY())-Table1[[#This Row],[Year Built]]</f>
        <v>66</v>
      </c>
      <c r="S2915" t="str">
        <f>IF(Table1[[#This Row],[Days on Market]] &lt; 30,"Fast",IF(Table1[[#This Row],[Days on Market]]&lt;= 90,"Average", "Slow"))</f>
        <v>Fast</v>
      </c>
      <c r="T2915" t="str">
        <f>IF(Table1[[#This Row],[Price2]]&lt;500000,"Affordable",IF(Table1[[#This Row],[Price2]]&lt;1000000,"Mid range","Luxury"))</f>
        <v>Luxury</v>
      </c>
    </row>
    <row r="2916" spans="1:20" x14ac:dyDescent="0.35">
      <c r="A2916" s="3">
        <v>1458637</v>
      </c>
      <c r="B2916" s="2" t="s">
        <v>12</v>
      </c>
      <c r="C2916">
        <v>41680</v>
      </c>
      <c r="D2916" s="2" t="s">
        <v>18</v>
      </c>
      <c r="E2916">
        <v>5</v>
      </c>
      <c r="F2916">
        <v>4</v>
      </c>
      <c r="G2916" s="4">
        <f>VALUE(SUBSTITUTE(SUBSTITUTE(Table1[[#This Row],[Price]],"$",""),",",""))</f>
        <v>1458637</v>
      </c>
      <c r="H2916" s="1">
        <f>Table1[[#This Row],[Price2]]/Table1[[#This Row],[Area]]</f>
        <v>902.06369820655539</v>
      </c>
      <c r="I2916">
        <v>1617</v>
      </c>
      <c r="J2916">
        <v>2023</v>
      </c>
      <c r="K2916">
        <v>58</v>
      </c>
      <c r="L2916" t="s">
        <v>30</v>
      </c>
      <c r="M2916" t="s">
        <v>585</v>
      </c>
      <c r="N2916" s="2" t="s">
        <v>3035</v>
      </c>
      <c r="O2916" t="s">
        <v>3036</v>
      </c>
      <c r="P2916" t="s">
        <v>21</v>
      </c>
      <c r="Q2916">
        <v>902.06369820655539</v>
      </c>
      <c r="R2916">
        <f ca="1">YEAR(TODAY())-Table1[[#This Row],[Year Built]]</f>
        <v>3</v>
      </c>
      <c r="S2916" t="str">
        <f>IF(Table1[[#This Row],[Days on Market]] &lt; 30,"Fast",IF(Table1[[#This Row],[Days on Market]]&lt;= 90,"Average", "Slow"))</f>
        <v>Average</v>
      </c>
      <c r="T2916" t="str">
        <f>IF(Table1[[#This Row],[Price2]]&lt;500000,"Affordable",IF(Table1[[#This Row],[Price2]]&lt;1000000,"Mid range","Luxury"))</f>
        <v>Luxury</v>
      </c>
    </row>
    <row r="2917" spans="1:20" x14ac:dyDescent="0.35">
      <c r="A2917" s="3">
        <v>1458769</v>
      </c>
      <c r="B2917" s="2" t="s">
        <v>34</v>
      </c>
      <c r="C2917">
        <v>99940</v>
      </c>
      <c r="D2917" s="2" t="s">
        <v>35</v>
      </c>
      <c r="E2917">
        <v>4</v>
      </c>
      <c r="F2917">
        <v>1</v>
      </c>
      <c r="G2917" s="4">
        <f>VALUE(SUBSTITUTE(SUBSTITUTE(Table1[[#This Row],[Price]],"$",""),",",""))</f>
        <v>1458769</v>
      </c>
      <c r="H2917" s="1">
        <f>Table1[[#This Row],[Price2]]/Table1[[#This Row],[Area]]</f>
        <v>430.69648656628283</v>
      </c>
      <c r="I2917">
        <v>3387</v>
      </c>
      <c r="J2917">
        <v>1970</v>
      </c>
      <c r="K2917">
        <v>91</v>
      </c>
      <c r="L2917" t="s">
        <v>40</v>
      </c>
      <c r="M2917" t="s">
        <v>1766</v>
      </c>
      <c r="N2917" s="2" t="s">
        <v>3029</v>
      </c>
      <c r="O2917" t="s">
        <v>3030</v>
      </c>
      <c r="P2917" t="s">
        <v>16</v>
      </c>
      <c r="Q2917">
        <v>430.69648656628283</v>
      </c>
      <c r="R2917">
        <f ca="1">YEAR(TODAY())-Table1[[#This Row],[Year Built]]</f>
        <v>56</v>
      </c>
      <c r="S2917" t="str">
        <f>IF(Table1[[#This Row],[Days on Market]] &lt; 30,"Fast",IF(Table1[[#This Row],[Days on Market]]&lt;= 90,"Average", "Slow"))</f>
        <v>Slow</v>
      </c>
      <c r="T2917" t="str">
        <f>IF(Table1[[#This Row],[Price2]]&lt;500000,"Affordable",IF(Table1[[#This Row],[Price2]]&lt;1000000,"Mid range","Luxury"))</f>
        <v>Luxury</v>
      </c>
    </row>
    <row r="2918" spans="1:20" x14ac:dyDescent="0.35">
      <c r="A2918" s="3">
        <v>1460250</v>
      </c>
      <c r="B2918" s="2" t="s">
        <v>22</v>
      </c>
      <c r="C2918">
        <v>89824</v>
      </c>
      <c r="D2918" s="2" t="s">
        <v>13</v>
      </c>
      <c r="E2918">
        <v>6</v>
      </c>
      <c r="F2918">
        <v>3</v>
      </c>
      <c r="G2918" s="4">
        <f>VALUE(SUBSTITUTE(SUBSTITUTE(Table1[[#This Row],[Price]],"$",""),",",""))</f>
        <v>1460250</v>
      </c>
      <c r="H2918" s="1">
        <f>Table1[[#This Row],[Price2]]/Table1[[#This Row],[Area]]</f>
        <v>454.34038581207216</v>
      </c>
      <c r="I2918">
        <v>3214</v>
      </c>
      <c r="J2918">
        <v>1989</v>
      </c>
      <c r="K2918">
        <v>42</v>
      </c>
      <c r="L2918" t="s">
        <v>19</v>
      </c>
      <c r="M2918" t="s">
        <v>1234</v>
      </c>
      <c r="N2918" s="2" t="s">
        <v>3031</v>
      </c>
      <c r="O2918" t="s">
        <v>3032</v>
      </c>
      <c r="P2918" t="s">
        <v>26</v>
      </c>
      <c r="Q2918">
        <v>454.34038581207216</v>
      </c>
      <c r="R2918">
        <f ca="1">YEAR(TODAY())-Table1[[#This Row],[Year Built]]</f>
        <v>37</v>
      </c>
      <c r="S2918" t="str">
        <f>IF(Table1[[#This Row],[Days on Market]] &lt; 30,"Fast",IF(Table1[[#This Row],[Days on Market]]&lt;= 90,"Average", "Slow"))</f>
        <v>Average</v>
      </c>
      <c r="T2918" t="str">
        <f>IF(Table1[[#This Row],[Price2]]&lt;500000,"Affordable",IF(Table1[[#This Row],[Price2]]&lt;1000000,"Mid range","Luxury"))</f>
        <v>Luxury</v>
      </c>
    </row>
    <row r="2919" spans="1:20" x14ac:dyDescent="0.35">
      <c r="A2919" s="3">
        <v>1460281</v>
      </c>
      <c r="B2919" s="2" t="s">
        <v>12</v>
      </c>
      <c r="C2919">
        <v>47929</v>
      </c>
      <c r="D2919" s="2" t="s">
        <v>29</v>
      </c>
      <c r="E2919">
        <v>5</v>
      </c>
      <c r="F2919">
        <v>2</v>
      </c>
      <c r="G2919" s="4">
        <f>VALUE(SUBSTITUTE(SUBSTITUTE(Table1[[#This Row],[Price]],"$",""),",",""))</f>
        <v>1460281</v>
      </c>
      <c r="H2919" s="1">
        <f>Table1[[#This Row],[Price2]]/Table1[[#This Row],[Area]]</f>
        <v>503.54517241379313</v>
      </c>
      <c r="I2919">
        <v>2900</v>
      </c>
      <c r="J2919">
        <v>1993</v>
      </c>
      <c r="K2919">
        <v>72</v>
      </c>
      <c r="L2919" t="s">
        <v>40</v>
      </c>
      <c r="M2919" t="s">
        <v>2027</v>
      </c>
      <c r="N2919" s="2" t="s">
        <v>3033</v>
      </c>
      <c r="O2919" t="s">
        <v>3034</v>
      </c>
      <c r="P2919" t="s">
        <v>21</v>
      </c>
      <c r="Q2919">
        <v>503.54517241379313</v>
      </c>
      <c r="R2919">
        <f ca="1">YEAR(TODAY())-Table1[[#This Row],[Year Built]]</f>
        <v>33</v>
      </c>
      <c r="S2919" t="str">
        <f>IF(Table1[[#This Row],[Days on Market]] &lt; 30,"Fast",IF(Table1[[#This Row],[Days on Market]]&lt;= 90,"Average", "Slow"))</f>
        <v>Average</v>
      </c>
      <c r="T2919" t="str">
        <f>IF(Table1[[#This Row],[Price2]]&lt;500000,"Affordable",IF(Table1[[#This Row],[Price2]]&lt;1000000,"Mid range","Luxury"))</f>
        <v>Luxury</v>
      </c>
    </row>
    <row r="2920" spans="1:20" x14ac:dyDescent="0.35">
      <c r="A2920" s="3">
        <v>1460654</v>
      </c>
      <c r="B2920" s="2" t="s">
        <v>27</v>
      </c>
      <c r="C2920">
        <v>86267</v>
      </c>
      <c r="D2920" s="2" t="s">
        <v>13</v>
      </c>
      <c r="E2920">
        <v>1</v>
      </c>
      <c r="F2920">
        <v>2</v>
      </c>
      <c r="G2920" s="4">
        <f>VALUE(SUBSTITUTE(SUBSTITUTE(Table1[[#This Row],[Price]],"$",""),",",""))</f>
        <v>1460654</v>
      </c>
      <c r="H2920" s="1">
        <f>Table1[[#This Row],[Price2]]/Table1[[#This Row],[Area]]</f>
        <v>1106.5560606060606</v>
      </c>
      <c r="I2920">
        <v>1320</v>
      </c>
      <c r="J2920">
        <v>1956</v>
      </c>
      <c r="K2920">
        <v>31</v>
      </c>
      <c r="L2920" t="s">
        <v>52</v>
      </c>
      <c r="M2920" t="s">
        <v>989</v>
      </c>
      <c r="N2920" s="2" t="s">
        <v>3035</v>
      </c>
      <c r="O2920" t="s">
        <v>3036</v>
      </c>
      <c r="P2920" t="s">
        <v>16</v>
      </c>
      <c r="Q2920">
        <v>1106.5560606060606</v>
      </c>
      <c r="R2920">
        <f ca="1">YEAR(TODAY())-Table1[[#This Row],[Year Built]]</f>
        <v>70</v>
      </c>
      <c r="S2920" t="str">
        <f>IF(Table1[[#This Row],[Days on Market]] &lt; 30,"Fast",IF(Table1[[#This Row],[Days on Market]]&lt;= 90,"Average", "Slow"))</f>
        <v>Average</v>
      </c>
      <c r="T2920" t="str">
        <f>IF(Table1[[#This Row],[Price2]]&lt;500000,"Affordable",IF(Table1[[#This Row],[Price2]]&lt;1000000,"Mid range","Luxury"))</f>
        <v>Luxury</v>
      </c>
    </row>
    <row r="2921" spans="1:20" x14ac:dyDescent="0.35">
      <c r="A2921" s="3">
        <v>1460786</v>
      </c>
      <c r="B2921" s="2" t="s">
        <v>34</v>
      </c>
      <c r="C2921">
        <v>14091</v>
      </c>
      <c r="D2921" s="2" t="s">
        <v>23</v>
      </c>
      <c r="E2921">
        <v>2</v>
      </c>
      <c r="F2921">
        <v>3</v>
      </c>
      <c r="G2921" s="4">
        <f>VALUE(SUBSTITUTE(SUBSTITUTE(Table1[[#This Row],[Price]],"$",""),",",""))</f>
        <v>1460786</v>
      </c>
      <c r="H2921" s="1">
        <f>Table1[[#This Row],[Price2]]/Table1[[#This Row],[Area]]</f>
        <v>2006.5741758241759</v>
      </c>
      <c r="I2921">
        <v>728</v>
      </c>
      <c r="J2921">
        <v>1953</v>
      </c>
      <c r="K2921">
        <v>81</v>
      </c>
      <c r="L2921" t="s">
        <v>19</v>
      </c>
      <c r="M2921" t="s">
        <v>2522</v>
      </c>
      <c r="N2921" s="2" t="s">
        <v>3027</v>
      </c>
      <c r="O2921" t="s">
        <v>3028</v>
      </c>
      <c r="P2921" t="s">
        <v>21</v>
      </c>
      <c r="Q2921">
        <v>2006.5741758241759</v>
      </c>
      <c r="R2921">
        <f ca="1">YEAR(TODAY())-Table1[[#This Row],[Year Built]]</f>
        <v>73</v>
      </c>
      <c r="S2921" t="str">
        <f>IF(Table1[[#This Row],[Days on Market]] &lt; 30,"Fast",IF(Table1[[#This Row],[Days on Market]]&lt;= 90,"Average", "Slow"))</f>
        <v>Average</v>
      </c>
      <c r="T2921" t="str">
        <f>IF(Table1[[#This Row],[Price2]]&lt;500000,"Affordable",IF(Table1[[#This Row],[Price2]]&lt;1000000,"Mid range","Luxury"))</f>
        <v>Luxury</v>
      </c>
    </row>
    <row r="2922" spans="1:20" x14ac:dyDescent="0.35">
      <c r="A2922" s="3">
        <v>1460985</v>
      </c>
      <c r="B2922" s="2" t="s">
        <v>17</v>
      </c>
      <c r="C2922">
        <v>13536</v>
      </c>
      <c r="D2922" s="2" t="s">
        <v>35</v>
      </c>
      <c r="E2922">
        <v>6</v>
      </c>
      <c r="F2922">
        <v>2</v>
      </c>
      <c r="G2922" s="4">
        <f>VALUE(SUBSTITUTE(SUBSTITUTE(Table1[[#This Row],[Price]],"$",""),",",""))</f>
        <v>1460985</v>
      </c>
      <c r="H2922" s="1">
        <f>Table1[[#This Row],[Price2]]/Table1[[#This Row],[Area]]</f>
        <v>1302.125668449198</v>
      </c>
      <c r="I2922">
        <v>1122</v>
      </c>
      <c r="J2922">
        <v>2011</v>
      </c>
      <c r="K2922">
        <v>62</v>
      </c>
      <c r="L2922" t="s">
        <v>52</v>
      </c>
      <c r="M2922" t="s">
        <v>2984</v>
      </c>
      <c r="N2922" s="2" t="s">
        <v>3027</v>
      </c>
      <c r="O2922" t="s">
        <v>3028</v>
      </c>
      <c r="P2922" t="s">
        <v>26</v>
      </c>
      <c r="Q2922">
        <v>1302.125668449198</v>
      </c>
      <c r="R2922">
        <f ca="1">YEAR(TODAY())-Table1[[#This Row],[Year Built]]</f>
        <v>15</v>
      </c>
      <c r="S2922" t="str">
        <f>IF(Table1[[#This Row],[Days on Market]] &lt; 30,"Fast",IF(Table1[[#This Row],[Days on Market]]&lt;= 90,"Average", "Slow"))</f>
        <v>Average</v>
      </c>
      <c r="T2922" t="str">
        <f>IF(Table1[[#This Row],[Price2]]&lt;500000,"Affordable",IF(Table1[[#This Row],[Price2]]&lt;1000000,"Mid range","Luxury"))</f>
        <v>Luxury</v>
      </c>
    </row>
    <row r="2923" spans="1:20" x14ac:dyDescent="0.35">
      <c r="A2923" s="3">
        <v>1461070</v>
      </c>
      <c r="B2923" s="2" t="s">
        <v>12</v>
      </c>
      <c r="C2923">
        <v>59765</v>
      </c>
      <c r="D2923" s="2" t="s">
        <v>23</v>
      </c>
      <c r="E2923">
        <v>5</v>
      </c>
      <c r="F2923">
        <v>2</v>
      </c>
      <c r="G2923" s="4">
        <f>VALUE(SUBSTITUTE(SUBSTITUTE(Table1[[#This Row],[Price]],"$",""),",",""))</f>
        <v>1461070</v>
      </c>
      <c r="H2923" s="1">
        <f>Table1[[#This Row],[Price2]]/Table1[[#This Row],[Area]]</f>
        <v>509.08362369337976</v>
      </c>
      <c r="I2923">
        <v>2870</v>
      </c>
      <c r="J2923">
        <v>2014</v>
      </c>
      <c r="K2923">
        <v>31</v>
      </c>
      <c r="L2923" t="s">
        <v>52</v>
      </c>
      <c r="M2923" t="s">
        <v>2882</v>
      </c>
      <c r="N2923" s="2" t="s">
        <v>3035</v>
      </c>
      <c r="O2923" t="s">
        <v>3036</v>
      </c>
      <c r="P2923" t="s">
        <v>21</v>
      </c>
      <c r="Q2923">
        <v>509.08362369337976</v>
      </c>
      <c r="R2923">
        <f ca="1">YEAR(TODAY())-Table1[[#This Row],[Year Built]]</f>
        <v>12</v>
      </c>
      <c r="S2923" t="str">
        <f>IF(Table1[[#This Row],[Days on Market]] &lt; 30,"Fast",IF(Table1[[#This Row],[Days on Market]]&lt;= 90,"Average", "Slow"))</f>
        <v>Average</v>
      </c>
      <c r="T2923" t="str">
        <f>IF(Table1[[#This Row],[Price2]]&lt;500000,"Affordable",IF(Table1[[#This Row],[Price2]]&lt;1000000,"Mid range","Luxury"))</f>
        <v>Luxury</v>
      </c>
    </row>
    <row r="2924" spans="1:20" x14ac:dyDescent="0.35">
      <c r="A2924" s="3">
        <v>1461196</v>
      </c>
      <c r="B2924" s="2" t="s">
        <v>27</v>
      </c>
      <c r="C2924">
        <v>38506</v>
      </c>
      <c r="D2924" s="2" t="s">
        <v>18</v>
      </c>
      <c r="E2924">
        <v>6</v>
      </c>
      <c r="F2924">
        <v>4</v>
      </c>
      <c r="G2924" s="4">
        <f>VALUE(SUBSTITUTE(SUBSTITUTE(Table1[[#This Row],[Price]],"$",""),",",""))</f>
        <v>1461196</v>
      </c>
      <c r="H2924" s="1">
        <f>Table1[[#This Row],[Price2]]/Table1[[#This Row],[Area]]</f>
        <v>614.20596889449348</v>
      </c>
      <c r="I2924">
        <v>2379</v>
      </c>
      <c r="J2924">
        <v>1994</v>
      </c>
      <c r="K2924">
        <v>113</v>
      </c>
      <c r="L2924" t="s">
        <v>40</v>
      </c>
      <c r="M2924" t="s">
        <v>2997</v>
      </c>
      <c r="N2924" s="2" t="s">
        <v>3027</v>
      </c>
      <c r="O2924" t="s">
        <v>3028</v>
      </c>
      <c r="P2924" t="s">
        <v>16</v>
      </c>
      <c r="Q2924">
        <v>614.20596889449348</v>
      </c>
      <c r="R2924">
        <f ca="1">YEAR(TODAY())-Table1[[#This Row],[Year Built]]</f>
        <v>32</v>
      </c>
      <c r="S2924" t="str">
        <f>IF(Table1[[#This Row],[Days on Market]] &lt; 30,"Fast",IF(Table1[[#This Row],[Days on Market]]&lt;= 90,"Average", "Slow"))</f>
        <v>Slow</v>
      </c>
      <c r="T2924" t="str">
        <f>IF(Table1[[#This Row],[Price2]]&lt;500000,"Affordable",IF(Table1[[#This Row],[Price2]]&lt;1000000,"Mid range","Luxury"))</f>
        <v>Luxury</v>
      </c>
    </row>
    <row r="2925" spans="1:20" x14ac:dyDescent="0.35">
      <c r="A2925" s="3">
        <v>1461297</v>
      </c>
      <c r="B2925" s="2" t="s">
        <v>12</v>
      </c>
      <c r="C2925">
        <v>19858</v>
      </c>
      <c r="D2925" s="2" t="s">
        <v>29</v>
      </c>
      <c r="E2925">
        <v>1</v>
      </c>
      <c r="F2925">
        <v>3</v>
      </c>
      <c r="G2925" s="4">
        <f>VALUE(SUBSTITUTE(SUBSTITUTE(Table1[[#This Row],[Price]],"$",""),",",""))</f>
        <v>1461297</v>
      </c>
      <c r="H2925" s="1">
        <f>Table1[[#This Row],[Price2]]/Table1[[#This Row],[Area]]</f>
        <v>463.02186311787074</v>
      </c>
      <c r="I2925">
        <v>3156</v>
      </c>
      <c r="J2925">
        <v>1961</v>
      </c>
      <c r="K2925">
        <v>61</v>
      </c>
      <c r="L2925" t="s">
        <v>19</v>
      </c>
      <c r="M2925" t="s">
        <v>61</v>
      </c>
      <c r="N2925" s="2" t="s">
        <v>3035</v>
      </c>
      <c r="O2925" t="s">
        <v>3036</v>
      </c>
      <c r="P2925" t="s">
        <v>21</v>
      </c>
      <c r="Q2925">
        <v>463.02186311787074</v>
      </c>
      <c r="R2925">
        <f ca="1">YEAR(TODAY())-Table1[[#This Row],[Year Built]]</f>
        <v>65</v>
      </c>
      <c r="S2925" t="str">
        <f>IF(Table1[[#This Row],[Days on Market]] &lt; 30,"Fast",IF(Table1[[#This Row],[Days on Market]]&lt;= 90,"Average", "Slow"))</f>
        <v>Average</v>
      </c>
      <c r="T2925" t="str">
        <f>IF(Table1[[#This Row],[Price2]]&lt;500000,"Affordable",IF(Table1[[#This Row],[Price2]]&lt;1000000,"Mid range","Luxury"))</f>
        <v>Luxury</v>
      </c>
    </row>
    <row r="2926" spans="1:20" x14ac:dyDescent="0.35">
      <c r="A2926" s="3">
        <v>1462110</v>
      </c>
      <c r="B2926" s="2" t="s">
        <v>27</v>
      </c>
      <c r="C2926">
        <v>74534</v>
      </c>
      <c r="D2926" s="2" t="s">
        <v>29</v>
      </c>
      <c r="E2926">
        <v>2</v>
      </c>
      <c r="F2926">
        <v>4</v>
      </c>
      <c r="G2926" s="4">
        <f>VALUE(SUBSTITUTE(SUBSTITUTE(Table1[[#This Row],[Price]],"$",""),",",""))</f>
        <v>1462110</v>
      </c>
      <c r="H2926" s="1">
        <f>Table1[[#This Row],[Price2]]/Table1[[#This Row],[Area]]</f>
        <v>380.95622720166756</v>
      </c>
      <c r="I2926">
        <v>3838</v>
      </c>
      <c r="J2926">
        <v>2018</v>
      </c>
      <c r="K2926">
        <v>49</v>
      </c>
      <c r="L2926" t="s">
        <v>19</v>
      </c>
      <c r="M2926" t="s">
        <v>1838</v>
      </c>
      <c r="N2926" s="2" t="s">
        <v>3029</v>
      </c>
      <c r="O2926" t="s">
        <v>3030</v>
      </c>
      <c r="P2926" t="s">
        <v>21</v>
      </c>
      <c r="Q2926">
        <v>380.95622720166756</v>
      </c>
      <c r="R2926">
        <f ca="1">YEAR(TODAY())-Table1[[#This Row],[Year Built]]</f>
        <v>8</v>
      </c>
      <c r="S2926" t="str">
        <f>IF(Table1[[#This Row],[Days on Market]] &lt; 30,"Fast",IF(Table1[[#This Row],[Days on Market]]&lt;= 90,"Average", "Slow"))</f>
        <v>Average</v>
      </c>
      <c r="T2926" t="str">
        <f>IF(Table1[[#This Row],[Price2]]&lt;500000,"Affordable",IF(Table1[[#This Row],[Price2]]&lt;1000000,"Mid range","Luxury"))</f>
        <v>Luxury</v>
      </c>
    </row>
    <row r="2927" spans="1:20" x14ac:dyDescent="0.35">
      <c r="A2927" s="3">
        <v>1463056</v>
      </c>
      <c r="B2927" s="2" t="s">
        <v>17</v>
      </c>
      <c r="C2927">
        <v>72047</v>
      </c>
      <c r="D2927" s="2" t="s">
        <v>13</v>
      </c>
      <c r="E2927">
        <v>6</v>
      </c>
      <c r="F2927">
        <v>4</v>
      </c>
      <c r="G2927" s="4">
        <f>VALUE(SUBSTITUTE(SUBSTITUTE(Table1[[#This Row],[Price]],"$",""),",",""))</f>
        <v>1463056</v>
      </c>
      <c r="H2927" s="1">
        <f>Table1[[#This Row],[Price2]]/Table1[[#This Row],[Area]]</f>
        <v>895.93141457440299</v>
      </c>
      <c r="I2927">
        <v>1633</v>
      </c>
      <c r="J2927">
        <v>1950</v>
      </c>
      <c r="K2927">
        <v>117</v>
      </c>
      <c r="L2927" t="s">
        <v>14</v>
      </c>
      <c r="M2927" t="s">
        <v>1363</v>
      </c>
      <c r="N2927" s="2" t="s">
        <v>3027</v>
      </c>
      <c r="O2927" t="s">
        <v>3028</v>
      </c>
      <c r="P2927" t="s">
        <v>16</v>
      </c>
      <c r="Q2927">
        <v>895.93141457440299</v>
      </c>
      <c r="R2927">
        <f ca="1">YEAR(TODAY())-Table1[[#This Row],[Year Built]]</f>
        <v>76</v>
      </c>
      <c r="S2927" t="str">
        <f>IF(Table1[[#This Row],[Days on Market]] &lt; 30,"Fast",IF(Table1[[#This Row],[Days on Market]]&lt;= 90,"Average", "Slow"))</f>
        <v>Slow</v>
      </c>
      <c r="T2927" t="str">
        <f>IF(Table1[[#This Row],[Price2]]&lt;500000,"Affordable",IF(Table1[[#This Row],[Price2]]&lt;1000000,"Mid range","Luxury"))</f>
        <v>Luxury</v>
      </c>
    </row>
    <row r="2928" spans="1:20" x14ac:dyDescent="0.35">
      <c r="A2928" s="3">
        <v>1464001</v>
      </c>
      <c r="B2928" s="2" t="s">
        <v>34</v>
      </c>
      <c r="C2928">
        <v>41242</v>
      </c>
      <c r="D2928" s="2" t="s">
        <v>35</v>
      </c>
      <c r="E2928">
        <v>1</v>
      </c>
      <c r="F2928">
        <v>3</v>
      </c>
      <c r="G2928" s="4">
        <f>VALUE(SUBSTITUTE(SUBSTITUTE(Table1[[#This Row],[Price]],"$",""),",",""))</f>
        <v>1464001</v>
      </c>
      <c r="H2928" s="1">
        <f>Table1[[#This Row],[Price2]]/Table1[[#This Row],[Area]]</f>
        <v>436.49403697078117</v>
      </c>
      <c r="I2928">
        <v>3354</v>
      </c>
      <c r="J2928">
        <v>1952</v>
      </c>
      <c r="K2928">
        <v>99</v>
      </c>
      <c r="L2928" t="s">
        <v>19</v>
      </c>
      <c r="M2928" t="s">
        <v>1220</v>
      </c>
      <c r="N2928" s="2" t="s">
        <v>3031</v>
      </c>
      <c r="O2928" t="s">
        <v>3032</v>
      </c>
      <c r="P2928" t="s">
        <v>26</v>
      </c>
      <c r="Q2928">
        <v>436.49403697078117</v>
      </c>
      <c r="R2928">
        <f ca="1">YEAR(TODAY())-Table1[[#This Row],[Year Built]]</f>
        <v>74</v>
      </c>
      <c r="S2928" t="str">
        <f>IF(Table1[[#This Row],[Days on Market]] &lt; 30,"Fast",IF(Table1[[#This Row],[Days on Market]]&lt;= 90,"Average", "Slow"))</f>
        <v>Slow</v>
      </c>
      <c r="T2928" t="str">
        <f>IF(Table1[[#This Row],[Price2]]&lt;500000,"Affordable",IF(Table1[[#This Row],[Price2]]&lt;1000000,"Mid range","Luxury"))</f>
        <v>Luxury</v>
      </c>
    </row>
    <row r="2929" spans="1:20" x14ac:dyDescent="0.35">
      <c r="A2929" s="3">
        <v>1464464</v>
      </c>
      <c r="B2929" s="2" t="s">
        <v>12</v>
      </c>
      <c r="C2929">
        <v>67980</v>
      </c>
      <c r="D2929" s="2" t="s">
        <v>13</v>
      </c>
      <c r="E2929">
        <v>4</v>
      </c>
      <c r="F2929">
        <v>1</v>
      </c>
      <c r="G2929" s="4">
        <f>VALUE(SUBSTITUTE(SUBSTITUTE(Table1[[#This Row],[Price]],"$",""),",",""))</f>
        <v>1464464</v>
      </c>
      <c r="H2929" s="1">
        <f>Table1[[#This Row],[Price2]]/Table1[[#This Row],[Area]]</f>
        <v>376.46889460154239</v>
      </c>
      <c r="I2929">
        <v>3890</v>
      </c>
      <c r="J2929">
        <v>2014</v>
      </c>
      <c r="K2929">
        <v>69</v>
      </c>
      <c r="L2929" t="s">
        <v>14</v>
      </c>
      <c r="M2929" t="s">
        <v>1796</v>
      </c>
      <c r="N2929" s="2" t="s">
        <v>3031</v>
      </c>
      <c r="O2929" t="s">
        <v>3032</v>
      </c>
      <c r="P2929" t="s">
        <v>16</v>
      </c>
      <c r="Q2929">
        <v>376.46889460154239</v>
      </c>
      <c r="R2929">
        <f ca="1">YEAR(TODAY())-Table1[[#This Row],[Year Built]]</f>
        <v>12</v>
      </c>
      <c r="S2929" t="str">
        <f>IF(Table1[[#This Row],[Days on Market]] &lt; 30,"Fast",IF(Table1[[#This Row],[Days on Market]]&lt;= 90,"Average", "Slow"))</f>
        <v>Average</v>
      </c>
      <c r="T2929" t="str">
        <f>IF(Table1[[#This Row],[Price2]]&lt;500000,"Affordable",IF(Table1[[#This Row],[Price2]]&lt;1000000,"Mid range","Luxury"))</f>
        <v>Luxury</v>
      </c>
    </row>
    <row r="2930" spans="1:20" x14ac:dyDescent="0.35">
      <c r="A2930" s="3">
        <v>1464732</v>
      </c>
      <c r="B2930" s="2" t="s">
        <v>34</v>
      </c>
      <c r="C2930">
        <v>26396</v>
      </c>
      <c r="D2930" s="2" t="s">
        <v>23</v>
      </c>
      <c r="E2930">
        <v>4</v>
      </c>
      <c r="F2930">
        <v>1</v>
      </c>
      <c r="G2930" s="4">
        <f>VALUE(SUBSTITUTE(SUBSTITUTE(Table1[[#This Row],[Price]],"$",""),",",""))</f>
        <v>1464732</v>
      </c>
      <c r="H2930" s="1">
        <f>Table1[[#This Row],[Price2]]/Table1[[#This Row],[Area]]</f>
        <v>463.08314890926334</v>
      </c>
      <c r="I2930">
        <v>3163</v>
      </c>
      <c r="J2930">
        <v>1958</v>
      </c>
      <c r="K2930">
        <v>113</v>
      </c>
      <c r="L2930" t="s">
        <v>40</v>
      </c>
      <c r="M2930" t="s">
        <v>812</v>
      </c>
      <c r="N2930" s="2" t="s">
        <v>3031</v>
      </c>
      <c r="O2930" t="s">
        <v>3032</v>
      </c>
      <c r="P2930" t="s">
        <v>26</v>
      </c>
      <c r="Q2930">
        <v>463.08314890926334</v>
      </c>
      <c r="R2930">
        <f ca="1">YEAR(TODAY())-Table1[[#This Row],[Year Built]]</f>
        <v>68</v>
      </c>
      <c r="S2930" t="str">
        <f>IF(Table1[[#This Row],[Days on Market]] &lt; 30,"Fast",IF(Table1[[#This Row],[Days on Market]]&lt;= 90,"Average", "Slow"))</f>
        <v>Slow</v>
      </c>
      <c r="T2930" t="str">
        <f>IF(Table1[[#This Row],[Price2]]&lt;500000,"Affordable",IF(Table1[[#This Row],[Price2]]&lt;1000000,"Mid range","Luxury"))</f>
        <v>Luxury</v>
      </c>
    </row>
    <row r="2931" spans="1:20" x14ac:dyDescent="0.35">
      <c r="A2931" s="3">
        <v>1465314</v>
      </c>
      <c r="B2931" s="2" t="s">
        <v>12</v>
      </c>
      <c r="C2931">
        <v>43420</v>
      </c>
      <c r="D2931" s="2" t="s">
        <v>18</v>
      </c>
      <c r="E2931">
        <v>3</v>
      </c>
      <c r="F2931">
        <v>4</v>
      </c>
      <c r="G2931" s="4">
        <f>VALUE(SUBSTITUTE(SUBSTITUTE(Table1[[#This Row],[Price]],"$",""),",",""))</f>
        <v>1465314</v>
      </c>
      <c r="H2931" s="1">
        <f>Table1[[#This Row],[Price2]]/Table1[[#This Row],[Area]]</f>
        <v>1340.6349496797804</v>
      </c>
      <c r="I2931">
        <v>1093</v>
      </c>
      <c r="J2931">
        <v>1970</v>
      </c>
      <c r="K2931">
        <v>42</v>
      </c>
      <c r="L2931" t="s">
        <v>52</v>
      </c>
      <c r="M2931" t="s">
        <v>2188</v>
      </c>
      <c r="N2931" s="2" t="s">
        <v>3029</v>
      </c>
      <c r="O2931" t="s">
        <v>3030</v>
      </c>
      <c r="P2931" t="s">
        <v>21</v>
      </c>
      <c r="Q2931">
        <v>1340.6349496797804</v>
      </c>
      <c r="R2931">
        <f ca="1">YEAR(TODAY())-Table1[[#This Row],[Year Built]]</f>
        <v>56</v>
      </c>
      <c r="S2931" t="str">
        <f>IF(Table1[[#This Row],[Days on Market]] &lt; 30,"Fast",IF(Table1[[#This Row],[Days on Market]]&lt;= 90,"Average", "Slow"))</f>
        <v>Average</v>
      </c>
      <c r="T2931" t="str">
        <f>IF(Table1[[#This Row],[Price2]]&lt;500000,"Affordable",IF(Table1[[#This Row],[Price2]]&lt;1000000,"Mid range","Luxury"))</f>
        <v>Luxury</v>
      </c>
    </row>
    <row r="2932" spans="1:20" x14ac:dyDescent="0.35">
      <c r="A2932" s="3">
        <v>1465412</v>
      </c>
      <c r="B2932" s="2" t="s">
        <v>17</v>
      </c>
      <c r="C2932">
        <v>44872</v>
      </c>
      <c r="D2932" s="2" t="s">
        <v>29</v>
      </c>
      <c r="E2932">
        <v>3</v>
      </c>
      <c r="F2932">
        <v>3</v>
      </c>
      <c r="G2932" s="4">
        <f>VALUE(SUBSTITUTE(SUBSTITUTE(Table1[[#This Row],[Price]],"$",""),",",""))</f>
        <v>1465412</v>
      </c>
      <c r="H2932" s="1">
        <f>Table1[[#This Row],[Price2]]/Table1[[#This Row],[Area]]</f>
        <v>812.76317249029398</v>
      </c>
      <c r="I2932">
        <v>1803</v>
      </c>
      <c r="J2932">
        <v>1965</v>
      </c>
      <c r="K2932">
        <v>70</v>
      </c>
      <c r="L2932" t="s">
        <v>19</v>
      </c>
      <c r="M2932" t="s">
        <v>2418</v>
      </c>
      <c r="N2932" s="2" t="s">
        <v>3031</v>
      </c>
      <c r="O2932" t="s">
        <v>3032</v>
      </c>
      <c r="P2932" t="s">
        <v>16</v>
      </c>
      <c r="Q2932">
        <v>812.76317249029398</v>
      </c>
      <c r="R2932">
        <f ca="1">YEAR(TODAY())-Table1[[#This Row],[Year Built]]</f>
        <v>61</v>
      </c>
      <c r="S2932" t="str">
        <f>IF(Table1[[#This Row],[Days on Market]] &lt; 30,"Fast",IF(Table1[[#This Row],[Days on Market]]&lt;= 90,"Average", "Slow"))</f>
        <v>Average</v>
      </c>
      <c r="T2932" t="str">
        <f>IF(Table1[[#This Row],[Price2]]&lt;500000,"Affordable",IF(Table1[[#This Row],[Price2]]&lt;1000000,"Mid range","Luxury"))</f>
        <v>Luxury</v>
      </c>
    </row>
    <row r="2933" spans="1:20" x14ac:dyDescent="0.35">
      <c r="A2933" s="3">
        <v>1465615</v>
      </c>
      <c r="B2933" s="2" t="s">
        <v>27</v>
      </c>
      <c r="C2933">
        <v>40426</v>
      </c>
      <c r="D2933" s="2" t="s">
        <v>35</v>
      </c>
      <c r="E2933">
        <v>4</v>
      </c>
      <c r="F2933">
        <v>3</v>
      </c>
      <c r="G2933" s="4">
        <f>VALUE(SUBSTITUTE(SUBSTITUTE(Table1[[#This Row],[Price]],"$",""),",",""))</f>
        <v>1465615</v>
      </c>
      <c r="H2933" s="1">
        <f>Table1[[#This Row],[Price2]]/Table1[[#This Row],[Area]]</f>
        <v>480.37200917731889</v>
      </c>
      <c r="I2933">
        <v>3051</v>
      </c>
      <c r="J2933">
        <v>1955</v>
      </c>
      <c r="K2933">
        <v>64</v>
      </c>
      <c r="L2933" t="s">
        <v>52</v>
      </c>
      <c r="M2933" t="s">
        <v>671</v>
      </c>
      <c r="N2933" s="2" t="s">
        <v>3027</v>
      </c>
      <c r="O2933" t="s">
        <v>3028</v>
      </c>
      <c r="P2933" t="s">
        <v>21</v>
      </c>
      <c r="Q2933">
        <v>480.37200917731889</v>
      </c>
      <c r="R2933">
        <f ca="1">YEAR(TODAY())-Table1[[#This Row],[Year Built]]</f>
        <v>71</v>
      </c>
      <c r="S2933" t="str">
        <f>IF(Table1[[#This Row],[Days on Market]] &lt; 30,"Fast",IF(Table1[[#This Row],[Days on Market]]&lt;= 90,"Average", "Slow"))</f>
        <v>Average</v>
      </c>
      <c r="T2933" t="str">
        <f>IF(Table1[[#This Row],[Price2]]&lt;500000,"Affordable",IF(Table1[[#This Row],[Price2]]&lt;1000000,"Mid range","Luxury"))</f>
        <v>Luxury</v>
      </c>
    </row>
    <row r="2934" spans="1:20" x14ac:dyDescent="0.35">
      <c r="A2934" s="3">
        <v>1465859</v>
      </c>
      <c r="B2934" s="2" t="s">
        <v>22</v>
      </c>
      <c r="C2934">
        <v>12670</v>
      </c>
      <c r="D2934" s="2" t="s">
        <v>23</v>
      </c>
      <c r="E2934">
        <v>6</v>
      </c>
      <c r="F2934">
        <v>4</v>
      </c>
      <c r="G2934" s="4">
        <f>VALUE(SUBSTITUTE(SUBSTITUTE(Table1[[#This Row],[Price]],"$",""),",",""))</f>
        <v>1465859</v>
      </c>
      <c r="H2934" s="1">
        <f>Table1[[#This Row],[Price2]]/Table1[[#This Row],[Area]]</f>
        <v>1046.2947894361171</v>
      </c>
      <c r="I2934">
        <v>1401</v>
      </c>
      <c r="J2934">
        <v>1978</v>
      </c>
      <c r="K2934">
        <v>10</v>
      </c>
      <c r="L2934" t="s">
        <v>30</v>
      </c>
      <c r="M2934" t="s">
        <v>1990</v>
      </c>
      <c r="N2934" s="2" t="s">
        <v>3033</v>
      </c>
      <c r="O2934" t="s">
        <v>3034</v>
      </c>
      <c r="P2934" t="s">
        <v>26</v>
      </c>
      <c r="Q2934">
        <v>1046.2947894361171</v>
      </c>
      <c r="R2934">
        <f ca="1">YEAR(TODAY())-Table1[[#This Row],[Year Built]]</f>
        <v>48</v>
      </c>
      <c r="S2934" t="str">
        <f>IF(Table1[[#This Row],[Days on Market]] &lt; 30,"Fast",IF(Table1[[#This Row],[Days on Market]]&lt;= 90,"Average", "Slow"))</f>
        <v>Fast</v>
      </c>
      <c r="T2934" t="str">
        <f>IF(Table1[[#This Row],[Price2]]&lt;500000,"Affordable",IF(Table1[[#This Row],[Price2]]&lt;1000000,"Mid range","Luxury"))</f>
        <v>Luxury</v>
      </c>
    </row>
    <row r="2935" spans="1:20" x14ac:dyDescent="0.35">
      <c r="A2935" s="3">
        <v>1465899</v>
      </c>
      <c r="B2935" s="2" t="s">
        <v>12</v>
      </c>
      <c r="C2935">
        <v>32173</v>
      </c>
      <c r="D2935" s="2" t="s">
        <v>13</v>
      </c>
      <c r="E2935">
        <v>3</v>
      </c>
      <c r="F2935">
        <v>1</v>
      </c>
      <c r="G2935" s="4">
        <f>VALUE(SUBSTITUTE(SUBSTITUTE(Table1[[#This Row],[Price]],"$",""),",",""))</f>
        <v>1465899</v>
      </c>
      <c r="H2935" s="1">
        <f>Table1[[#This Row],[Price2]]/Table1[[#This Row],[Area]]</f>
        <v>607.50062163282223</v>
      </c>
      <c r="I2935">
        <v>2413</v>
      </c>
      <c r="J2935">
        <v>2013</v>
      </c>
      <c r="K2935">
        <v>100</v>
      </c>
      <c r="L2935" t="s">
        <v>52</v>
      </c>
      <c r="M2935" t="s">
        <v>531</v>
      </c>
      <c r="N2935" s="2" t="s">
        <v>3033</v>
      </c>
      <c r="O2935" t="s">
        <v>3034</v>
      </c>
      <c r="P2935" t="s">
        <v>26</v>
      </c>
      <c r="Q2935">
        <v>607.50062163282223</v>
      </c>
      <c r="R2935">
        <f ca="1">YEAR(TODAY())-Table1[[#This Row],[Year Built]]</f>
        <v>13</v>
      </c>
      <c r="S2935" t="str">
        <f>IF(Table1[[#This Row],[Days on Market]] &lt; 30,"Fast",IF(Table1[[#This Row],[Days on Market]]&lt;= 90,"Average", "Slow"))</f>
        <v>Slow</v>
      </c>
      <c r="T2935" t="str">
        <f>IF(Table1[[#This Row],[Price2]]&lt;500000,"Affordable",IF(Table1[[#This Row],[Price2]]&lt;1000000,"Mid range","Luxury"))</f>
        <v>Luxury</v>
      </c>
    </row>
    <row r="2936" spans="1:20" x14ac:dyDescent="0.35">
      <c r="A2936" s="3">
        <v>1466346</v>
      </c>
      <c r="B2936" s="2" t="s">
        <v>22</v>
      </c>
      <c r="C2936">
        <v>48995</v>
      </c>
      <c r="D2936" s="2" t="s">
        <v>13</v>
      </c>
      <c r="E2936">
        <v>6</v>
      </c>
      <c r="F2936">
        <v>4</v>
      </c>
      <c r="G2936" s="4">
        <f>VALUE(SUBSTITUTE(SUBSTITUTE(Table1[[#This Row],[Price]],"$",""),",",""))</f>
        <v>1466346</v>
      </c>
      <c r="H2936" s="1">
        <f>Table1[[#This Row],[Price2]]/Table1[[#This Row],[Area]]</f>
        <v>498.41808293677769</v>
      </c>
      <c r="I2936">
        <v>2942</v>
      </c>
      <c r="J2936">
        <v>2019</v>
      </c>
      <c r="K2936">
        <v>90</v>
      </c>
      <c r="L2936" t="s">
        <v>19</v>
      </c>
      <c r="M2936" t="s">
        <v>2968</v>
      </c>
      <c r="N2936" s="2" t="s">
        <v>3029</v>
      </c>
      <c r="O2936" t="s">
        <v>3030</v>
      </c>
      <c r="P2936" t="s">
        <v>16</v>
      </c>
      <c r="Q2936">
        <v>498.41808293677769</v>
      </c>
      <c r="R2936">
        <f ca="1">YEAR(TODAY())-Table1[[#This Row],[Year Built]]</f>
        <v>7</v>
      </c>
      <c r="S2936" t="str">
        <f>IF(Table1[[#This Row],[Days on Market]] &lt; 30,"Fast",IF(Table1[[#This Row],[Days on Market]]&lt;= 90,"Average", "Slow"))</f>
        <v>Average</v>
      </c>
      <c r="T2936" t="str">
        <f>IF(Table1[[#This Row],[Price2]]&lt;500000,"Affordable",IF(Table1[[#This Row],[Price2]]&lt;1000000,"Mid range","Luxury"))</f>
        <v>Luxury</v>
      </c>
    </row>
    <row r="2937" spans="1:20" x14ac:dyDescent="0.35">
      <c r="A2937" s="3">
        <v>1466927</v>
      </c>
      <c r="B2937" s="2" t="s">
        <v>22</v>
      </c>
      <c r="C2937">
        <v>63572</v>
      </c>
      <c r="D2937" s="2" t="s">
        <v>18</v>
      </c>
      <c r="E2937">
        <v>1</v>
      </c>
      <c r="F2937">
        <v>3</v>
      </c>
      <c r="G2937" s="4">
        <f>VALUE(SUBSTITUTE(SUBSTITUTE(Table1[[#This Row],[Price]],"$",""),",",""))</f>
        <v>1466927</v>
      </c>
      <c r="H2937" s="1">
        <f>Table1[[#This Row],[Price2]]/Table1[[#This Row],[Area]]</f>
        <v>1146.0367187500001</v>
      </c>
      <c r="I2937">
        <v>1280</v>
      </c>
      <c r="J2937">
        <v>1964</v>
      </c>
      <c r="K2937">
        <v>81</v>
      </c>
      <c r="L2937" t="s">
        <v>52</v>
      </c>
      <c r="M2937" t="s">
        <v>924</v>
      </c>
      <c r="N2937" s="2" t="s">
        <v>3031</v>
      </c>
      <c r="O2937" t="s">
        <v>3032</v>
      </c>
      <c r="P2937" t="s">
        <v>16</v>
      </c>
      <c r="Q2937">
        <v>1146.0367187500001</v>
      </c>
      <c r="R2937">
        <f ca="1">YEAR(TODAY())-Table1[[#This Row],[Year Built]]</f>
        <v>62</v>
      </c>
      <c r="S2937" t="str">
        <f>IF(Table1[[#This Row],[Days on Market]] &lt; 30,"Fast",IF(Table1[[#This Row],[Days on Market]]&lt;= 90,"Average", "Slow"))</f>
        <v>Average</v>
      </c>
      <c r="T2937" t="str">
        <f>IF(Table1[[#This Row],[Price2]]&lt;500000,"Affordable",IF(Table1[[#This Row],[Price2]]&lt;1000000,"Mid range","Luxury"))</f>
        <v>Luxury</v>
      </c>
    </row>
    <row r="2938" spans="1:20" x14ac:dyDescent="0.35">
      <c r="A2938" s="3">
        <v>1467813</v>
      </c>
      <c r="B2938" s="2" t="s">
        <v>27</v>
      </c>
      <c r="C2938">
        <v>56372</v>
      </c>
      <c r="D2938" s="2" t="s">
        <v>13</v>
      </c>
      <c r="E2938">
        <v>4</v>
      </c>
      <c r="F2938">
        <v>4</v>
      </c>
      <c r="G2938" s="4">
        <f>VALUE(SUBSTITUTE(SUBSTITUTE(Table1[[#This Row],[Price]],"$",""),",",""))</f>
        <v>1467813</v>
      </c>
      <c r="H2938" s="1">
        <f>Table1[[#This Row],[Price2]]/Table1[[#This Row],[Area]]</f>
        <v>1235.5328282828282</v>
      </c>
      <c r="I2938">
        <v>1188</v>
      </c>
      <c r="J2938">
        <v>1993</v>
      </c>
      <c r="K2938">
        <v>66</v>
      </c>
      <c r="L2938" t="s">
        <v>40</v>
      </c>
      <c r="M2938" t="s">
        <v>2500</v>
      </c>
      <c r="N2938" s="2" t="s">
        <v>3029</v>
      </c>
      <c r="O2938" t="s">
        <v>3030</v>
      </c>
      <c r="P2938" t="s">
        <v>16</v>
      </c>
      <c r="Q2938">
        <v>1235.5328282828282</v>
      </c>
      <c r="R2938">
        <f ca="1">YEAR(TODAY())-Table1[[#This Row],[Year Built]]</f>
        <v>33</v>
      </c>
      <c r="S2938" t="str">
        <f>IF(Table1[[#This Row],[Days on Market]] &lt; 30,"Fast",IF(Table1[[#This Row],[Days on Market]]&lt;= 90,"Average", "Slow"))</f>
        <v>Average</v>
      </c>
      <c r="T2938" t="str">
        <f>IF(Table1[[#This Row],[Price2]]&lt;500000,"Affordable",IF(Table1[[#This Row],[Price2]]&lt;1000000,"Mid range","Luxury"))</f>
        <v>Luxury</v>
      </c>
    </row>
    <row r="2939" spans="1:20" x14ac:dyDescent="0.35">
      <c r="A2939" s="3">
        <v>1469257</v>
      </c>
      <c r="B2939" s="2" t="s">
        <v>17</v>
      </c>
      <c r="C2939">
        <v>38811</v>
      </c>
      <c r="D2939" s="2" t="s">
        <v>18</v>
      </c>
      <c r="E2939">
        <v>5</v>
      </c>
      <c r="F2939">
        <v>3</v>
      </c>
      <c r="G2939" s="4">
        <f>VALUE(SUBSTITUTE(SUBSTITUTE(Table1[[#This Row],[Price]],"$",""),",",""))</f>
        <v>1469257</v>
      </c>
      <c r="H2939" s="1">
        <f>Table1[[#This Row],[Price2]]/Table1[[#This Row],[Area]]</f>
        <v>2313.7905511811023</v>
      </c>
      <c r="I2939">
        <v>635</v>
      </c>
      <c r="J2939">
        <v>1990</v>
      </c>
      <c r="K2939">
        <v>42</v>
      </c>
      <c r="L2939" t="s">
        <v>30</v>
      </c>
      <c r="M2939" t="s">
        <v>51</v>
      </c>
      <c r="N2939" s="2" t="s">
        <v>3029</v>
      </c>
      <c r="O2939" t="s">
        <v>3030</v>
      </c>
      <c r="P2939" t="s">
        <v>26</v>
      </c>
      <c r="Q2939">
        <v>2313.7905511811023</v>
      </c>
      <c r="R2939">
        <f ca="1">YEAR(TODAY())-Table1[[#This Row],[Year Built]]</f>
        <v>36</v>
      </c>
      <c r="S2939" t="str">
        <f>IF(Table1[[#This Row],[Days on Market]] &lt; 30,"Fast",IF(Table1[[#This Row],[Days on Market]]&lt;= 90,"Average", "Slow"))</f>
        <v>Average</v>
      </c>
      <c r="T2939" t="str">
        <f>IF(Table1[[#This Row],[Price2]]&lt;500000,"Affordable",IF(Table1[[#This Row],[Price2]]&lt;1000000,"Mid range","Luxury"))</f>
        <v>Luxury</v>
      </c>
    </row>
    <row r="2940" spans="1:20" x14ac:dyDescent="0.35">
      <c r="A2940" s="3">
        <v>1469258</v>
      </c>
      <c r="B2940" s="2" t="s">
        <v>34</v>
      </c>
      <c r="C2940">
        <v>44455</v>
      </c>
      <c r="D2940" s="2" t="s">
        <v>35</v>
      </c>
      <c r="E2940">
        <v>4</v>
      </c>
      <c r="F2940">
        <v>4</v>
      </c>
      <c r="G2940" s="4">
        <f>VALUE(SUBSTITUTE(SUBSTITUTE(Table1[[#This Row],[Price]],"$",""),",",""))</f>
        <v>1469258</v>
      </c>
      <c r="H2940" s="1">
        <f>Table1[[#This Row],[Price2]]/Table1[[#This Row],[Area]]</f>
        <v>457.5702273435067</v>
      </c>
      <c r="I2940">
        <v>3211</v>
      </c>
      <c r="J2940">
        <v>1979</v>
      </c>
      <c r="K2940">
        <v>25</v>
      </c>
      <c r="L2940" t="s">
        <v>19</v>
      </c>
      <c r="M2940" t="s">
        <v>1237</v>
      </c>
      <c r="N2940" s="2" t="s">
        <v>3031</v>
      </c>
      <c r="O2940" t="s">
        <v>3032</v>
      </c>
      <c r="P2940" t="s">
        <v>26</v>
      </c>
      <c r="Q2940">
        <v>457.5702273435067</v>
      </c>
      <c r="R2940">
        <f ca="1">YEAR(TODAY())-Table1[[#This Row],[Year Built]]</f>
        <v>47</v>
      </c>
      <c r="S2940" t="str">
        <f>IF(Table1[[#This Row],[Days on Market]] &lt; 30,"Fast",IF(Table1[[#This Row],[Days on Market]]&lt;= 90,"Average", "Slow"))</f>
        <v>Fast</v>
      </c>
      <c r="T2940" t="str">
        <f>IF(Table1[[#This Row],[Price2]]&lt;500000,"Affordable",IF(Table1[[#This Row],[Price2]]&lt;1000000,"Mid range","Luxury"))</f>
        <v>Luxury</v>
      </c>
    </row>
    <row r="2941" spans="1:20" x14ac:dyDescent="0.35">
      <c r="A2941" s="3">
        <v>1469651</v>
      </c>
      <c r="B2941" s="2" t="s">
        <v>12</v>
      </c>
      <c r="C2941">
        <v>51725</v>
      </c>
      <c r="D2941" s="2" t="s">
        <v>18</v>
      </c>
      <c r="E2941">
        <v>2</v>
      </c>
      <c r="F2941">
        <v>1</v>
      </c>
      <c r="G2941" s="4">
        <f>VALUE(SUBSTITUTE(SUBSTITUTE(Table1[[#This Row],[Price]],"$",""),",",""))</f>
        <v>1469651</v>
      </c>
      <c r="H2941" s="1">
        <f>Table1[[#This Row],[Price2]]/Table1[[#This Row],[Area]]</f>
        <v>835.02897727272727</v>
      </c>
      <c r="I2941">
        <v>1760</v>
      </c>
      <c r="J2941">
        <v>1977</v>
      </c>
      <c r="K2941">
        <v>42</v>
      </c>
      <c r="L2941" t="s">
        <v>52</v>
      </c>
      <c r="M2941" t="s">
        <v>1424</v>
      </c>
      <c r="N2941" s="2" t="s">
        <v>3031</v>
      </c>
      <c r="O2941" t="s">
        <v>3032</v>
      </c>
      <c r="P2941" t="s">
        <v>21</v>
      </c>
      <c r="Q2941">
        <v>835.02897727272727</v>
      </c>
      <c r="R2941">
        <f ca="1">YEAR(TODAY())-Table1[[#This Row],[Year Built]]</f>
        <v>49</v>
      </c>
      <c r="S2941" t="str">
        <f>IF(Table1[[#This Row],[Days on Market]] &lt; 30,"Fast",IF(Table1[[#This Row],[Days on Market]]&lt;= 90,"Average", "Slow"))</f>
        <v>Average</v>
      </c>
      <c r="T2941" t="str">
        <f>IF(Table1[[#This Row],[Price2]]&lt;500000,"Affordable",IF(Table1[[#This Row],[Price2]]&lt;1000000,"Mid range","Luxury"))</f>
        <v>Luxury</v>
      </c>
    </row>
    <row r="2942" spans="1:20" x14ac:dyDescent="0.35">
      <c r="A2942" s="3">
        <v>1469707</v>
      </c>
      <c r="B2942" s="2" t="s">
        <v>17</v>
      </c>
      <c r="C2942">
        <v>44244</v>
      </c>
      <c r="D2942" s="2" t="s">
        <v>29</v>
      </c>
      <c r="E2942">
        <v>6</v>
      </c>
      <c r="F2942">
        <v>1</v>
      </c>
      <c r="G2942" s="4">
        <f>VALUE(SUBSTITUTE(SUBSTITUTE(Table1[[#This Row],[Price]],"$",""),",",""))</f>
        <v>1469707</v>
      </c>
      <c r="H2942" s="1">
        <f>Table1[[#This Row],[Price2]]/Table1[[#This Row],[Area]]</f>
        <v>1013.5910344827586</v>
      </c>
      <c r="I2942">
        <v>1450</v>
      </c>
      <c r="J2942">
        <v>2020</v>
      </c>
      <c r="K2942">
        <v>91</v>
      </c>
      <c r="L2942" t="s">
        <v>19</v>
      </c>
      <c r="M2942" t="s">
        <v>1009</v>
      </c>
      <c r="N2942" s="2" t="s">
        <v>3029</v>
      </c>
      <c r="O2942" t="s">
        <v>3030</v>
      </c>
      <c r="P2942" t="s">
        <v>21</v>
      </c>
      <c r="Q2942">
        <v>1013.5910344827586</v>
      </c>
      <c r="R2942">
        <f ca="1">YEAR(TODAY())-Table1[[#This Row],[Year Built]]</f>
        <v>6</v>
      </c>
      <c r="S2942" t="str">
        <f>IF(Table1[[#This Row],[Days on Market]] &lt; 30,"Fast",IF(Table1[[#This Row],[Days on Market]]&lt;= 90,"Average", "Slow"))</f>
        <v>Slow</v>
      </c>
      <c r="T2942" t="str">
        <f>IF(Table1[[#This Row],[Price2]]&lt;500000,"Affordable",IF(Table1[[#This Row],[Price2]]&lt;1000000,"Mid range","Luxury"))</f>
        <v>Luxury</v>
      </c>
    </row>
    <row r="2943" spans="1:20" x14ac:dyDescent="0.35">
      <c r="A2943" s="3">
        <v>1470452</v>
      </c>
      <c r="B2943" s="2" t="s">
        <v>27</v>
      </c>
      <c r="C2943">
        <v>81900</v>
      </c>
      <c r="D2943" s="2" t="s">
        <v>35</v>
      </c>
      <c r="E2943">
        <v>4</v>
      </c>
      <c r="F2943">
        <v>4</v>
      </c>
      <c r="G2943" s="4">
        <f>VALUE(SUBSTITUTE(SUBSTITUTE(Table1[[#This Row],[Price]],"$",""),",",""))</f>
        <v>1470452</v>
      </c>
      <c r="H2943" s="1">
        <f>Table1[[#This Row],[Price2]]/Table1[[#This Row],[Area]]</f>
        <v>621.23024926066751</v>
      </c>
      <c r="I2943">
        <v>2367</v>
      </c>
      <c r="J2943">
        <v>2021</v>
      </c>
      <c r="K2943">
        <v>18</v>
      </c>
      <c r="L2943" t="s">
        <v>14</v>
      </c>
      <c r="M2943" t="s">
        <v>612</v>
      </c>
      <c r="N2943" s="2" t="s">
        <v>3035</v>
      </c>
      <c r="O2943" t="s">
        <v>3036</v>
      </c>
      <c r="P2943" t="s">
        <v>26</v>
      </c>
      <c r="Q2943">
        <v>621.23024926066751</v>
      </c>
      <c r="R2943">
        <f ca="1">YEAR(TODAY())-Table1[[#This Row],[Year Built]]</f>
        <v>5</v>
      </c>
      <c r="S2943" t="str">
        <f>IF(Table1[[#This Row],[Days on Market]] &lt; 30,"Fast",IF(Table1[[#This Row],[Days on Market]]&lt;= 90,"Average", "Slow"))</f>
        <v>Fast</v>
      </c>
      <c r="T2943" t="str">
        <f>IF(Table1[[#This Row],[Price2]]&lt;500000,"Affordable",IF(Table1[[#This Row],[Price2]]&lt;1000000,"Mid range","Luxury"))</f>
        <v>Luxury</v>
      </c>
    </row>
    <row r="2944" spans="1:20" x14ac:dyDescent="0.35">
      <c r="A2944" s="3">
        <v>1470553</v>
      </c>
      <c r="B2944" s="2" t="s">
        <v>12</v>
      </c>
      <c r="C2944">
        <v>46459</v>
      </c>
      <c r="D2944" s="2" t="s">
        <v>35</v>
      </c>
      <c r="E2944">
        <v>5</v>
      </c>
      <c r="F2944">
        <v>2</v>
      </c>
      <c r="G2944" s="4">
        <f>VALUE(SUBSTITUTE(SUBSTITUTE(Table1[[#This Row],[Price]],"$",""),",",""))</f>
        <v>1470553</v>
      </c>
      <c r="H2944" s="1">
        <f>Table1[[#This Row],[Price2]]/Table1[[#This Row],[Area]]</f>
        <v>662.11301215668618</v>
      </c>
      <c r="I2944">
        <v>2221</v>
      </c>
      <c r="J2944">
        <v>1982</v>
      </c>
      <c r="K2944">
        <v>25</v>
      </c>
      <c r="L2944" t="s">
        <v>30</v>
      </c>
      <c r="M2944" t="s">
        <v>2892</v>
      </c>
      <c r="N2944" s="2" t="s">
        <v>3029</v>
      </c>
      <c r="O2944" t="s">
        <v>3030</v>
      </c>
      <c r="P2944" t="s">
        <v>26</v>
      </c>
      <c r="Q2944">
        <v>662.11301215668618</v>
      </c>
      <c r="R2944">
        <f ca="1">YEAR(TODAY())-Table1[[#This Row],[Year Built]]</f>
        <v>44</v>
      </c>
      <c r="S2944" t="str">
        <f>IF(Table1[[#This Row],[Days on Market]] &lt; 30,"Fast",IF(Table1[[#This Row],[Days on Market]]&lt;= 90,"Average", "Slow"))</f>
        <v>Fast</v>
      </c>
      <c r="T2944" t="str">
        <f>IF(Table1[[#This Row],[Price2]]&lt;500000,"Affordable",IF(Table1[[#This Row],[Price2]]&lt;1000000,"Mid range","Luxury"))</f>
        <v>Luxury</v>
      </c>
    </row>
    <row r="2945" spans="1:20" x14ac:dyDescent="0.35">
      <c r="A2945" s="3">
        <v>1470699</v>
      </c>
      <c r="B2945" s="2" t="s">
        <v>12</v>
      </c>
      <c r="C2945">
        <v>29047</v>
      </c>
      <c r="D2945" s="2" t="s">
        <v>13</v>
      </c>
      <c r="E2945">
        <v>2</v>
      </c>
      <c r="F2945">
        <v>4</v>
      </c>
      <c r="G2945" s="4">
        <f>VALUE(SUBSTITUTE(SUBSTITUTE(Table1[[#This Row],[Price]],"$",""),",",""))</f>
        <v>1470699</v>
      </c>
      <c r="H2945" s="1">
        <f>Table1[[#This Row],[Price2]]/Table1[[#This Row],[Area]]</f>
        <v>649.02868490732567</v>
      </c>
      <c r="I2945">
        <v>2266</v>
      </c>
      <c r="J2945">
        <v>2011</v>
      </c>
      <c r="K2945">
        <v>95</v>
      </c>
      <c r="L2945" t="s">
        <v>30</v>
      </c>
      <c r="M2945" t="s">
        <v>1873</v>
      </c>
      <c r="N2945" s="2" t="s">
        <v>3033</v>
      </c>
      <c r="O2945" t="s">
        <v>3034</v>
      </c>
      <c r="P2945" t="s">
        <v>21</v>
      </c>
      <c r="Q2945">
        <v>649.02868490732567</v>
      </c>
      <c r="R2945">
        <f ca="1">YEAR(TODAY())-Table1[[#This Row],[Year Built]]</f>
        <v>15</v>
      </c>
      <c r="S2945" t="str">
        <f>IF(Table1[[#This Row],[Days on Market]] &lt; 30,"Fast",IF(Table1[[#This Row],[Days on Market]]&lt;= 90,"Average", "Slow"))</f>
        <v>Slow</v>
      </c>
      <c r="T2945" t="str">
        <f>IF(Table1[[#This Row],[Price2]]&lt;500000,"Affordable",IF(Table1[[#This Row],[Price2]]&lt;1000000,"Mid range","Luxury"))</f>
        <v>Luxury</v>
      </c>
    </row>
    <row r="2946" spans="1:20" x14ac:dyDescent="0.35">
      <c r="A2946" s="3">
        <v>1470886</v>
      </c>
      <c r="B2946" s="2" t="s">
        <v>12</v>
      </c>
      <c r="C2946">
        <v>61819</v>
      </c>
      <c r="D2946" s="2" t="s">
        <v>29</v>
      </c>
      <c r="E2946">
        <v>1</v>
      </c>
      <c r="F2946">
        <v>3</v>
      </c>
      <c r="G2946" s="4">
        <f>VALUE(SUBSTITUTE(SUBSTITUTE(Table1[[#This Row],[Price]],"$",""),",",""))</f>
        <v>1470886</v>
      </c>
      <c r="H2946" s="1">
        <f>Table1[[#This Row],[Price2]]/Table1[[#This Row],[Area]]</f>
        <v>554.00602636534836</v>
      </c>
      <c r="I2946">
        <v>2655</v>
      </c>
      <c r="J2946">
        <v>2014</v>
      </c>
      <c r="K2946">
        <v>113</v>
      </c>
      <c r="L2946" t="s">
        <v>30</v>
      </c>
      <c r="M2946" t="s">
        <v>2899</v>
      </c>
      <c r="N2946" s="2" t="s">
        <v>3035</v>
      </c>
      <c r="O2946" t="s">
        <v>3036</v>
      </c>
      <c r="P2946" t="s">
        <v>21</v>
      </c>
      <c r="Q2946">
        <v>554.00602636534836</v>
      </c>
      <c r="R2946">
        <f ca="1">YEAR(TODAY())-Table1[[#This Row],[Year Built]]</f>
        <v>12</v>
      </c>
      <c r="S2946" t="str">
        <f>IF(Table1[[#This Row],[Days on Market]] &lt; 30,"Fast",IF(Table1[[#This Row],[Days on Market]]&lt;= 90,"Average", "Slow"))</f>
        <v>Slow</v>
      </c>
      <c r="T2946" t="str">
        <f>IF(Table1[[#This Row],[Price2]]&lt;500000,"Affordable",IF(Table1[[#This Row],[Price2]]&lt;1000000,"Mid range","Luxury"))</f>
        <v>Luxury</v>
      </c>
    </row>
    <row r="2947" spans="1:20" x14ac:dyDescent="0.35">
      <c r="A2947" s="3">
        <v>1471135</v>
      </c>
      <c r="B2947" s="2" t="s">
        <v>12</v>
      </c>
      <c r="C2947">
        <v>49096</v>
      </c>
      <c r="D2947" s="2" t="s">
        <v>18</v>
      </c>
      <c r="E2947">
        <v>1</v>
      </c>
      <c r="F2947">
        <v>4</v>
      </c>
      <c r="G2947" s="4">
        <f>VALUE(SUBSTITUTE(SUBSTITUTE(Table1[[#This Row],[Price]],"$",""),",",""))</f>
        <v>1471135</v>
      </c>
      <c r="H2947" s="1">
        <f>Table1[[#This Row],[Price2]]/Table1[[#This Row],[Area]]</f>
        <v>425.7988422575977</v>
      </c>
      <c r="I2947">
        <v>3455</v>
      </c>
      <c r="J2947">
        <v>1982</v>
      </c>
      <c r="K2947">
        <v>3</v>
      </c>
      <c r="L2947" t="s">
        <v>19</v>
      </c>
      <c r="M2947" t="s">
        <v>2909</v>
      </c>
      <c r="N2947" s="2" t="s">
        <v>3035</v>
      </c>
      <c r="O2947" t="s">
        <v>3036</v>
      </c>
      <c r="P2947" t="s">
        <v>21</v>
      </c>
      <c r="Q2947">
        <v>425.7988422575977</v>
      </c>
      <c r="R2947">
        <f ca="1">YEAR(TODAY())-Table1[[#This Row],[Year Built]]</f>
        <v>44</v>
      </c>
      <c r="S2947" t="str">
        <f>IF(Table1[[#This Row],[Days on Market]] &lt; 30,"Fast",IF(Table1[[#This Row],[Days on Market]]&lt;= 90,"Average", "Slow"))</f>
        <v>Fast</v>
      </c>
      <c r="T2947" t="str">
        <f>IF(Table1[[#This Row],[Price2]]&lt;500000,"Affordable",IF(Table1[[#This Row],[Price2]]&lt;1000000,"Mid range","Luxury"))</f>
        <v>Luxury</v>
      </c>
    </row>
    <row r="2948" spans="1:20" x14ac:dyDescent="0.35">
      <c r="A2948" s="3">
        <v>1471246</v>
      </c>
      <c r="B2948" s="2" t="s">
        <v>34</v>
      </c>
      <c r="C2948">
        <v>71698</v>
      </c>
      <c r="D2948" s="2" t="s">
        <v>35</v>
      </c>
      <c r="E2948">
        <v>4</v>
      </c>
      <c r="F2948">
        <v>4</v>
      </c>
      <c r="G2948" s="4">
        <f>VALUE(SUBSTITUTE(SUBSTITUTE(Table1[[#This Row],[Price]],"$",""),",",""))</f>
        <v>1471246</v>
      </c>
      <c r="H2948" s="1">
        <f>Table1[[#This Row],[Price2]]/Table1[[#This Row],[Area]]</f>
        <v>374.36284987277355</v>
      </c>
      <c r="I2948">
        <v>3930</v>
      </c>
      <c r="J2948">
        <v>1992</v>
      </c>
      <c r="K2948">
        <v>71</v>
      </c>
      <c r="L2948" t="s">
        <v>30</v>
      </c>
      <c r="M2948" t="s">
        <v>238</v>
      </c>
      <c r="N2948" s="2" t="s">
        <v>3029</v>
      </c>
      <c r="O2948" t="s">
        <v>3030</v>
      </c>
      <c r="P2948" t="s">
        <v>16</v>
      </c>
      <c r="Q2948">
        <v>374.36284987277355</v>
      </c>
      <c r="R2948">
        <f ca="1">YEAR(TODAY())-Table1[[#This Row],[Year Built]]</f>
        <v>34</v>
      </c>
      <c r="S2948" t="str">
        <f>IF(Table1[[#This Row],[Days on Market]] &lt; 30,"Fast",IF(Table1[[#This Row],[Days on Market]]&lt;= 90,"Average", "Slow"))</f>
        <v>Average</v>
      </c>
      <c r="T2948" t="str">
        <f>IF(Table1[[#This Row],[Price2]]&lt;500000,"Affordable",IF(Table1[[#This Row],[Price2]]&lt;1000000,"Mid range","Luxury"))</f>
        <v>Luxury</v>
      </c>
    </row>
    <row r="2949" spans="1:20" x14ac:dyDescent="0.35">
      <c r="A2949" s="3">
        <v>1471386</v>
      </c>
      <c r="B2949" s="2" t="s">
        <v>27</v>
      </c>
      <c r="C2949">
        <v>28501</v>
      </c>
      <c r="D2949" s="2" t="s">
        <v>18</v>
      </c>
      <c r="E2949">
        <v>2</v>
      </c>
      <c r="F2949">
        <v>4</v>
      </c>
      <c r="G2949" s="4">
        <f>VALUE(SUBSTITUTE(SUBSTITUTE(Table1[[#This Row],[Price]],"$",""),",",""))</f>
        <v>1471386</v>
      </c>
      <c r="H2949" s="1">
        <f>Table1[[#This Row],[Price2]]/Table1[[#This Row],[Area]]</f>
        <v>2365.572347266881</v>
      </c>
      <c r="I2949">
        <v>622</v>
      </c>
      <c r="J2949">
        <v>1992</v>
      </c>
      <c r="K2949">
        <v>84</v>
      </c>
      <c r="L2949" t="s">
        <v>52</v>
      </c>
      <c r="M2949" t="s">
        <v>511</v>
      </c>
      <c r="N2949" s="2" t="s">
        <v>3033</v>
      </c>
      <c r="O2949" t="s">
        <v>3034</v>
      </c>
      <c r="P2949" t="s">
        <v>26</v>
      </c>
      <c r="Q2949">
        <v>2365.572347266881</v>
      </c>
      <c r="R2949">
        <f ca="1">YEAR(TODAY())-Table1[[#This Row],[Year Built]]</f>
        <v>34</v>
      </c>
      <c r="S2949" t="str">
        <f>IF(Table1[[#This Row],[Days on Market]] &lt; 30,"Fast",IF(Table1[[#This Row],[Days on Market]]&lt;= 90,"Average", "Slow"))</f>
        <v>Average</v>
      </c>
      <c r="T2949" t="str">
        <f>IF(Table1[[#This Row],[Price2]]&lt;500000,"Affordable",IF(Table1[[#This Row],[Price2]]&lt;1000000,"Mid range","Luxury"))</f>
        <v>Luxury</v>
      </c>
    </row>
    <row r="2950" spans="1:20" x14ac:dyDescent="0.35">
      <c r="A2950" s="3">
        <v>1472070</v>
      </c>
      <c r="B2950" s="2" t="s">
        <v>12</v>
      </c>
      <c r="C2950">
        <v>10238</v>
      </c>
      <c r="D2950" s="2" t="s">
        <v>13</v>
      </c>
      <c r="E2950">
        <v>2</v>
      </c>
      <c r="F2950">
        <v>4</v>
      </c>
      <c r="G2950" s="4">
        <f>VALUE(SUBSTITUTE(SUBSTITUTE(Table1[[#This Row],[Price]],"$",""),",",""))</f>
        <v>1472070</v>
      </c>
      <c r="H2950" s="1">
        <f>Table1[[#This Row],[Price2]]/Table1[[#This Row],[Area]]</f>
        <v>950.94961240310079</v>
      </c>
      <c r="I2950">
        <v>1548</v>
      </c>
      <c r="J2950">
        <v>1984</v>
      </c>
      <c r="K2950">
        <v>71</v>
      </c>
      <c r="L2950" t="s">
        <v>40</v>
      </c>
      <c r="M2950" t="s">
        <v>375</v>
      </c>
      <c r="N2950" s="2" t="s">
        <v>3027</v>
      </c>
      <c r="O2950" t="s">
        <v>3028</v>
      </c>
      <c r="P2950" t="s">
        <v>16</v>
      </c>
      <c r="Q2950">
        <v>950.94961240310079</v>
      </c>
      <c r="R2950">
        <f ca="1">YEAR(TODAY())-Table1[[#This Row],[Year Built]]</f>
        <v>42</v>
      </c>
      <c r="S2950" t="str">
        <f>IF(Table1[[#This Row],[Days on Market]] &lt; 30,"Fast",IF(Table1[[#This Row],[Days on Market]]&lt;= 90,"Average", "Slow"))</f>
        <v>Average</v>
      </c>
      <c r="T2950" t="str">
        <f>IF(Table1[[#This Row],[Price2]]&lt;500000,"Affordable",IF(Table1[[#This Row],[Price2]]&lt;1000000,"Mid range","Luxury"))</f>
        <v>Luxury</v>
      </c>
    </row>
    <row r="2951" spans="1:20" x14ac:dyDescent="0.35">
      <c r="A2951" s="3">
        <v>1472375</v>
      </c>
      <c r="B2951" s="2" t="s">
        <v>17</v>
      </c>
      <c r="C2951">
        <v>59919</v>
      </c>
      <c r="D2951" s="2" t="s">
        <v>13</v>
      </c>
      <c r="E2951">
        <v>1</v>
      </c>
      <c r="F2951">
        <v>1</v>
      </c>
      <c r="G2951" s="4">
        <f>VALUE(SUBSTITUTE(SUBSTITUTE(Table1[[#This Row],[Price]],"$",""),",",""))</f>
        <v>1472375</v>
      </c>
      <c r="H2951" s="1">
        <f>Table1[[#This Row],[Price2]]/Table1[[#This Row],[Area]]</f>
        <v>1038.3462623413259</v>
      </c>
      <c r="I2951">
        <v>1418</v>
      </c>
      <c r="J2951">
        <v>1962</v>
      </c>
      <c r="K2951">
        <v>110</v>
      </c>
      <c r="L2951" t="s">
        <v>14</v>
      </c>
      <c r="M2951" t="s">
        <v>876</v>
      </c>
      <c r="N2951" s="2" t="s">
        <v>3027</v>
      </c>
      <c r="O2951" t="s">
        <v>3028</v>
      </c>
      <c r="P2951" t="s">
        <v>21</v>
      </c>
      <c r="Q2951">
        <v>1038.3462623413259</v>
      </c>
      <c r="R2951">
        <f ca="1">YEAR(TODAY())-Table1[[#This Row],[Year Built]]</f>
        <v>64</v>
      </c>
      <c r="S2951" t="str">
        <f>IF(Table1[[#This Row],[Days on Market]] &lt; 30,"Fast",IF(Table1[[#This Row],[Days on Market]]&lt;= 90,"Average", "Slow"))</f>
        <v>Slow</v>
      </c>
      <c r="T2951" t="str">
        <f>IF(Table1[[#This Row],[Price2]]&lt;500000,"Affordable",IF(Table1[[#This Row],[Price2]]&lt;1000000,"Mid range","Luxury"))</f>
        <v>Luxury</v>
      </c>
    </row>
    <row r="2952" spans="1:20" x14ac:dyDescent="0.35">
      <c r="A2952" s="3">
        <v>1472458</v>
      </c>
      <c r="B2952" s="2" t="s">
        <v>17</v>
      </c>
      <c r="C2952">
        <v>76431</v>
      </c>
      <c r="D2952" s="2" t="s">
        <v>18</v>
      </c>
      <c r="E2952">
        <v>4</v>
      </c>
      <c r="F2952">
        <v>1</v>
      </c>
      <c r="G2952" s="4">
        <f>VALUE(SUBSTITUTE(SUBSTITUTE(Table1[[#This Row],[Price]],"$",""),",",""))</f>
        <v>1472458</v>
      </c>
      <c r="H2952" s="1">
        <f>Table1[[#This Row],[Price2]]/Table1[[#This Row],[Area]]</f>
        <v>689.67587822014048</v>
      </c>
      <c r="I2952">
        <v>2135</v>
      </c>
      <c r="J2952">
        <v>1981</v>
      </c>
      <c r="K2952">
        <v>119</v>
      </c>
      <c r="L2952" t="s">
        <v>14</v>
      </c>
      <c r="M2952" t="s">
        <v>421</v>
      </c>
      <c r="N2952" s="2" t="s">
        <v>3029</v>
      </c>
      <c r="O2952" t="s">
        <v>3030</v>
      </c>
      <c r="P2952" t="s">
        <v>21</v>
      </c>
      <c r="Q2952">
        <v>689.67587822014048</v>
      </c>
      <c r="R2952">
        <f ca="1">YEAR(TODAY())-Table1[[#This Row],[Year Built]]</f>
        <v>45</v>
      </c>
      <c r="S2952" t="str">
        <f>IF(Table1[[#This Row],[Days on Market]] &lt; 30,"Fast",IF(Table1[[#This Row],[Days on Market]]&lt;= 90,"Average", "Slow"))</f>
        <v>Slow</v>
      </c>
      <c r="T2952" t="str">
        <f>IF(Table1[[#This Row],[Price2]]&lt;500000,"Affordable",IF(Table1[[#This Row],[Price2]]&lt;1000000,"Mid range","Luxury"))</f>
        <v>Luxury</v>
      </c>
    </row>
    <row r="2953" spans="1:20" x14ac:dyDescent="0.35">
      <c r="A2953" s="3">
        <v>1472476</v>
      </c>
      <c r="B2953" s="2" t="s">
        <v>34</v>
      </c>
      <c r="C2953">
        <v>77074</v>
      </c>
      <c r="D2953" s="2" t="s">
        <v>35</v>
      </c>
      <c r="E2953">
        <v>2</v>
      </c>
      <c r="F2953">
        <v>2</v>
      </c>
      <c r="G2953" s="4">
        <f>VALUE(SUBSTITUTE(SUBSTITUTE(Table1[[#This Row],[Price]],"$",""),",",""))</f>
        <v>1472476</v>
      </c>
      <c r="H2953" s="1">
        <f>Table1[[#This Row],[Price2]]/Table1[[#This Row],[Area]]</f>
        <v>491.31664998331667</v>
      </c>
      <c r="I2953">
        <v>2997</v>
      </c>
      <c r="J2953">
        <v>1957</v>
      </c>
      <c r="K2953">
        <v>111</v>
      </c>
      <c r="L2953" t="s">
        <v>52</v>
      </c>
      <c r="M2953" t="s">
        <v>295</v>
      </c>
      <c r="N2953" s="2" t="s">
        <v>3035</v>
      </c>
      <c r="O2953" t="s">
        <v>3036</v>
      </c>
      <c r="P2953" t="s">
        <v>21</v>
      </c>
      <c r="Q2953">
        <v>491.31664998331667</v>
      </c>
      <c r="R2953">
        <f ca="1">YEAR(TODAY())-Table1[[#This Row],[Year Built]]</f>
        <v>69</v>
      </c>
      <c r="S2953" t="str">
        <f>IF(Table1[[#This Row],[Days on Market]] &lt; 30,"Fast",IF(Table1[[#This Row],[Days on Market]]&lt;= 90,"Average", "Slow"))</f>
        <v>Slow</v>
      </c>
      <c r="T2953" t="str">
        <f>IF(Table1[[#This Row],[Price2]]&lt;500000,"Affordable",IF(Table1[[#This Row],[Price2]]&lt;1000000,"Mid range","Luxury"))</f>
        <v>Luxury</v>
      </c>
    </row>
    <row r="2954" spans="1:20" x14ac:dyDescent="0.35">
      <c r="A2954" s="3">
        <v>1472857</v>
      </c>
      <c r="B2954" s="2" t="s">
        <v>17</v>
      </c>
      <c r="C2954">
        <v>97893</v>
      </c>
      <c r="D2954" s="2" t="s">
        <v>35</v>
      </c>
      <c r="E2954">
        <v>6</v>
      </c>
      <c r="F2954">
        <v>3</v>
      </c>
      <c r="G2954" s="4">
        <f>VALUE(SUBSTITUTE(SUBSTITUTE(Table1[[#This Row],[Price]],"$",""),",",""))</f>
        <v>1472857</v>
      </c>
      <c r="H2954" s="1">
        <f>Table1[[#This Row],[Price2]]/Table1[[#This Row],[Area]]</f>
        <v>1093.4350408314774</v>
      </c>
      <c r="I2954">
        <v>1347</v>
      </c>
      <c r="J2954">
        <v>2001</v>
      </c>
      <c r="K2954">
        <v>95</v>
      </c>
      <c r="L2954" t="s">
        <v>19</v>
      </c>
      <c r="M2954" t="s">
        <v>1468</v>
      </c>
      <c r="N2954" s="2" t="s">
        <v>3035</v>
      </c>
      <c r="O2954" t="s">
        <v>3036</v>
      </c>
      <c r="P2954" t="s">
        <v>21</v>
      </c>
      <c r="Q2954">
        <v>1093.4350408314774</v>
      </c>
      <c r="R2954">
        <f ca="1">YEAR(TODAY())-Table1[[#This Row],[Year Built]]</f>
        <v>25</v>
      </c>
      <c r="S2954" t="str">
        <f>IF(Table1[[#This Row],[Days on Market]] &lt; 30,"Fast",IF(Table1[[#This Row],[Days on Market]]&lt;= 90,"Average", "Slow"))</f>
        <v>Slow</v>
      </c>
      <c r="T2954" t="str">
        <f>IF(Table1[[#This Row],[Price2]]&lt;500000,"Affordable",IF(Table1[[#This Row],[Price2]]&lt;1000000,"Mid range","Luxury"))</f>
        <v>Luxury</v>
      </c>
    </row>
    <row r="2955" spans="1:20" x14ac:dyDescent="0.35">
      <c r="A2955" s="3">
        <v>1474045</v>
      </c>
      <c r="B2955" s="2" t="s">
        <v>27</v>
      </c>
      <c r="C2955">
        <v>15134</v>
      </c>
      <c r="D2955" s="2" t="s">
        <v>35</v>
      </c>
      <c r="E2955">
        <v>2</v>
      </c>
      <c r="F2955">
        <v>4</v>
      </c>
      <c r="G2955" s="4">
        <f>VALUE(SUBSTITUTE(SUBSTITUTE(Table1[[#This Row],[Price]],"$",""),",",""))</f>
        <v>1474045</v>
      </c>
      <c r="H2955" s="1">
        <f>Table1[[#This Row],[Price2]]/Table1[[#This Row],[Area]]</f>
        <v>486.32299571098645</v>
      </c>
      <c r="I2955">
        <v>3031</v>
      </c>
      <c r="J2955">
        <v>1982</v>
      </c>
      <c r="K2955">
        <v>89</v>
      </c>
      <c r="L2955" t="s">
        <v>52</v>
      </c>
      <c r="M2955" t="s">
        <v>356</v>
      </c>
      <c r="N2955" s="2" t="s">
        <v>3031</v>
      </c>
      <c r="O2955" t="s">
        <v>3032</v>
      </c>
      <c r="P2955" t="s">
        <v>21</v>
      </c>
      <c r="Q2955">
        <v>486.32299571098645</v>
      </c>
      <c r="R2955">
        <f ca="1">YEAR(TODAY())-Table1[[#This Row],[Year Built]]</f>
        <v>44</v>
      </c>
      <c r="S2955" t="str">
        <f>IF(Table1[[#This Row],[Days on Market]] &lt; 30,"Fast",IF(Table1[[#This Row],[Days on Market]]&lt;= 90,"Average", "Slow"))</f>
        <v>Average</v>
      </c>
      <c r="T2955" t="str">
        <f>IF(Table1[[#This Row],[Price2]]&lt;500000,"Affordable",IF(Table1[[#This Row],[Price2]]&lt;1000000,"Mid range","Luxury"))</f>
        <v>Luxury</v>
      </c>
    </row>
    <row r="2956" spans="1:20" x14ac:dyDescent="0.35">
      <c r="A2956" s="3">
        <v>1474934</v>
      </c>
      <c r="B2956" s="2" t="s">
        <v>27</v>
      </c>
      <c r="C2956">
        <v>83219</v>
      </c>
      <c r="D2956" s="2" t="s">
        <v>13</v>
      </c>
      <c r="E2956">
        <v>4</v>
      </c>
      <c r="F2956">
        <v>3</v>
      </c>
      <c r="G2956" s="4">
        <f>VALUE(SUBSTITUTE(SUBSTITUTE(Table1[[#This Row],[Price]],"$",""),",",""))</f>
        <v>1474934</v>
      </c>
      <c r="H2956" s="1">
        <f>Table1[[#This Row],[Price2]]/Table1[[#This Row],[Area]]</f>
        <v>403.31802023516542</v>
      </c>
      <c r="I2956">
        <v>3657</v>
      </c>
      <c r="J2956">
        <v>2012</v>
      </c>
      <c r="K2956">
        <v>21</v>
      </c>
      <c r="L2956" t="s">
        <v>30</v>
      </c>
      <c r="M2956" t="s">
        <v>2613</v>
      </c>
      <c r="N2956" s="2" t="s">
        <v>3027</v>
      </c>
      <c r="O2956" t="s">
        <v>3028</v>
      </c>
      <c r="P2956" t="s">
        <v>26</v>
      </c>
      <c r="Q2956">
        <v>403.31802023516542</v>
      </c>
      <c r="R2956">
        <f ca="1">YEAR(TODAY())-Table1[[#This Row],[Year Built]]</f>
        <v>14</v>
      </c>
      <c r="S2956" t="str">
        <f>IF(Table1[[#This Row],[Days on Market]] &lt; 30,"Fast",IF(Table1[[#This Row],[Days on Market]]&lt;= 90,"Average", "Slow"))</f>
        <v>Fast</v>
      </c>
      <c r="T2956" t="str">
        <f>IF(Table1[[#This Row],[Price2]]&lt;500000,"Affordable",IF(Table1[[#This Row],[Price2]]&lt;1000000,"Mid range","Luxury"))</f>
        <v>Luxury</v>
      </c>
    </row>
    <row r="2957" spans="1:20" x14ac:dyDescent="0.35">
      <c r="A2957" s="3">
        <v>1475870</v>
      </c>
      <c r="B2957" s="2" t="s">
        <v>12</v>
      </c>
      <c r="C2957">
        <v>87954</v>
      </c>
      <c r="D2957" s="2" t="s">
        <v>29</v>
      </c>
      <c r="E2957">
        <v>3</v>
      </c>
      <c r="F2957">
        <v>2</v>
      </c>
      <c r="G2957" s="4">
        <f>VALUE(SUBSTITUTE(SUBSTITUTE(Table1[[#This Row],[Price]],"$",""),",",""))</f>
        <v>1475870</v>
      </c>
      <c r="H2957" s="1">
        <f>Table1[[#This Row],[Price2]]/Table1[[#This Row],[Area]]</f>
        <v>903.22521419828638</v>
      </c>
      <c r="I2957">
        <v>1634</v>
      </c>
      <c r="J2957">
        <v>2001</v>
      </c>
      <c r="K2957">
        <v>109</v>
      </c>
      <c r="L2957" t="s">
        <v>14</v>
      </c>
      <c r="M2957" t="s">
        <v>2692</v>
      </c>
      <c r="N2957" s="2" t="s">
        <v>3031</v>
      </c>
      <c r="O2957" t="s">
        <v>3032</v>
      </c>
      <c r="P2957" t="s">
        <v>26</v>
      </c>
      <c r="Q2957">
        <v>903.22521419828638</v>
      </c>
      <c r="R2957">
        <f ca="1">YEAR(TODAY())-Table1[[#This Row],[Year Built]]</f>
        <v>25</v>
      </c>
      <c r="S2957" t="str">
        <f>IF(Table1[[#This Row],[Days on Market]] &lt; 30,"Fast",IF(Table1[[#This Row],[Days on Market]]&lt;= 90,"Average", "Slow"))</f>
        <v>Slow</v>
      </c>
      <c r="T2957" t="str">
        <f>IF(Table1[[#This Row],[Price2]]&lt;500000,"Affordable",IF(Table1[[#This Row],[Price2]]&lt;1000000,"Mid range","Luxury"))</f>
        <v>Luxury</v>
      </c>
    </row>
    <row r="2958" spans="1:20" x14ac:dyDescent="0.35">
      <c r="A2958" s="3">
        <v>1476212</v>
      </c>
      <c r="B2958" s="2" t="s">
        <v>27</v>
      </c>
      <c r="C2958">
        <v>36915</v>
      </c>
      <c r="D2958" s="2" t="s">
        <v>13</v>
      </c>
      <c r="E2958">
        <v>2</v>
      </c>
      <c r="F2958">
        <v>3</v>
      </c>
      <c r="G2958" s="4">
        <f>VALUE(SUBSTITUTE(SUBSTITUTE(Table1[[#This Row],[Price]],"$",""),",",""))</f>
        <v>1476212</v>
      </c>
      <c r="H2958" s="1">
        <f>Table1[[#This Row],[Price2]]/Table1[[#This Row],[Area]]</f>
        <v>1000.1436314363143</v>
      </c>
      <c r="I2958">
        <v>1476</v>
      </c>
      <c r="J2958">
        <v>1979</v>
      </c>
      <c r="K2958">
        <v>71</v>
      </c>
      <c r="L2958" t="s">
        <v>40</v>
      </c>
      <c r="M2958" t="s">
        <v>1649</v>
      </c>
      <c r="N2958" s="2" t="s">
        <v>3027</v>
      </c>
      <c r="O2958" t="s">
        <v>3028</v>
      </c>
      <c r="P2958" t="s">
        <v>21</v>
      </c>
      <c r="Q2958">
        <v>1000.1436314363143</v>
      </c>
      <c r="R2958">
        <f ca="1">YEAR(TODAY())-Table1[[#This Row],[Year Built]]</f>
        <v>47</v>
      </c>
      <c r="S2958" t="str">
        <f>IF(Table1[[#This Row],[Days on Market]] &lt; 30,"Fast",IF(Table1[[#This Row],[Days on Market]]&lt;= 90,"Average", "Slow"))</f>
        <v>Average</v>
      </c>
      <c r="T2958" t="str">
        <f>IF(Table1[[#This Row],[Price2]]&lt;500000,"Affordable",IF(Table1[[#This Row],[Price2]]&lt;1000000,"Mid range","Luxury"))</f>
        <v>Luxury</v>
      </c>
    </row>
    <row r="2959" spans="1:20" x14ac:dyDescent="0.35">
      <c r="A2959" s="3">
        <v>1477408</v>
      </c>
      <c r="B2959" s="2" t="s">
        <v>12</v>
      </c>
      <c r="C2959">
        <v>18958</v>
      </c>
      <c r="D2959" s="2" t="s">
        <v>23</v>
      </c>
      <c r="E2959">
        <v>1</v>
      </c>
      <c r="F2959">
        <v>4</v>
      </c>
      <c r="G2959" s="4">
        <f>VALUE(SUBSTITUTE(SUBSTITUTE(Table1[[#This Row],[Price]],"$",""),",",""))</f>
        <v>1477408</v>
      </c>
      <c r="H2959" s="1">
        <f>Table1[[#This Row],[Price2]]/Table1[[#This Row],[Area]]</f>
        <v>850.55152561888315</v>
      </c>
      <c r="I2959">
        <v>1737</v>
      </c>
      <c r="J2959">
        <v>1980</v>
      </c>
      <c r="K2959">
        <v>110</v>
      </c>
      <c r="L2959" t="s">
        <v>40</v>
      </c>
      <c r="M2959" t="s">
        <v>2182</v>
      </c>
      <c r="N2959" s="2" t="s">
        <v>3035</v>
      </c>
      <c r="O2959" t="s">
        <v>3036</v>
      </c>
      <c r="P2959" t="s">
        <v>16</v>
      </c>
      <c r="Q2959">
        <v>850.55152561888315</v>
      </c>
      <c r="R2959">
        <f ca="1">YEAR(TODAY())-Table1[[#This Row],[Year Built]]</f>
        <v>46</v>
      </c>
      <c r="S2959" t="str">
        <f>IF(Table1[[#This Row],[Days on Market]] &lt; 30,"Fast",IF(Table1[[#This Row],[Days on Market]]&lt;= 90,"Average", "Slow"))</f>
        <v>Slow</v>
      </c>
      <c r="T2959" t="str">
        <f>IF(Table1[[#This Row],[Price2]]&lt;500000,"Affordable",IF(Table1[[#This Row],[Price2]]&lt;1000000,"Mid range","Luxury"))</f>
        <v>Luxury</v>
      </c>
    </row>
    <row r="2960" spans="1:20" x14ac:dyDescent="0.35">
      <c r="A2960" s="3">
        <v>1477628</v>
      </c>
      <c r="B2960" s="2" t="s">
        <v>27</v>
      </c>
      <c r="C2960">
        <v>79047</v>
      </c>
      <c r="D2960" s="2" t="s">
        <v>13</v>
      </c>
      <c r="E2960">
        <v>1</v>
      </c>
      <c r="F2960">
        <v>1</v>
      </c>
      <c r="G2960" s="4">
        <f>VALUE(SUBSTITUTE(SUBSTITUTE(Table1[[#This Row],[Price]],"$",""),",",""))</f>
        <v>1477628</v>
      </c>
      <c r="H2960" s="1">
        <f>Table1[[#This Row],[Price2]]/Table1[[#This Row],[Area]]</f>
        <v>716.59941804073719</v>
      </c>
      <c r="I2960">
        <v>2062</v>
      </c>
      <c r="J2960">
        <v>1956</v>
      </c>
      <c r="K2960">
        <v>69</v>
      </c>
      <c r="L2960" t="s">
        <v>52</v>
      </c>
      <c r="M2960" t="s">
        <v>446</v>
      </c>
      <c r="N2960" s="2" t="s">
        <v>3027</v>
      </c>
      <c r="O2960" t="s">
        <v>3028</v>
      </c>
      <c r="P2960" t="s">
        <v>21</v>
      </c>
      <c r="Q2960">
        <v>716.59941804073719</v>
      </c>
      <c r="R2960">
        <f ca="1">YEAR(TODAY())-Table1[[#This Row],[Year Built]]</f>
        <v>70</v>
      </c>
      <c r="S2960" t="str">
        <f>IF(Table1[[#This Row],[Days on Market]] &lt; 30,"Fast",IF(Table1[[#This Row],[Days on Market]]&lt;= 90,"Average", "Slow"))</f>
        <v>Average</v>
      </c>
      <c r="T2960" t="str">
        <f>IF(Table1[[#This Row],[Price2]]&lt;500000,"Affordable",IF(Table1[[#This Row],[Price2]]&lt;1000000,"Mid range","Luxury"))</f>
        <v>Luxury</v>
      </c>
    </row>
    <row r="2961" spans="1:20" x14ac:dyDescent="0.35">
      <c r="A2961" s="3">
        <v>1477906</v>
      </c>
      <c r="B2961" s="2" t="s">
        <v>17</v>
      </c>
      <c r="C2961">
        <v>36635</v>
      </c>
      <c r="D2961" s="2" t="s">
        <v>35</v>
      </c>
      <c r="E2961">
        <v>2</v>
      </c>
      <c r="F2961">
        <v>3</v>
      </c>
      <c r="G2961" s="4">
        <f>VALUE(SUBSTITUTE(SUBSTITUTE(Table1[[#This Row],[Price]],"$",""),",",""))</f>
        <v>1477906</v>
      </c>
      <c r="H2961" s="1">
        <f>Table1[[#This Row],[Price2]]/Table1[[#This Row],[Area]]</f>
        <v>647.35260621988607</v>
      </c>
      <c r="I2961">
        <v>2283</v>
      </c>
      <c r="J2961">
        <v>2009</v>
      </c>
      <c r="K2961">
        <v>43</v>
      </c>
      <c r="L2961" t="s">
        <v>30</v>
      </c>
      <c r="M2961" t="s">
        <v>1635</v>
      </c>
      <c r="N2961" s="2" t="s">
        <v>3031</v>
      </c>
      <c r="O2961" t="s">
        <v>3032</v>
      </c>
      <c r="P2961" t="s">
        <v>21</v>
      </c>
      <c r="Q2961">
        <v>647.35260621988607</v>
      </c>
      <c r="R2961">
        <f ca="1">YEAR(TODAY())-Table1[[#This Row],[Year Built]]</f>
        <v>17</v>
      </c>
      <c r="S2961" t="str">
        <f>IF(Table1[[#This Row],[Days on Market]] &lt; 30,"Fast",IF(Table1[[#This Row],[Days on Market]]&lt;= 90,"Average", "Slow"))</f>
        <v>Average</v>
      </c>
      <c r="T2961" t="str">
        <f>IF(Table1[[#This Row],[Price2]]&lt;500000,"Affordable",IF(Table1[[#This Row],[Price2]]&lt;1000000,"Mid range","Luxury"))</f>
        <v>Luxury</v>
      </c>
    </row>
    <row r="2962" spans="1:20" x14ac:dyDescent="0.35">
      <c r="A2962" s="3">
        <v>1478203</v>
      </c>
      <c r="B2962" s="2" t="s">
        <v>12</v>
      </c>
      <c r="C2962">
        <v>99061</v>
      </c>
      <c r="D2962" s="2" t="s">
        <v>35</v>
      </c>
      <c r="E2962">
        <v>2</v>
      </c>
      <c r="F2962">
        <v>4</v>
      </c>
      <c r="G2962" s="4">
        <f>VALUE(SUBSTITUTE(SUBSTITUTE(Table1[[#This Row],[Price]],"$",""),",",""))</f>
        <v>1478203</v>
      </c>
      <c r="H2962" s="1">
        <f>Table1[[#This Row],[Price2]]/Table1[[#This Row],[Area]]</f>
        <v>412.79056129572746</v>
      </c>
      <c r="I2962">
        <v>3581</v>
      </c>
      <c r="J2962">
        <v>1992</v>
      </c>
      <c r="K2962">
        <v>2</v>
      </c>
      <c r="L2962" t="s">
        <v>30</v>
      </c>
      <c r="M2962" t="s">
        <v>904</v>
      </c>
      <c r="N2962" s="2" t="s">
        <v>3027</v>
      </c>
      <c r="O2962" t="s">
        <v>3028</v>
      </c>
      <c r="P2962" t="s">
        <v>21</v>
      </c>
      <c r="Q2962">
        <v>412.79056129572746</v>
      </c>
      <c r="R2962">
        <f ca="1">YEAR(TODAY())-Table1[[#This Row],[Year Built]]</f>
        <v>34</v>
      </c>
      <c r="S2962" t="str">
        <f>IF(Table1[[#This Row],[Days on Market]] &lt; 30,"Fast",IF(Table1[[#This Row],[Days on Market]]&lt;= 90,"Average", "Slow"))</f>
        <v>Fast</v>
      </c>
      <c r="T2962" t="str">
        <f>IF(Table1[[#This Row],[Price2]]&lt;500000,"Affordable",IF(Table1[[#This Row],[Price2]]&lt;1000000,"Mid range","Luxury"))</f>
        <v>Luxury</v>
      </c>
    </row>
    <row r="2963" spans="1:20" x14ac:dyDescent="0.35">
      <c r="A2963" s="3">
        <v>1478929</v>
      </c>
      <c r="B2963" s="2" t="s">
        <v>27</v>
      </c>
      <c r="C2963">
        <v>48984</v>
      </c>
      <c r="D2963" s="2" t="s">
        <v>29</v>
      </c>
      <c r="E2963">
        <v>1</v>
      </c>
      <c r="F2963">
        <v>2</v>
      </c>
      <c r="G2963" s="4">
        <f>VALUE(SUBSTITUTE(SUBSTITUTE(Table1[[#This Row],[Price]],"$",""),",",""))</f>
        <v>1478929</v>
      </c>
      <c r="H2963" s="1">
        <f>Table1[[#This Row],[Price2]]/Table1[[#This Row],[Area]]</f>
        <v>441.33960011936733</v>
      </c>
      <c r="I2963">
        <v>3351</v>
      </c>
      <c r="J2963">
        <v>1962</v>
      </c>
      <c r="K2963">
        <v>102</v>
      </c>
      <c r="L2963" t="s">
        <v>40</v>
      </c>
      <c r="M2963" t="s">
        <v>118</v>
      </c>
      <c r="N2963" s="2" t="s">
        <v>3029</v>
      </c>
      <c r="O2963" t="s">
        <v>3030</v>
      </c>
      <c r="P2963" t="s">
        <v>21</v>
      </c>
      <c r="Q2963">
        <v>441.33960011936733</v>
      </c>
      <c r="R2963">
        <f ca="1">YEAR(TODAY())-Table1[[#This Row],[Year Built]]</f>
        <v>64</v>
      </c>
      <c r="S2963" t="str">
        <f>IF(Table1[[#This Row],[Days on Market]] &lt; 30,"Fast",IF(Table1[[#This Row],[Days on Market]]&lt;= 90,"Average", "Slow"))</f>
        <v>Slow</v>
      </c>
      <c r="T2963" t="str">
        <f>IF(Table1[[#This Row],[Price2]]&lt;500000,"Affordable",IF(Table1[[#This Row],[Price2]]&lt;1000000,"Mid range","Luxury"))</f>
        <v>Luxury</v>
      </c>
    </row>
    <row r="2964" spans="1:20" x14ac:dyDescent="0.35">
      <c r="A2964" s="3">
        <v>1479856</v>
      </c>
      <c r="B2964" s="2" t="s">
        <v>27</v>
      </c>
      <c r="C2964">
        <v>47085</v>
      </c>
      <c r="D2964" s="2" t="s">
        <v>29</v>
      </c>
      <c r="E2964">
        <v>2</v>
      </c>
      <c r="F2964">
        <v>2</v>
      </c>
      <c r="G2964" s="4">
        <f>VALUE(SUBSTITUTE(SUBSTITUTE(Table1[[#This Row],[Price]],"$",""),",",""))</f>
        <v>1479856</v>
      </c>
      <c r="H2964" s="1">
        <f>Table1[[#This Row],[Price2]]/Table1[[#This Row],[Area]]</f>
        <v>2283.7283950617284</v>
      </c>
      <c r="I2964">
        <v>648</v>
      </c>
      <c r="J2964">
        <v>2010</v>
      </c>
      <c r="K2964">
        <v>106</v>
      </c>
      <c r="L2964" t="s">
        <v>40</v>
      </c>
      <c r="M2964" t="s">
        <v>2955</v>
      </c>
      <c r="N2964" s="2" t="s">
        <v>3031</v>
      </c>
      <c r="O2964" t="s">
        <v>3032</v>
      </c>
      <c r="P2964" t="s">
        <v>21</v>
      </c>
      <c r="Q2964">
        <v>2283.7283950617284</v>
      </c>
      <c r="R2964">
        <f ca="1">YEAR(TODAY())-Table1[[#This Row],[Year Built]]</f>
        <v>16</v>
      </c>
      <c r="S2964" t="str">
        <f>IF(Table1[[#This Row],[Days on Market]] &lt; 30,"Fast",IF(Table1[[#This Row],[Days on Market]]&lt;= 90,"Average", "Slow"))</f>
        <v>Slow</v>
      </c>
      <c r="T2964" t="str">
        <f>IF(Table1[[#This Row],[Price2]]&lt;500000,"Affordable",IF(Table1[[#This Row],[Price2]]&lt;1000000,"Mid range","Luxury"))</f>
        <v>Luxury</v>
      </c>
    </row>
    <row r="2965" spans="1:20" x14ac:dyDescent="0.35">
      <c r="A2965" s="3">
        <v>1481779</v>
      </c>
      <c r="B2965" s="2" t="s">
        <v>22</v>
      </c>
      <c r="C2965">
        <v>20598</v>
      </c>
      <c r="D2965" s="2" t="s">
        <v>29</v>
      </c>
      <c r="E2965">
        <v>1</v>
      </c>
      <c r="F2965">
        <v>1</v>
      </c>
      <c r="G2965" s="4">
        <f>VALUE(SUBSTITUTE(SUBSTITUTE(Table1[[#This Row],[Price]],"$",""),",",""))</f>
        <v>1481779</v>
      </c>
      <c r="H2965" s="1">
        <f>Table1[[#This Row],[Price2]]/Table1[[#This Row],[Area]]</f>
        <v>1080.8016046681255</v>
      </c>
      <c r="I2965">
        <v>1371</v>
      </c>
      <c r="J2965">
        <v>2012</v>
      </c>
      <c r="K2965">
        <v>86</v>
      </c>
      <c r="L2965" t="s">
        <v>40</v>
      </c>
      <c r="M2965" t="s">
        <v>1007</v>
      </c>
      <c r="N2965" s="2" t="s">
        <v>3031</v>
      </c>
      <c r="O2965" t="s">
        <v>3032</v>
      </c>
      <c r="P2965" t="s">
        <v>26</v>
      </c>
      <c r="Q2965">
        <v>1080.8016046681255</v>
      </c>
      <c r="R2965">
        <f ca="1">YEAR(TODAY())-Table1[[#This Row],[Year Built]]</f>
        <v>14</v>
      </c>
      <c r="S2965" t="str">
        <f>IF(Table1[[#This Row],[Days on Market]] &lt; 30,"Fast",IF(Table1[[#This Row],[Days on Market]]&lt;= 90,"Average", "Slow"))</f>
        <v>Average</v>
      </c>
      <c r="T2965" t="str">
        <f>IF(Table1[[#This Row],[Price2]]&lt;500000,"Affordable",IF(Table1[[#This Row],[Price2]]&lt;1000000,"Mid range","Luxury"))</f>
        <v>Luxury</v>
      </c>
    </row>
    <row r="2966" spans="1:20" x14ac:dyDescent="0.35">
      <c r="A2966" s="3">
        <v>1481833</v>
      </c>
      <c r="B2966" s="2" t="s">
        <v>22</v>
      </c>
      <c r="C2966">
        <v>53941</v>
      </c>
      <c r="D2966" s="2" t="s">
        <v>29</v>
      </c>
      <c r="E2966">
        <v>2</v>
      </c>
      <c r="F2966">
        <v>1</v>
      </c>
      <c r="G2966" s="4">
        <f>VALUE(SUBSTITUTE(SUBSTITUTE(Table1[[#This Row],[Price]],"$",""),",",""))</f>
        <v>1481833</v>
      </c>
      <c r="H2966" s="1">
        <f>Table1[[#This Row],[Price2]]/Table1[[#This Row],[Area]]</f>
        <v>433.79186182669787</v>
      </c>
      <c r="I2966">
        <v>3416</v>
      </c>
      <c r="J2966">
        <v>1954</v>
      </c>
      <c r="K2966">
        <v>77</v>
      </c>
      <c r="L2966" t="s">
        <v>14</v>
      </c>
      <c r="M2966" t="s">
        <v>1569</v>
      </c>
      <c r="N2966" s="2" t="s">
        <v>3029</v>
      </c>
      <c r="O2966" t="s">
        <v>3030</v>
      </c>
      <c r="P2966" t="s">
        <v>26</v>
      </c>
      <c r="Q2966">
        <v>433.79186182669787</v>
      </c>
      <c r="R2966">
        <f ca="1">YEAR(TODAY())-Table1[[#This Row],[Year Built]]</f>
        <v>72</v>
      </c>
      <c r="S2966" t="str">
        <f>IF(Table1[[#This Row],[Days on Market]] &lt; 30,"Fast",IF(Table1[[#This Row],[Days on Market]]&lt;= 90,"Average", "Slow"))</f>
        <v>Average</v>
      </c>
      <c r="T2966" t="str">
        <f>IF(Table1[[#This Row],[Price2]]&lt;500000,"Affordable",IF(Table1[[#This Row],[Price2]]&lt;1000000,"Mid range","Luxury"))</f>
        <v>Luxury</v>
      </c>
    </row>
    <row r="2967" spans="1:20" x14ac:dyDescent="0.35">
      <c r="A2967" s="3">
        <v>1482167</v>
      </c>
      <c r="B2967" s="2" t="s">
        <v>34</v>
      </c>
      <c r="C2967">
        <v>84600</v>
      </c>
      <c r="D2967" s="2" t="s">
        <v>23</v>
      </c>
      <c r="E2967">
        <v>2</v>
      </c>
      <c r="F2967">
        <v>1</v>
      </c>
      <c r="G2967" s="4">
        <f>VALUE(SUBSTITUTE(SUBSTITUTE(Table1[[#This Row],[Price]],"$",""),",",""))</f>
        <v>1482167</v>
      </c>
      <c r="H2967" s="1">
        <f>Table1[[#This Row],[Price2]]/Table1[[#This Row],[Area]]</f>
        <v>2273.2622699386502</v>
      </c>
      <c r="I2967">
        <v>652</v>
      </c>
      <c r="J2967">
        <v>1967</v>
      </c>
      <c r="K2967">
        <v>87</v>
      </c>
      <c r="L2967" t="s">
        <v>14</v>
      </c>
      <c r="M2967" t="s">
        <v>2152</v>
      </c>
      <c r="N2967" s="2" t="s">
        <v>3035</v>
      </c>
      <c r="O2967" t="s">
        <v>3036</v>
      </c>
      <c r="P2967" t="s">
        <v>21</v>
      </c>
      <c r="Q2967">
        <v>2273.2622699386502</v>
      </c>
      <c r="R2967">
        <f ca="1">YEAR(TODAY())-Table1[[#This Row],[Year Built]]</f>
        <v>59</v>
      </c>
      <c r="S2967" t="str">
        <f>IF(Table1[[#This Row],[Days on Market]] &lt; 30,"Fast",IF(Table1[[#This Row],[Days on Market]]&lt;= 90,"Average", "Slow"))</f>
        <v>Average</v>
      </c>
      <c r="T2967" t="str">
        <f>IF(Table1[[#This Row],[Price2]]&lt;500000,"Affordable",IF(Table1[[#This Row],[Price2]]&lt;1000000,"Mid range","Luxury"))</f>
        <v>Luxury</v>
      </c>
    </row>
    <row r="2968" spans="1:20" x14ac:dyDescent="0.35">
      <c r="A2968" s="3">
        <v>1482350</v>
      </c>
      <c r="B2968" s="2" t="s">
        <v>27</v>
      </c>
      <c r="C2968">
        <v>78192</v>
      </c>
      <c r="D2968" s="2" t="s">
        <v>23</v>
      </c>
      <c r="E2968">
        <v>6</v>
      </c>
      <c r="F2968">
        <v>3</v>
      </c>
      <c r="G2968" s="4">
        <f>VALUE(SUBSTITUTE(SUBSTITUTE(Table1[[#This Row],[Price]],"$",""),",",""))</f>
        <v>1482350</v>
      </c>
      <c r="H2968" s="1">
        <f>Table1[[#This Row],[Price2]]/Table1[[#This Row],[Area]]</f>
        <v>377.38034623217925</v>
      </c>
      <c r="I2968">
        <v>3928</v>
      </c>
      <c r="J2968">
        <v>2009</v>
      </c>
      <c r="K2968">
        <v>86</v>
      </c>
      <c r="L2968" t="s">
        <v>52</v>
      </c>
      <c r="M2968" t="s">
        <v>1999</v>
      </c>
      <c r="N2968" s="2" t="s">
        <v>3035</v>
      </c>
      <c r="O2968" t="s">
        <v>3036</v>
      </c>
      <c r="P2968" t="s">
        <v>26</v>
      </c>
      <c r="Q2968">
        <v>377.38034623217925</v>
      </c>
      <c r="R2968">
        <f ca="1">YEAR(TODAY())-Table1[[#This Row],[Year Built]]</f>
        <v>17</v>
      </c>
      <c r="S2968" t="str">
        <f>IF(Table1[[#This Row],[Days on Market]] &lt; 30,"Fast",IF(Table1[[#This Row],[Days on Market]]&lt;= 90,"Average", "Slow"))</f>
        <v>Average</v>
      </c>
      <c r="T2968" t="str">
        <f>IF(Table1[[#This Row],[Price2]]&lt;500000,"Affordable",IF(Table1[[#This Row],[Price2]]&lt;1000000,"Mid range","Luxury"))</f>
        <v>Luxury</v>
      </c>
    </row>
    <row r="2969" spans="1:20" x14ac:dyDescent="0.35">
      <c r="A2969" s="3">
        <v>1482609</v>
      </c>
      <c r="B2969" s="2" t="s">
        <v>27</v>
      </c>
      <c r="C2969">
        <v>27588</v>
      </c>
      <c r="D2969" s="2" t="s">
        <v>35</v>
      </c>
      <c r="E2969">
        <v>6</v>
      </c>
      <c r="F2969">
        <v>2</v>
      </c>
      <c r="G2969" s="4">
        <f>VALUE(SUBSTITUTE(SUBSTITUTE(Table1[[#This Row],[Price]],"$",""),",",""))</f>
        <v>1482609</v>
      </c>
      <c r="H2969" s="1">
        <f>Table1[[#This Row],[Price2]]/Table1[[#This Row],[Area]]</f>
        <v>743.90817862518816</v>
      </c>
      <c r="I2969">
        <v>1993</v>
      </c>
      <c r="J2969">
        <v>1952</v>
      </c>
      <c r="K2969">
        <v>83</v>
      </c>
      <c r="L2969" t="s">
        <v>40</v>
      </c>
      <c r="M2969" t="s">
        <v>2391</v>
      </c>
      <c r="N2969" s="2" t="s">
        <v>3029</v>
      </c>
      <c r="O2969" t="s">
        <v>3030</v>
      </c>
      <c r="P2969" t="s">
        <v>21</v>
      </c>
      <c r="Q2969">
        <v>743.90817862518816</v>
      </c>
      <c r="R2969">
        <f ca="1">YEAR(TODAY())-Table1[[#This Row],[Year Built]]</f>
        <v>74</v>
      </c>
      <c r="S2969" t="str">
        <f>IF(Table1[[#This Row],[Days on Market]] &lt; 30,"Fast",IF(Table1[[#This Row],[Days on Market]]&lt;= 90,"Average", "Slow"))</f>
        <v>Average</v>
      </c>
      <c r="T2969" t="str">
        <f>IF(Table1[[#This Row],[Price2]]&lt;500000,"Affordable",IF(Table1[[#This Row],[Price2]]&lt;1000000,"Mid range","Luxury"))</f>
        <v>Luxury</v>
      </c>
    </row>
    <row r="2970" spans="1:20" x14ac:dyDescent="0.35">
      <c r="A2970" s="3">
        <v>1482612</v>
      </c>
      <c r="B2970" s="2" t="s">
        <v>12</v>
      </c>
      <c r="C2970">
        <v>11664</v>
      </c>
      <c r="D2970" s="2" t="s">
        <v>35</v>
      </c>
      <c r="E2970">
        <v>5</v>
      </c>
      <c r="F2970">
        <v>3</v>
      </c>
      <c r="G2970" s="4">
        <f>VALUE(SUBSTITUTE(SUBSTITUTE(Table1[[#This Row],[Price]],"$",""),",",""))</f>
        <v>1482612</v>
      </c>
      <c r="H2970" s="1">
        <f>Table1[[#This Row],[Price2]]/Table1[[#This Row],[Area]]</f>
        <v>371.02402402402402</v>
      </c>
      <c r="I2970">
        <v>3996</v>
      </c>
      <c r="J2970">
        <v>1975</v>
      </c>
      <c r="K2970">
        <v>86</v>
      </c>
      <c r="L2970" t="s">
        <v>30</v>
      </c>
      <c r="M2970" t="s">
        <v>614</v>
      </c>
      <c r="N2970" s="2" t="s">
        <v>3033</v>
      </c>
      <c r="O2970" t="s">
        <v>3034</v>
      </c>
      <c r="P2970" t="s">
        <v>16</v>
      </c>
      <c r="Q2970">
        <v>371.02402402402402</v>
      </c>
      <c r="R2970">
        <f ca="1">YEAR(TODAY())-Table1[[#This Row],[Year Built]]</f>
        <v>51</v>
      </c>
      <c r="S2970" t="str">
        <f>IF(Table1[[#This Row],[Days on Market]] &lt; 30,"Fast",IF(Table1[[#This Row],[Days on Market]]&lt;= 90,"Average", "Slow"))</f>
        <v>Average</v>
      </c>
      <c r="T2970" t="str">
        <f>IF(Table1[[#This Row],[Price2]]&lt;500000,"Affordable",IF(Table1[[#This Row],[Price2]]&lt;1000000,"Mid range","Luxury"))</f>
        <v>Luxury</v>
      </c>
    </row>
    <row r="2971" spans="1:20" x14ac:dyDescent="0.35">
      <c r="A2971" s="3">
        <v>1483606</v>
      </c>
      <c r="B2971" s="2" t="s">
        <v>17</v>
      </c>
      <c r="C2971">
        <v>11217</v>
      </c>
      <c r="D2971" s="2" t="s">
        <v>35</v>
      </c>
      <c r="E2971">
        <v>4</v>
      </c>
      <c r="F2971">
        <v>4</v>
      </c>
      <c r="G2971" s="4">
        <f>VALUE(SUBSTITUTE(SUBSTITUTE(Table1[[#This Row],[Price]],"$",""),",",""))</f>
        <v>1483606</v>
      </c>
      <c r="H2971" s="1">
        <f>Table1[[#This Row],[Price2]]/Table1[[#This Row],[Area]]</f>
        <v>432.1602097290999</v>
      </c>
      <c r="I2971">
        <v>3433</v>
      </c>
      <c r="J2971">
        <v>1991</v>
      </c>
      <c r="K2971">
        <v>114</v>
      </c>
      <c r="L2971" t="s">
        <v>52</v>
      </c>
      <c r="M2971" t="s">
        <v>2056</v>
      </c>
      <c r="N2971" s="2" t="s">
        <v>3031</v>
      </c>
      <c r="O2971" t="s">
        <v>3032</v>
      </c>
      <c r="P2971" t="s">
        <v>21</v>
      </c>
      <c r="Q2971">
        <v>432.1602097290999</v>
      </c>
      <c r="R2971">
        <f ca="1">YEAR(TODAY())-Table1[[#This Row],[Year Built]]</f>
        <v>35</v>
      </c>
      <c r="S2971" t="str">
        <f>IF(Table1[[#This Row],[Days on Market]] &lt; 30,"Fast",IF(Table1[[#This Row],[Days on Market]]&lt;= 90,"Average", "Slow"))</f>
        <v>Slow</v>
      </c>
      <c r="T2971" t="str">
        <f>IF(Table1[[#This Row],[Price2]]&lt;500000,"Affordable",IF(Table1[[#This Row],[Price2]]&lt;1000000,"Mid range","Luxury"))</f>
        <v>Luxury</v>
      </c>
    </row>
    <row r="2972" spans="1:20" x14ac:dyDescent="0.35">
      <c r="A2972" s="3">
        <v>1483987</v>
      </c>
      <c r="B2972" s="2" t="s">
        <v>34</v>
      </c>
      <c r="C2972">
        <v>98527</v>
      </c>
      <c r="D2972" s="2" t="s">
        <v>35</v>
      </c>
      <c r="E2972">
        <v>2</v>
      </c>
      <c r="F2972">
        <v>3</v>
      </c>
      <c r="G2972" s="4">
        <f>VALUE(SUBSTITUTE(SUBSTITUTE(Table1[[#This Row],[Price]],"$",""),",",""))</f>
        <v>1483987</v>
      </c>
      <c r="H2972" s="1">
        <f>Table1[[#This Row],[Price2]]/Table1[[#This Row],[Area]]</f>
        <v>1251.2537942664419</v>
      </c>
      <c r="I2972">
        <v>1186</v>
      </c>
      <c r="J2972">
        <v>1990</v>
      </c>
      <c r="K2972">
        <v>16</v>
      </c>
      <c r="L2972" t="s">
        <v>52</v>
      </c>
      <c r="M2972" t="s">
        <v>865</v>
      </c>
      <c r="N2972" s="2" t="s">
        <v>3033</v>
      </c>
      <c r="O2972" t="s">
        <v>3034</v>
      </c>
      <c r="P2972" t="s">
        <v>21</v>
      </c>
      <c r="Q2972">
        <v>1251.2537942664419</v>
      </c>
      <c r="R2972">
        <f ca="1">YEAR(TODAY())-Table1[[#This Row],[Year Built]]</f>
        <v>36</v>
      </c>
      <c r="S2972" t="str">
        <f>IF(Table1[[#This Row],[Days on Market]] &lt; 30,"Fast",IF(Table1[[#This Row],[Days on Market]]&lt;= 90,"Average", "Slow"))</f>
        <v>Fast</v>
      </c>
      <c r="T2972" t="str">
        <f>IF(Table1[[#This Row],[Price2]]&lt;500000,"Affordable",IF(Table1[[#This Row],[Price2]]&lt;1000000,"Mid range","Luxury"))</f>
        <v>Luxury</v>
      </c>
    </row>
    <row r="2973" spans="1:20" x14ac:dyDescent="0.35">
      <c r="A2973" s="3">
        <v>1484582</v>
      </c>
      <c r="B2973" s="2" t="s">
        <v>34</v>
      </c>
      <c r="C2973">
        <v>57725</v>
      </c>
      <c r="D2973" s="2" t="s">
        <v>29</v>
      </c>
      <c r="E2973">
        <v>1</v>
      </c>
      <c r="F2973">
        <v>4</v>
      </c>
      <c r="G2973" s="4">
        <f>VALUE(SUBSTITUTE(SUBSTITUTE(Table1[[#This Row],[Price]],"$",""),",",""))</f>
        <v>1484582</v>
      </c>
      <c r="H2973" s="1">
        <f>Table1[[#This Row],[Price2]]/Table1[[#This Row],[Area]]</f>
        <v>432.94896471274421</v>
      </c>
      <c r="I2973">
        <v>3429</v>
      </c>
      <c r="J2973">
        <v>1984</v>
      </c>
      <c r="K2973">
        <v>14</v>
      </c>
      <c r="L2973" t="s">
        <v>14</v>
      </c>
      <c r="M2973" t="s">
        <v>2717</v>
      </c>
      <c r="N2973" s="2" t="s">
        <v>3029</v>
      </c>
      <c r="O2973" t="s">
        <v>3030</v>
      </c>
      <c r="P2973" t="s">
        <v>21</v>
      </c>
      <c r="Q2973">
        <v>432.94896471274421</v>
      </c>
      <c r="R2973">
        <f ca="1">YEAR(TODAY())-Table1[[#This Row],[Year Built]]</f>
        <v>42</v>
      </c>
      <c r="S2973" t="str">
        <f>IF(Table1[[#This Row],[Days on Market]] &lt; 30,"Fast",IF(Table1[[#This Row],[Days on Market]]&lt;= 90,"Average", "Slow"))</f>
        <v>Fast</v>
      </c>
      <c r="T2973" t="str">
        <f>IF(Table1[[#This Row],[Price2]]&lt;500000,"Affordable",IF(Table1[[#This Row],[Price2]]&lt;1000000,"Mid range","Luxury"))</f>
        <v>Luxury</v>
      </c>
    </row>
    <row r="2974" spans="1:20" x14ac:dyDescent="0.35">
      <c r="A2974" s="3">
        <v>1484620</v>
      </c>
      <c r="B2974" s="2" t="s">
        <v>17</v>
      </c>
      <c r="C2974">
        <v>91496</v>
      </c>
      <c r="D2974" s="2" t="s">
        <v>18</v>
      </c>
      <c r="E2974">
        <v>1</v>
      </c>
      <c r="F2974">
        <v>2</v>
      </c>
      <c r="G2974" s="4">
        <f>VALUE(SUBSTITUTE(SUBSTITUTE(Table1[[#This Row],[Price]],"$",""),",",""))</f>
        <v>1484620</v>
      </c>
      <c r="H2974" s="1">
        <f>Table1[[#This Row],[Price2]]/Table1[[#This Row],[Area]]</f>
        <v>484.22048271363337</v>
      </c>
      <c r="I2974">
        <v>3066</v>
      </c>
      <c r="J2974">
        <v>1957</v>
      </c>
      <c r="K2974">
        <v>102</v>
      </c>
      <c r="L2974" t="s">
        <v>30</v>
      </c>
      <c r="M2974" t="s">
        <v>933</v>
      </c>
      <c r="N2974" s="2" t="s">
        <v>3027</v>
      </c>
      <c r="O2974" t="s">
        <v>3028</v>
      </c>
      <c r="P2974" t="s">
        <v>16</v>
      </c>
      <c r="Q2974">
        <v>484.22048271363337</v>
      </c>
      <c r="R2974">
        <f ca="1">YEAR(TODAY())-Table1[[#This Row],[Year Built]]</f>
        <v>69</v>
      </c>
      <c r="S2974" t="str">
        <f>IF(Table1[[#This Row],[Days on Market]] &lt; 30,"Fast",IF(Table1[[#This Row],[Days on Market]]&lt;= 90,"Average", "Slow"))</f>
        <v>Slow</v>
      </c>
      <c r="T2974" t="str">
        <f>IF(Table1[[#This Row],[Price2]]&lt;500000,"Affordable",IF(Table1[[#This Row],[Price2]]&lt;1000000,"Mid range","Luxury"))</f>
        <v>Luxury</v>
      </c>
    </row>
    <row r="2975" spans="1:20" x14ac:dyDescent="0.35">
      <c r="A2975" s="3">
        <v>1485781</v>
      </c>
      <c r="B2975" s="2" t="s">
        <v>34</v>
      </c>
      <c r="C2975">
        <v>43832</v>
      </c>
      <c r="D2975" s="2" t="s">
        <v>13</v>
      </c>
      <c r="E2975">
        <v>5</v>
      </c>
      <c r="F2975">
        <v>2</v>
      </c>
      <c r="G2975" s="4">
        <f>VALUE(SUBSTITUTE(SUBSTITUTE(Table1[[#This Row],[Price]],"$",""),",",""))</f>
        <v>1485781</v>
      </c>
      <c r="H2975" s="1">
        <f>Table1[[#This Row],[Price2]]/Table1[[#This Row],[Area]]</f>
        <v>374.34643487024437</v>
      </c>
      <c r="I2975">
        <v>3969</v>
      </c>
      <c r="J2975">
        <v>1956</v>
      </c>
      <c r="K2975">
        <v>9</v>
      </c>
      <c r="L2975" t="s">
        <v>30</v>
      </c>
      <c r="M2975" t="s">
        <v>2342</v>
      </c>
      <c r="N2975" s="2" t="s">
        <v>3031</v>
      </c>
      <c r="O2975" t="s">
        <v>3032</v>
      </c>
      <c r="P2975" t="s">
        <v>21</v>
      </c>
      <c r="Q2975">
        <v>374.34643487024437</v>
      </c>
      <c r="R2975">
        <f ca="1">YEAR(TODAY())-Table1[[#This Row],[Year Built]]</f>
        <v>70</v>
      </c>
      <c r="S2975" t="str">
        <f>IF(Table1[[#This Row],[Days on Market]] &lt; 30,"Fast",IF(Table1[[#This Row],[Days on Market]]&lt;= 90,"Average", "Slow"))</f>
        <v>Fast</v>
      </c>
      <c r="T2975" t="str">
        <f>IF(Table1[[#This Row],[Price2]]&lt;500000,"Affordable",IF(Table1[[#This Row],[Price2]]&lt;1000000,"Mid range","Luxury"))</f>
        <v>Luxury</v>
      </c>
    </row>
    <row r="2976" spans="1:20" x14ac:dyDescent="0.35">
      <c r="A2976" s="3">
        <v>1486590</v>
      </c>
      <c r="B2976" s="2" t="s">
        <v>17</v>
      </c>
      <c r="C2976">
        <v>59014</v>
      </c>
      <c r="D2976" s="2" t="s">
        <v>18</v>
      </c>
      <c r="E2976">
        <v>2</v>
      </c>
      <c r="F2976">
        <v>1</v>
      </c>
      <c r="G2976" s="4">
        <f>VALUE(SUBSTITUTE(SUBSTITUTE(Table1[[#This Row],[Price]],"$",""),",",""))</f>
        <v>1486590</v>
      </c>
      <c r="H2976" s="1">
        <f>Table1[[#This Row],[Price2]]/Table1[[#This Row],[Area]]</f>
        <v>722.34693877551024</v>
      </c>
      <c r="I2976">
        <v>2058</v>
      </c>
      <c r="J2976">
        <v>1999</v>
      </c>
      <c r="K2976">
        <v>72</v>
      </c>
      <c r="L2976" t="s">
        <v>14</v>
      </c>
      <c r="M2976" t="s">
        <v>2118</v>
      </c>
      <c r="N2976" s="2" t="s">
        <v>3031</v>
      </c>
      <c r="O2976" t="s">
        <v>3032</v>
      </c>
      <c r="P2976" t="s">
        <v>21</v>
      </c>
      <c r="Q2976">
        <v>722.34693877551024</v>
      </c>
      <c r="R2976">
        <f ca="1">YEAR(TODAY())-Table1[[#This Row],[Year Built]]</f>
        <v>27</v>
      </c>
      <c r="S2976" t="str">
        <f>IF(Table1[[#This Row],[Days on Market]] &lt; 30,"Fast",IF(Table1[[#This Row],[Days on Market]]&lt;= 90,"Average", "Slow"))</f>
        <v>Average</v>
      </c>
      <c r="T2976" t="str">
        <f>IF(Table1[[#This Row],[Price2]]&lt;500000,"Affordable",IF(Table1[[#This Row],[Price2]]&lt;1000000,"Mid range","Luxury"))</f>
        <v>Luxury</v>
      </c>
    </row>
    <row r="2977" spans="1:20" x14ac:dyDescent="0.35">
      <c r="A2977" s="3">
        <v>1486948</v>
      </c>
      <c r="B2977" s="2" t="s">
        <v>17</v>
      </c>
      <c r="C2977">
        <v>82252</v>
      </c>
      <c r="D2977" s="2" t="s">
        <v>35</v>
      </c>
      <c r="E2977">
        <v>6</v>
      </c>
      <c r="F2977">
        <v>4</v>
      </c>
      <c r="G2977" s="4">
        <f>VALUE(SUBSTITUTE(SUBSTITUTE(Table1[[#This Row],[Price]],"$",""),",",""))</f>
        <v>1486948</v>
      </c>
      <c r="H2977" s="1">
        <f>Table1[[#This Row],[Price2]]/Table1[[#This Row],[Area]]</f>
        <v>684.91386457853525</v>
      </c>
      <c r="I2977">
        <v>2171</v>
      </c>
      <c r="J2977">
        <v>2020</v>
      </c>
      <c r="K2977">
        <v>82</v>
      </c>
      <c r="L2977" t="s">
        <v>14</v>
      </c>
      <c r="M2977" t="s">
        <v>2593</v>
      </c>
      <c r="N2977" s="2" t="s">
        <v>3027</v>
      </c>
      <c r="O2977" t="s">
        <v>3028</v>
      </c>
      <c r="P2977" t="s">
        <v>21</v>
      </c>
      <c r="Q2977">
        <v>684.91386457853525</v>
      </c>
      <c r="R2977">
        <f ca="1">YEAR(TODAY())-Table1[[#This Row],[Year Built]]</f>
        <v>6</v>
      </c>
      <c r="S2977" t="str">
        <f>IF(Table1[[#This Row],[Days on Market]] &lt; 30,"Fast",IF(Table1[[#This Row],[Days on Market]]&lt;= 90,"Average", "Slow"))</f>
        <v>Average</v>
      </c>
      <c r="T2977" t="str">
        <f>IF(Table1[[#This Row],[Price2]]&lt;500000,"Affordable",IF(Table1[[#This Row],[Price2]]&lt;1000000,"Mid range","Luxury"))</f>
        <v>Luxury</v>
      </c>
    </row>
    <row r="2978" spans="1:20" x14ac:dyDescent="0.35">
      <c r="A2978" s="3">
        <v>1488630</v>
      </c>
      <c r="B2978" s="2" t="s">
        <v>27</v>
      </c>
      <c r="C2978">
        <v>11595</v>
      </c>
      <c r="D2978" s="2" t="s">
        <v>35</v>
      </c>
      <c r="E2978">
        <v>1</v>
      </c>
      <c r="F2978">
        <v>2</v>
      </c>
      <c r="G2978" s="4">
        <f>VALUE(SUBSTITUTE(SUBSTITUTE(Table1[[#This Row],[Price]],"$",""),",",""))</f>
        <v>1488630</v>
      </c>
      <c r="H2978" s="1">
        <f>Table1[[#This Row],[Price2]]/Table1[[#This Row],[Area]]</f>
        <v>593.78938970881529</v>
      </c>
      <c r="I2978">
        <v>2507</v>
      </c>
      <c r="J2978">
        <v>1960</v>
      </c>
      <c r="K2978">
        <v>2</v>
      </c>
      <c r="L2978" t="s">
        <v>52</v>
      </c>
      <c r="M2978" t="s">
        <v>2221</v>
      </c>
      <c r="N2978" s="2" t="s">
        <v>3035</v>
      </c>
      <c r="O2978" t="s">
        <v>3036</v>
      </c>
      <c r="P2978" t="s">
        <v>16</v>
      </c>
      <c r="Q2978">
        <v>593.78938970881529</v>
      </c>
      <c r="R2978">
        <f ca="1">YEAR(TODAY())-Table1[[#This Row],[Year Built]]</f>
        <v>66</v>
      </c>
      <c r="S2978" t="str">
        <f>IF(Table1[[#This Row],[Days on Market]] &lt; 30,"Fast",IF(Table1[[#This Row],[Days on Market]]&lt;= 90,"Average", "Slow"))</f>
        <v>Fast</v>
      </c>
      <c r="T2978" t="str">
        <f>IF(Table1[[#This Row],[Price2]]&lt;500000,"Affordable",IF(Table1[[#This Row],[Price2]]&lt;1000000,"Mid range","Luxury"))</f>
        <v>Luxury</v>
      </c>
    </row>
    <row r="2979" spans="1:20" x14ac:dyDescent="0.35">
      <c r="A2979" s="3">
        <v>1489699</v>
      </c>
      <c r="B2979" s="2" t="s">
        <v>12</v>
      </c>
      <c r="C2979">
        <v>29464</v>
      </c>
      <c r="D2979" s="2" t="s">
        <v>35</v>
      </c>
      <c r="E2979">
        <v>3</v>
      </c>
      <c r="F2979">
        <v>1</v>
      </c>
      <c r="G2979" s="4">
        <f>VALUE(SUBSTITUTE(SUBSTITUTE(Table1[[#This Row],[Price]],"$",""),",",""))</f>
        <v>1489699</v>
      </c>
      <c r="H2979" s="1">
        <f>Table1[[#This Row],[Price2]]/Table1[[#This Row],[Area]]</f>
        <v>668.62612208258531</v>
      </c>
      <c r="I2979">
        <v>2228</v>
      </c>
      <c r="J2979">
        <v>1992</v>
      </c>
      <c r="K2979">
        <v>51</v>
      </c>
      <c r="L2979" t="s">
        <v>14</v>
      </c>
      <c r="M2979" t="s">
        <v>629</v>
      </c>
      <c r="N2979" s="2" t="s">
        <v>3029</v>
      </c>
      <c r="O2979" t="s">
        <v>3030</v>
      </c>
      <c r="P2979" t="s">
        <v>16</v>
      </c>
      <c r="Q2979">
        <v>668.62612208258531</v>
      </c>
      <c r="R2979">
        <f ca="1">YEAR(TODAY())-Table1[[#This Row],[Year Built]]</f>
        <v>34</v>
      </c>
      <c r="S2979" t="str">
        <f>IF(Table1[[#This Row],[Days on Market]] &lt; 30,"Fast",IF(Table1[[#This Row],[Days on Market]]&lt;= 90,"Average", "Slow"))</f>
        <v>Average</v>
      </c>
      <c r="T2979" t="str">
        <f>IF(Table1[[#This Row],[Price2]]&lt;500000,"Affordable",IF(Table1[[#This Row],[Price2]]&lt;1000000,"Mid range","Luxury"))</f>
        <v>Luxury</v>
      </c>
    </row>
    <row r="2980" spans="1:20" x14ac:dyDescent="0.35">
      <c r="A2980" s="3">
        <v>1490235</v>
      </c>
      <c r="B2980" s="2" t="s">
        <v>12</v>
      </c>
      <c r="C2980">
        <v>83362</v>
      </c>
      <c r="D2980" s="2" t="s">
        <v>23</v>
      </c>
      <c r="E2980">
        <v>6</v>
      </c>
      <c r="F2980">
        <v>3</v>
      </c>
      <c r="G2980" s="4">
        <f>VALUE(SUBSTITUTE(SUBSTITUTE(Table1[[#This Row],[Price]],"$",""),",",""))</f>
        <v>1490235</v>
      </c>
      <c r="H2980" s="1">
        <f>Table1[[#This Row],[Price2]]/Table1[[#This Row],[Area]]</f>
        <v>398.13919316056638</v>
      </c>
      <c r="I2980">
        <v>3743</v>
      </c>
      <c r="J2980">
        <v>1983</v>
      </c>
      <c r="K2980">
        <v>88</v>
      </c>
      <c r="L2980" t="s">
        <v>19</v>
      </c>
      <c r="M2980" t="s">
        <v>1491</v>
      </c>
      <c r="N2980" s="2" t="s">
        <v>3027</v>
      </c>
      <c r="O2980" t="s">
        <v>3028</v>
      </c>
      <c r="P2980" t="s">
        <v>26</v>
      </c>
      <c r="Q2980">
        <v>398.13919316056638</v>
      </c>
      <c r="R2980">
        <f ca="1">YEAR(TODAY())-Table1[[#This Row],[Year Built]]</f>
        <v>43</v>
      </c>
      <c r="S2980" t="str">
        <f>IF(Table1[[#This Row],[Days on Market]] &lt; 30,"Fast",IF(Table1[[#This Row],[Days on Market]]&lt;= 90,"Average", "Slow"))</f>
        <v>Average</v>
      </c>
      <c r="T2980" t="str">
        <f>IF(Table1[[#This Row],[Price2]]&lt;500000,"Affordable",IF(Table1[[#This Row],[Price2]]&lt;1000000,"Mid range","Luxury"))</f>
        <v>Luxury</v>
      </c>
    </row>
    <row r="2981" spans="1:20" x14ac:dyDescent="0.35">
      <c r="A2981" s="3">
        <v>1490566</v>
      </c>
      <c r="B2981" s="2" t="s">
        <v>34</v>
      </c>
      <c r="C2981">
        <v>45797</v>
      </c>
      <c r="D2981" s="2" t="s">
        <v>18</v>
      </c>
      <c r="E2981">
        <v>2</v>
      </c>
      <c r="F2981">
        <v>2</v>
      </c>
      <c r="G2981" s="4">
        <f>VALUE(SUBSTITUTE(SUBSTITUTE(Table1[[#This Row],[Price]],"$",""),",",""))</f>
        <v>1490566</v>
      </c>
      <c r="H2981" s="1">
        <f>Table1[[#This Row],[Price2]]/Table1[[#This Row],[Area]]</f>
        <v>562.90256797583083</v>
      </c>
      <c r="I2981">
        <v>2648</v>
      </c>
      <c r="J2981">
        <v>1958</v>
      </c>
      <c r="K2981">
        <v>68</v>
      </c>
      <c r="L2981" t="s">
        <v>14</v>
      </c>
      <c r="M2981" t="s">
        <v>2651</v>
      </c>
      <c r="N2981" s="2" t="s">
        <v>3027</v>
      </c>
      <c r="O2981" t="s">
        <v>3028</v>
      </c>
      <c r="P2981" t="s">
        <v>16</v>
      </c>
      <c r="Q2981">
        <v>562.90256797583083</v>
      </c>
      <c r="R2981">
        <f ca="1">YEAR(TODAY())-Table1[[#This Row],[Year Built]]</f>
        <v>68</v>
      </c>
      <c r="S2981" t="str">
        <f>IF(Table1[[#This Row],[Days on Market]] &lt; 30,"Fast",IF(Table1[[#This Row],[Days on Market]]&lt;= 90,"Average", "Slow"))</f>
        <v>Average</v>
      </c>
      <c r="T2981" t="str">
        <f>IF(Table1[[#This Row],[Price2]]&lt;500000,"Affordable",IF(Table1[[#This Row],[Price2]]&lt;1000000,"Mid range","Luxury"))</f>
        <v>Luxury</v>
      </c>
    </row>
    <row r="2982" spans="1:20" x14ac:dyDescent="0.35">
      <c r="A2982" s="3">
        <v>1491526</v>
      </c>
      <c r="B2982" s="2" t="s">
        <v>17</v>
      </c>
      <c r="C2982">
        <v>52313</v>
      </c>
      <c r="D2982" s="2" t="s">
        <v>29</v>
      </c>
      <c r="E2982">
        <v>1</v>
      </c>
      <c r="F2982">
        <v>1</v>
      </c>
      <c r="G2982" s="4">
        <f>VALUE(SUBSTITUTE(SUBSTITUTE(Table1[[#This Row],[Price]],"$",""),",",""))</f>
        <v>1491526</v>
      </c>
      <c r="H2982" s="1">
        <f>Table1[[#This Row],[Price2]]/Table1[[#This Row],[Area]]</f>
        <v>1087.1180758017492</v>
      </c>
      <c r="I2982">
        <v>1372</v>
      </c>
      <c r="J2982">
        <v>2001</v>
      </c>
      <c r="K2982">
        <v>82</v>
      </c>
      <c r="L2982" t="s">
        <v>19</v>
      </c>
      <c r="M2982" t="s">
        <v>215</v>
      </c>
      <c r="N2982" s="2" t="s">
        <v>3033</v>
      </c>
      <c r="O2982" t="s">
        <v>3034</v>
      </c>
      <c r="P2982" t="s">
        <v>16</v>
      </c>
      <c r="Q2982">
        <v>1087.1180758017492</v>
      </c>
      <c r="R2982">
        <f ca="1">YEAR(TODAY())-Table1[[#This Row],[Year Built]]</f>
        <v>25</v>
      </c>
      <c r="S2982" t="str">
        <f>IF(Table1[[#This Row],[Days on Market]] &lt; 30,"Fast",IF(Table1[[#This Row],[Days on Market]]&lt;= 90,"Average", "Slow"))</f>
        <v>Average</v>
      </c>
      <c r="T2982" t="str">
        <f>IF(Table1[[#This Row],[Price2]]&lt;500000,"Affordable",IF(Table1[[#This Row],[Price2]]&lt;1000000,"Mid range","Luxury"))</f>
        <v>Luxury</v>
      </c>
    </row>
    <row r="2983" spans="1:20" x14ac:dyDescent="0.35">
      <c r="A2983" s="3">
        <v>1491852</v>
      </c>
      <c r="B2983" s="2" t="s">
        <v>12</v>
      </c>
      <c r="C2983">
        <v>49251</v>
      </c>
      <c r="D2983" s="2" t="s">
        <v>18</v>
      </c>
      <c r="E2983">
        <v>6</v>
      </c>
      <c r="F2983">
        <v>2</v>
      </c>
      <c r="G2983" s="4">
        <f>VALUE(SUBSTITUTE(SUBSTITUTE(Table1[[#This Row],[Price]],"$",""),",",""))</f>
        <v>1491852</v>
      </c>
      <c r="H2983" s="1">
        <f>Table1[[#This Row],[Price2]]/Table1[[#This Row],[Area]]</f>
        <v>468.84098051539911</v>
      </c>
      <c r="I2983">
        <v>3182</v>
      </c>
      <c r="J2983">
        <v>1969</v>
      </c>
      <c r="K2983">
        <v>36</v>
      </c>
      <c r="L2983" t="s">
        <v>14</v>
      </c>
      <c r="M2983" t="s">
        <v>1883</v>
      </c>
      <c r="N2983" s="2" t="s">
        <v>3033</v>
      </c>
      <c r="O2983" t="s">
        <v>3034</v>
      </c>
      <c r="P2983" t="s">
        <v>16</v>
      </c>
      <c r="Q2983">
        <v>468.84098051539911</v>
      </c>
      <c r="R2983">
        <f ca="1">YEAR(TODAY())-Table1[[#This Row],[Year Built]]</f>
        <v>57</v>
      </c>
      <c r="S2983" t="str">
        <f>IF(Table1[[#This Row],[Days on Market]] &lt; 30,"Fast",IF(Table1[[#This Row],[Days on Market]]&lt;= 90,"Average", "Slow"))</f>
        <v>Average</v>
      </c>
      <c r="T2983" t="str">
        <f>IF(Table1[[#This Row],[Price2]]&lt;500000,"Affordable",IF(Table1[[#This Row],[Price2]]&lt;1000000,"Mid range","Luxury"))</f>
        <v>Luxury</v>
      </c>
    </row>
    <row r="2984" spans="1:20" x14ac:dyDescent="0.35">
      <c r="A2984" s="3">
        <v>1491915</v>
      </c>
      <c r="B2984" s="2" t="s">
        <v>22</v>
      </c>
      <c r="C2984">
        <v>24833</v>
      </c>
      <c r="D2984" s="2" t="s">
        <v>29</v>
      </c>
      <c r="E2984">
        <v>6</v>
      </c>
      <c r="F2984">
        <v>4</v>
      </c>
      <c r="G2984" s="4">
        <f>VALUE(SUBSTITUTE(SUBSTITUTE(Table1[[#This Row],[Price]],"$",""),",",""))</f>
        <v>1491915</v>
      </c>
      <c r="H2984" s="1">
        <f>Table1[[#This Row],[Price2]]/Table1[[#This Row],[Area]]</f>
        <v>1355.0544959128065</v>
      </c>
      <c r="I2984">
        <v>1101</v>
      </c>
      <c r="J2984">
        <v>1990</v>
      </c>
      <c r="K2984">
        <v>54</v>
      </c>
      <c r="L2984" t="s">
        <v>40</v>
      </c>
      <c r="M2984" t="s">
        <v>1848</v>
      </c>
      <c r="N2984" s="2" t="s">
        <v>3033</v>
      </c>
      <c r="O2984" t="s">
        <v>3034</v>
      </c>
      <c r="P2984" t="s">
        <v>21</v>
      </c>
      <c r="Q2984">
        <v>1355.0544959128065</v>
      </c>
      <c r="R2984">
        <f ca="1">YEAR(TODAY())-Table1[[#This Row],[Year Built]]</f>
        <v>36</v>
      </c>
      <c r="S2984" t="str">
        <f>IF(Table1[[#This Row],[Days on Market]] &lt; 30,"Fast",IF(Table1[[#This Row],[Days on Market]]&lt;= 90,"Average", "Slow"))</f>
        <v>Average</v>
      </c>
      <c r="T2984" t="str">
        <f>IF(Table1[[#This Row],[Price2]]&lt;500000,"Affordable",IF(Table1[[#This Row],[Price2]]&lt;1000000,"Mid range","Luxury"))</f>
        <v>Luxury</v>
      </c>
    </row>
    <row r="2985" spans="1:20" x14ac:dyDescent="0.35">
      <c r="A2985" s="3">
        <v>1492072</v>
      </c>
      <c r="B2985" s="2" t="s">
        <v>12</v>
      </c>
      <c r="C2985">
        <v>62271</v>
      </c>
      <c r="D2985" s="2" t="s">
        <v>23</v>
      </c>
      <c r="E2985">
        <v>3</v>
      </c>
      <c r="F2985">
        <v>4</v>
      </c>
      <c r="G2985" s="4">
        <f>VALUE(SUBSTITUTE(SUBSTITUTE(Table1[[#This Row],[Price]],"$",""),",",""))</f>
        <v>1492072</v>
      </c>
      <c r="H2985" s="1">
        <f>Table1[[#This Row],[Price2]]/Table1[[#This Row],[Area]]</f>
        <v>938.41006289308177</v>
      </c>
      <c r="I2985">
        <v>1590</v>
      </c>
      <c r="J2985">
        <v>1950</v>
      </c>
      <c r="K2985">
        <v>116</v>
      </c>
      <c r="L2985" t="s">
        <v>52</v>
      </c>
      <c r="M2985" t="s">
        <v>2015</v>
      </c>
      <c r="N2985" s="2" t="s">
        <v>3031</v>
      </c>
      <c r="O2985" t="s">
        <v>3032</v>
      </c>
      <c r="P2985" t="s">
        <v>21</v>
      </c>
      <c r="Q2985">
        <v>938.41006289308177</v>
      </c>
      <c r="R2985">
        <f ca="1">YEAR(TODAY())-Table1[[#This Row],[Year Built]]</f>
        <v>76</v>
      </c>
      <c r="S2985" t="str">
        <f>IF(Table1[[#This Row],[Days on Market]] &lt; 30,"Fast",IF(Table1[[#This Row],[Days on Market]]&lt;= 90,"Average", "Slow"))</f>
        <v>Slow</v>
      </c>
      <c r="T2985" t="str">
        <f>IF(Table1[[#This Row],[Price2]]&lt;500000,"Affordable",IF(Table1[[#This Row],[Price2]]&lt;1000000,"Mid range","Luxury"))</f>
        <v>Luxury</v>
      </c>
    </row>
    <row r="2986" spans="1:20" x14ac:dyDescent="0.35">
      <c r="A2986" s="3">
        <v>1492700</v>
      </c>
      <c r="B2986" s="2" t="s">
        <v>22</v>
      </c>
      <c r="C2986">
        <v>70082</v>
      </c>
      <c r="D2986" s="2" t="s">
        <v>13</v>
      </c>
      <c r="E2986">
        <v>5</v>
      </c>
      <c r="F2986">
        <v>3</v>
      </c>
      <c r="G2986" s="4">
        <f>VALUE(SUBSTITUTE(SUBSTITUTE(Table1[[#This Row],[Price]],"$",""),",",""))</f>
        <v>1492700</v>
      </c>
      <c r="H2986" s="1">
        <f>Table1[[#This Row],[Price2]]/Table1[[#This Row],[Area]]</f>
        <v>629.56558414171241</v>
      </c>
      <c r="I2986">
        <v>2371</v>
      </c>
      <c r="J2986">
        <v>1963</v>
      </c>
      <c r="K2986">
        <v>29</v>
      </c>
      <c r="L2986" t="s">
        <v>30</v>
      </c>
      <c r="M2986" t="s">
        <v>1644</v>
      </c>
      <c r="N2986" s="2" t="s">
        <v>3027</v>
      </c>
      <c r="O2986" t="s">
        <v>3028</v>
      </c>
      <c r="P2986" t="s">
        <v>21</v>
      </c>
      <c r="Q2986">
        <v>629.56558414171241</v>
      </c>
      <c r="R2986">
        <f ca="1">YEAR(TODAY())-Table1[[#This Row],[Year Built]]</f>
        <v>63</v>
      </c>
      <c r="S2986" t="str">
        <f>IF(Table1[[#This Row],[Days on Market]] &lt; 30,"Fast",IF(Table1[[#This Row],[Days on Market]]&lt;= 90,"Average", "Slow"))</f>
        <v>Fast</v>
      </c>
      <c r="T2986" t="str">
        <f>IF(Table1[[#This Row],[Price2]]&lt;500000,"Affordable",IF(Table1[[#This Row],[Price2]]&lt;1000000,"Mid range","Luxury"))</f>
        <v>Luxury</v>
      </c>
    </row>
    <row r="2987" spans="1:20" x14ac:dyDescent="0.35">
      <c r="A2987" s="3">
        <v>1492926</v>
      </c>
      <c r="B2987" s="2" t="s">
        <v>12</v>
      </c>
      <c r="C2987">
        <v>62447</v>
      </c>
      <c r="D2987" s="2" t="s">
        <v>23</v>
      </c>
      <c r="E2987">
        <v>1</v>
      </c>
      <c r="F2987">
        <v>2</v>
      </c>
      <c r="G2987" s="4">
        <f>VALUE(SUBSTITUTE(SUBSTITUTE(Table1[[#This Row],[Price]],"$",""),",",""))</f>
        <v>1492926</v>
      </c>
      <c r="H2987" s="1">
        <f>Table1[[#This Row],[Price2]]/Table1[[#This Row],[Area]]</f>
        <v>579.77708737864077</v>
      </c>
      <c r="I2987">
        <v>2575</v>
      </c>
      <c r="J2987">
        <v>2022</v>
      </c>
      <c r="K2987">
        <v>115</v>
      </c>
      <c r="L2987" t="s">
        <v>19</v>
      </c>
      <c r="M2987" t="s">
        <v>2121</v>
      </c>
      <c r="N2987" s="2" t="s">
        <v>3035</v>
      </c>
      <c r="O2987" t="s">
        <v>3036</v>
      </c>
      <c r="P2987" t="s">
        <v>21</v>
      </c>
      <c r="Q2987">
        <v>579.77708737864077</v>
      </c>
      <c r="R2987">
        <f ca="1">YEAR(TODAY())-Table1[[#This Row],[Year Built]]</f>
        <v>4</v>
      </c>
      <c r="S2987" t="str">
        <f>IF(Table1[[#This Row],[Days on Market]] &lt; 30,"Fast",IF(Table1[[#This Row],[Days on Market]]&lt;= 90,"Average", "Slow"))</f>
        <v>Slow</v>
      </c>
      <c r="T2987" t="str">
        <f>IF(Table1[[#This Row],[Price2]]&lt;500000,"Affordable",IF(Table1[[#This Row],[Price2]]&lt;1000000,"Mid range","Luxury"))</f>
        <v>Luxury</v>
      </c>
    </row>
    <row r="2988" spans="1:20" x14ac:dyDescent="0.35">
      <c r="A2988" s="3">
        <v>1494324</v>
      </c>
      <c r="B2988" s="2" t="s">
        <v>12</v>
      </c>
      <c r="C2988">
        <v>61047</v>
      </c>
      <c r="D2988" s="2" t="s">
        <v>29</v>
      </c>
      <c r="E2988">
        <v>6</v>
      </c>
      <c r="F2988">
        <v>2</v>
      </c>
      <c r="G2988" s="4">
        <f>VALUE(SUBSTITUTE(SUBSTITUTE(Table1[[#This Row],[Price]],"$",""),",",""))</f>
        <v>1494324</v>
      </c>
      <c r="H2988" s="1">
        <f>Table1[[#This Row],[Price2]]/Table1[[#This Row],[Area]]</f>
        <v>627.86722689075634</v>
      </c>
      <c r="I2988">
        <v>2380</v>
      </c>
      <c r="J2988">
        <v>1959</v>
      </c>
      <c r="K2988">
        <v>109</v>
      </c>
      <c r="L2988" t="s">
        <v>14</v>
      </c>
      <c r="M2988" t="s">
        <v>2774</v>
      </c>
      <c r="N2988" s="2" t="s">
        <v>3027</v>
      </c>
      <c r="O2988" t="s">
        <v>3028</v>
      </c>
      <c r="P2988" t="s">
        <v>21</v>
      </c>
      <c r="Q2988">
        <v>627.86722689075634</v>
      </c>
      <c r="R2988">
        <f ca="1">YEAR(TODAY())-Table1[[#This Row],[Year Built]]</f>
        <v>67</v>
      </c>
      <c r="S2988" t="str">
        <f>IF(Table1[[#This Row],[Days on Market]] &lt; 30,"Fast",IF(Table1[[#This Row],[Days on Market]]&lt;= 90,"Average", "Slow"))</f>
        <v>Slow</v>
      </c>
      <c r="T2988" t="str">
        <f>IF(Table1[[#This Row],[Price2]]&lt;500000,"Affordable",IF(Table1[[#This Row],[Price2]]&lt;1000000,"Mid range","Luxury"))</f>
        <v>Luxury</v>
      </c>
    </row>
    <row r="2989" spans="1:20" x14ac:dyDescent="0.35">
      <c r="A2989" s="3">
        <v>1495902</v>
      </c>
      <c r="B2989" s="2" t="s">
        <v>34</v>
      </c>
      <c r="C2989">
        <v>21054</v>
      </c>
      <c r="D2989" s="2" t="s">
        <v>23</v>
      </c>
      <c r="E2989">
        <v>5</v>
      </c>
      <c r="F2989">
        <v>3</v>
      </c>
      <c r="G2989" s="4">
        <f>VALUE(SUBSTITUTE(SUBSTITUTE(Table1[[#This Row],[Price]],"$",""),",",""))</f>
        <v>1495902</v>
      </c>
      <c r="H2989" s="1">
        <f>Table1[[#This Row],[Price2]]/Table1[[#This Row],[Area]]</f>
        <v>1634.8655737704919</v>
      </c>
      <c r="I2989">
        <v>915</v>
      </c>
      <c r="J2989">
        <v>1973</v>
      </c>
      <c r="K2989">
        <v>56</v>
      </c>
      <c r="L2989" t="s">
        <v>14</v>
      </c>
      <c r="M2989" t="s">
        <v>2277</v>
      </c>
      <c r="N2989" s="2" t="s">
        <v>3035</v>
      </c>
      <c r="O2989" t="s">
        <v>3036</v>
      </c>
      <c r="P2989" t="s">
        <v>26</v>
      </c>
      <c r="Q2989">
        <v>1634.8655737704919</v>
      </c>
      <c r="R2989">
        <f ca="1">YEAR(TODAY())-Table1[[#This Row],[Year Built]]</f>
        <v>53</v>
      </c>
      <c r="S2989" t="str">
        <f>IF(Table1[[#This Row],[Days on Market]] &lt; 30,"Fast",IF(Table1[[#This Row],[Days on Market]]&lt;= 90,"Average", "Slow"))</f>
        <v>Average</v>
      </c>
      <c r="T2989" t="str">
        <f>IF(Table1[[#This Row],[Price2]]&lt;500000,"Affordable",IF(Table1[[#This Row],[Price2]]&lt;1000000,"Mid range","Luxury"))</f>
        <v>Luxury</v>
      </c>
    </row>
    <row r="2990" spans="1:20" x14ac:dyDescent="0.35">
      <c r="A2990" s="3">
        <v>1496151</v>
      </c>
      <c r="B2990" s="2" t="s">
        <v>22</v>
      </c>
      <c r="C2990">
        <v>62476</v>
      </c>
      <c r="D2990" s="2" t="s">
        <v>35</v>
      </c>
      <c r="E2990">
        <v>5</v>
      </c>
      <c r="F2990">
        <v>3</v>
      </c>
      <c r="G2990" s="4">
        <f>VALUE(SUBSTITUTE(SUBSTITUTE(Table1[[#This Row],[Price]],"$",""),",",""))</f>
        <v>1496151</v>
      </c>
      <c r="H2990" s="1">
        <f>Table1[[#This Row],[Price2]]/Table1[[#This Row],[Area]]</f>
        <v>434.2963715529753</v>
      </c>
      <c r="I2990">
        <v>3445</v>
      </c>
      <c r="J2990">
        <v>1962</v>
      </c>
      <c r="K2990">
        <v>12</v>
      </c>
      <c r="L2990" t="s">
        <v>30</v>
      </c>
      <c r="M2990" t="s">
        <v>899</v>
      </c>
      <c r="N2990" s="2" t="s">
        <v>3035</v>
      </c>
      <c r="O2990" t="s">
        <v>3036</v>
      </c>
      <c r="P2990" t="s">
        <v>26</v>
      </c>
      <c r="Q2990">
        <v>434.2963715529753</v>
      </c>
      <c r="R2990">
        <f ca="1">YEAR(TODAY())-Table1[[#This Row],[Year Built]]</f>
        <v>64</v>
      </c>
      <c r="S2990" t="str">
        <f>IF(Table1[[#This Row],[Days on Market]] &lt; 30,"Fast",IF(Table1[[#This Row],[Days on Market]]&lt;= 90,"Average", "Slow"))</f>
        <v>Fast</v>
      </c>
      <c r="T2990" t="str">
        <f>IF(Table1[[#This Row],[Price2]]&lt;500000,"Affordable",IF(Table1[[#This Row],[Price2]]&lt;1000000,"Mid range","Luxury"))</f>
        <v>Luxury</v>
      </c>
    </row>
    <row r="2991" spans="1:20" x14ac:dyDescent="0.35">
      <c r="A2991" s="3">
        <v>1496209</v>
      </c>
      <c r="B2991" s="2" t="s">
        <v>27</v>
      </c>
      <c r="C2991">
        <v>69486</v>
      </c>
      <c r="D2991" s="2" t="s">
        <v>29</v>
      </c>
      <c r="E2991">
        <v>1</v>
      </c>
      <c r="F2991">
        <v>3</v>
      </c>
      <c r="G2991" s="4">
        <f>VALUE(SUBSTITUTE(SUBSTITUTE(Table1[[#This Row],[Price]],"$",""),",",""))</f>
        <v>1496209</v>
      </c>
      <c r="H2991" s="1">
        <f>Table1[[#This Row],[Price2]]/Table1[[#This Row],[Area]]</f>
        <v>805.71297792137852</v>
      </c>
      <c r="I2991">
        <v>1857</v>
      </c>
      <c r="J2991">
        <v>1990</v>
      </c>
      <c r="K2991">
        <v>83</v>
      </c>
      <c r="L2991" t="s">
        <v>30</v>
      </c>
      <c r="M2991" t="s">
        <v>1700</v>
      </c>
      <c r="N2991" s="2" t="s">
        <v>3035</v>
      </c>
      <c r="O2991" t="s">
        <v>3036</v>
      </c>
      <c r="P2991" t="s">
        <v>21</v>
      </c>
      <c r="Q2991">
        <v>805.71297792137852</v>
      </c>
      <c r="R2991">
        <f ca="1">YEAR(TODAY())-Table1[[#This Row],[Year Built]]</f>
        <v>36</v>
      </c>
      <c r="S2991" t="str">
        <f>IF(Table1[[#This Row],[Days on Market]] &lt; 30,"Fast",IF(Table1[[#This Row],[Days on Market]]&lt;= 90,"Average", "Slow"))</f>
        <v>Average</v>
      </c>
      <c r="T2991" t="str">
        <f>IF(Table1[[#This Row],[Price2]]&lt;500000,"Affordable",IF(Table1[[#This Row],[Price2]]&lt;1000000,"Mid range","Luxury"))</f>
        <v>Luxury</v>
      </c>
    </row>
    <row r="2992" spans="1:20" x14ac:dyDescent="0.35">
      <c r="A2992" s="3">
        <v>1496345</v>
      </c>
      <c r="B2992" s="2" t="s">
        <v>12</v>
      </c>
      <c r="C2992">
        <v>64384</v>
      </c>
      <c r="D2992" s="2" t="s">
        <v>35</v>
      </c>
      <c r="E2992">
        <v>3</v>
      </c>
      <c r="F2992">
        <v>2</v>
      </c>
      <c r="G2992" s="4">
        <f>VALUE(SUBSTITUTE(SUBSTITUTE(Table1[[#This Row],[Price]],"$",""),",",""))</f>
        <v>1496345</v>
      </c>
      <c r="H2992" s="1">
        <f>Table1[[#This Row],[Price2]]/Table1[[#This Row],[Area]]</f>
        <v>582.23540856031127</v>
      </c>
      <c r="I2992">
        <v>2570</v>
      </c>
      <c r="J2992">
        <v>1978</v>
      </c>
      <c r="K2992">
        <v>107</v>
      </c>
      <c r="L2992" t="s">
        <v>14</v>
      </c>
      <c r="M2992" t="s">
        <v>1897</v>
      </c>
      <c r="N2992" s="2" t="s">
        <v>3027</v>
      </c>
      <c r="O2992" t="s">
        <v>3028</v>
      </c>
      <c r="P2992" t="s">
        <v>21</v>
      </c>
      <c r="Q2992">
        <v>582.23540856031127</v>
      </c>
      <c r="R2992">
        <f ca="1">YEAR(TODAY())-Table1[[#This Row],[Year Built]]</f>
        <v>48</v>
      </c>
      <c r="S2992" t="str">
        <f>IF(Table1[[#This Row],[Days on Market]] &lt; 30,"Fast",IF(Table1[[#This Row],[Days on Market]]&lt;= 90,"Average", "Slow"))</f>
        <v>Slow</v>
      </c>
      <c r="T2992" t="str">
        <f>IF(Table1[[#This Row],[Price2]]&lt;500000,"Affordable",IF(Table1[[#This Row],[Price2]]&lt;1000000,"Mid range","Luxury"))</f>
        <v>Luxury</v>
      </c>
    </row>
    <row r="2993" spans="1:20" x14ac:dyDescent="0.35">
      <c r="A2993" s="3">
        <v>1496434</v>
      </c>
      <c r="B2993" s="2" t="s">
        <v>34</v>
      </c>
      <c r="C2993">
        <v>52565</v>
      </c>
      <c r="D2993" s="2" t="s">
        <v>18</v>
      </c>
      <c r="E2993">
        <v>6</v>
      </c>
      <c r="F2993">
        <v>4</v>
      </c>
      <c r="G2993" s="4">
        <f>VALUE(SUBSTITUTE(SUBSTITUTE(Table1[[#This Row],[Price]],"$",""),",",""))</f>
        <v>1496434</v>
      </c>
      <c r="H2993" s="1">
        <f>Table1[[#This Row],[Price2]]/Table1[[#This Row],[Area]]</f>
        <v>469.24866729382251</v>
      </c>
      <c r="I2993">
        <v>3189</v>
      </c>
      <c r="J2993">
        <v>1966</v>
      </c>
      <c r="K2993">
        <v>108</v>
      </c>
      <c r="L2993" t="s">
        <v>52</v>
      </c>
      <c r="M2993" t="s">
        <v>2238</v>
      </c>
      <c r="N2993" s="2" t="s">
        <v>3035</v>
      </c>
      <c r="O2993" t="s">
        <v>3036</v>
      </c>
      <c r="P2993" t="s">
        <v>21</v>
      </c>
      <c r="Q2993">
        <v>469.24866729382251</v>
      </c>
      <c r="R2993">
        <f ca="1">YEAR(TODAY())-Table1[[#This Row],[Year Built]]</f>
        <v>60</v>
      </c>
      <c r="S2993" t="str">
        <f>IF(Table1[[#This Row],[Days on Market]] &lt; 30,"Fast",IF(Table1[[#This Row],[Days on Market]]&lt;= 90,"Average", "Slow"))</f>
        <v>Slow</v>
      </c>
      <c r="T2993" t="str">
        <f>IF(Table1[[#This Row],[Price2]]&lt;500000,"Affordable",IF(Table1[[#This Row],[Price2]]&lt;1000000,"Mid range","Luxury"))</f>
        <v>Luxury</v>
      </c>
    </row>
    <row r="2994" spans="1:20" x14ac:dyDescent="0.35">
      <c r="A2994" s="3">
        <v>1496467</v>
      </c>
      <c r="B2994" s="2" t="s">
        <v>27</v>
      </c>
      <c r="C2994">
        <v>21826</v>
      </c>
      <c r="D2994" s="2" t="s">
        <v>29</v>
      </c>
      <c r="E2994">
        <v>2</v>
      </c>
      <c r="F2994">
        <v>4</v>
      </c>
      <c r="G2994" s="4">
        <f>VALUE(SUBSTITUTE(SUBSTITUTE(Table1[[#This Row],[Price]],"$",""),",",""))</f>
        <v>1496467</v>
      </c>
      <c r="H2994" s="1">
        <f>Table1[[#This Row],[Price2]]/Table1[[#This Row],[Area]]</f>
        <v>1290.0577586206896</v>
      </c>
      <c r="I2994">
        <v>1160</v>
      </c>
      <c r="J2994">
        <v>1987</v>
      </c>
      <c r="K2994">
        <v>27</v>
      </c>
      <c r="L2994" t="s">
        <v>19</v>
      </c>
      <c r="M2994" t="s">
        <v>459</v>
      </c>
      <c r="N2994" s="2" t="s">
        <v>3027</v>
      </c>
      <c r="O2994" t="s">
        <v>3028</v>
      </c>
      <c r="P2994" t="s">
        <v>16</v>
      </c>
      <c r="Q2994">
        <v>1290.0577586206896</v>
      </c>
      <c r="R2994">
        <f ca="1">YEAR(TODAY())-Table1[[#This Row],[Year Built]]</f>
        <v>39</v>
      </c>
      <c r="S2994" t="str">
        <f>IF(Table1[[#This Row],[Days on Market]] &lt; 30,"Fast",IF(Table1[[#This Row],[Days on Market]]&lt;= 90,"Average", "Slow"))</f>
        <v>Fast</v>
      </c>
      <c r="T2994" t="str">
        <f>IF(Table1[[#This Row],[Price2]]&lt;500000,"Affordable",IF(Table1[[#This Row],[Price2]]&lt;1000000,"Mid range","Luxury"))</f>
        <v>Luxury</v>
      </c>
    </row>
    <row r="2995" spans="1:20" x14ac:dyDescent="0.35">
      <c r="A2995" s="3">
        <v>1496721</v>
      </c>
      <c r="B2995" s="2" t="s">
        <v>22</v>
      </c>
      <c r="C2995">
        <v>67956</v>
      </c>
      <c r="D2995" s="2" t="s">
        <v>18</v>
      </c>
      <c r="E2995">
        <v>2</v>
      </c>
      <c r="F2995">
        <v>1</v>
      </c>
      <c r="G2995" s="4">
        <f>VALUE(SUBSTITUTE(SUBSTITUTE(Table1[[#This Row],[Price]],"$",""),",",""))</f>
        <v>1496721</v>
      </c>
      <c r="H2995" s="1">
        <f>Table1[[#This Row],[Price2]]/Table1[[#This Row],[Area]]</f>
        <v>1393.5949720670392</v>
      </c>
      <c r="I2995">
        <v>1074</v>
      </c>
      <c r="J2995">
        <v>1993</v>
      </c>
      <c r="K2995">
        <v>23</v>
      </c>
      <c r="L2995" t="s">
        <v>40</v>
      </c>
      <c r="M2995" t="s">
        <v>2562</v>
      </c>
      <c r="N2995" s="2" t="s">
        <v>3033</v>
      </c>
      <c r="O2995" t="s">
        <v>3034</v>
      </c>
      <c r="P2995" t="s">
        <v>26</v>
      </c>
      <c r="Q2995">
        <v>1393.5949720670392</v>
      </c>
      <c r="R2995">
        <f ca="1">YEAR(TODAY())-Table1[[#This Row],[Year Built]]</f>
        <v>33</v>
      </c>
      <c r="S2995" t="str">
        <f>IF(Table1[[#This Row],[Days on Market]] &lt; 30,"Fast",IF(Table1[[#This Row],[Days on Market]]&lt;= 90,"Average", "Slow"))</f>
        <v>Fast</v>
      </c>
      <c r="T2995" t="str">
        <f>IF(Table1[[#This Row],[Price2]]&lt;500000,"Affordable",IF(Table1[[#This Row],[Price2]]&lt;1000000,"Mid range","Luxury"))</f>
        <v>Luxury</v>
      </c>
    </row>
    <row r="2996" spans="1:20" x14ac:dyDescent="0.35">
      <c r="A2996" s="3">
        <v>1498990</v>
      </c>
      <c r="B2996" s="2" t="s">
        <v>17</v>
      </c>
      <c r="C2996">
        <v>62544</v>
      </c>
      <c r="D2996" s="2" t="s">
        <v>29</v>
      </c>
      <c r="E2996">
        <v>4</v>
      </c>
      <c r="F2996">
        <v>1</v>
      </c>
      <c r="G2996" s="4">
        <f>VALUE(SUBSTITUTE(SUBSTITUTE(Table1[[#This Row],[Price]],"$",""),",",""))</f>
        <v>1498990</v>
      </c>
      <c r="H2996" s="1">
        <f>Table1[[#This Row],[Price2]]/Table1[[#This Row],[Area]]</f>
        <v>936.86874999999998</v>
      </c>
      <c r="I2996">
        <v>1600</v>
      </c>
      <c r="J2996">
        <v>1990</v>
      </c>
      <c r="K2996">
        <v>16</v>
      </c>
      <c r="L2996" t="s">
        <v>19</v>
      </c>
      <c r="M2996" t="s">
        <v>1571</v>
      </c>
      <c r="N2996" s="2" t="s">
        <v>3027</v>
      </c>
      <c r="O2996" t="s">
        <v>3028</v>
      </c>
      <c r="P2996" t="s">
        <v>26</v>
      </c>
      <c r="Q2996">
        <v>936.86874999999998</v>
      </c>
      <c r="R2996">
        <f ca="1">YEAR(TODAY())-Table1[[#This Row],[Year Built]]</f>
        <v>36</v>
      </c>
      <c r="S2996" t="str">
        <f>IF(Table1[[#This Row],[Days on Market]] &lt; 30,"Fast",IF(Table1[[#This Row],[Days on Market]]&lt;= 90,"Average", "Slow"))</f>
        <v>Fast</v>
      </c>
      <c r="T2996" t="str">
        <f>IF(Table1[[#This Row],[Price2]]&lt;500000,"Affordable",IF(Table1[[#This Row],[Price2]]&lt;1000000,"Mid range","Luxury"))</f>
        <v>Luxury</v>
      </c>
    </row>
    <row r="2997" spans="1:20" x14ac:dyDescent="0.35">
      <c r="A2997" s="3">
        <v>1499218</v>
      </c>
      <c r="B2997" s="2" t="s">
        <v>12</v>
      </c>
      <c r="C2997">
        <v>47577</v>
      </c>
      <c r="D2997" s="2" t="s">
        <v>13</v>
      </c>
      <c r="E2997">
        <v>2</v>
      </c>
      <c r="F2997">
        <v>3</v>
      </c>
      <c r="G2997" s="4">
        <f>VALUE(SUBSTITUTE(SUBSTITUTE(Table1[[#This Row],[Price]],"$",""),",",""))</f>
        <v>1499218</v>
      </c>
      <c r="H2997" s="1">
        <f>Table1[[#This Row],[Price2]]/Table1[[#This Row],[Area]]</f>
        <v>792.3985200845666</v>
      </c>
      <c r="I2997">
        <v>1892</v>
      </c>
      <c r="J2997">
        <v>2006</v>
      </c>
      <c r="K2997">
        <v>4</v>
      </c>
      <c r="L2997" t="s">
        <v>52</v>
      </c>
      <c r="M2997" t="s">
        <v>1240</v>
      </c>
      <c r="N2997" s="2" t="s">
        <v>3029</v>
      </c>
      <c r="O2997" t="s">
        <v>3030</v>
      </c>
      <c r="P2997" t="s">
        <v>21</v>
      </c>
      <c r="Q2997">
        <v>792.3985200845666</v>
      </c>
      <c r="R2997">
        <f ca="1">YEAR(TODAY())-Table1[[#This Row],[Year Built]]</f>
        <v>20</v>
      </c>
      <c r="S2997" t="str">
        <f>IF(Table1[[#This Row],[Days on Market]] &lt; 30,"Fast",IF(Table1[[#This Row],[Days on Market]]&lt;= 90,"Average", "Slow"))</f>
        <v>Fast</v>
      </c>
      <c r="T2997" t="str">
        <f>IF(Table1[[#This Row],[Price2]]&lt;500000,"Affordable",IF(Table1[[#This Row],[Price2]]&lt;1000000,"Mid range","Luxury"))</f>
        <v>Luxury</v>
      </c>
    </row>
    <row r="2998" spans="1:20" x14ac:dyDescent="0.35">
      <c r="A2998" s="3">
        <v>1499473</v>
      </c>
      <c r="B2998" s="2" t="s">
        <v>17</v>
      </c>
      <c r="C2998">
        <v>46489</v>
      </c>
      <c r="D2998" s="2" t="s">
        <v>23</v>
      </c>
      <c r="E2998">
        <v>5</v>
      </c>
      <c r="F2998">
        <v>4</v>
      </c>
      <c r="G2998" s="4">
        <f>VALUE(SUBSTITUTE(SUBSTITUTE(Table1[[#This Row],[Price]],"$",""),",",""))</f>
        <v>1499473</v>
      </c>
      <c r="H2998" s="1">
        <f>Table1[[#This Row],[Price2]]/Table1[[#This Row],[Area]]</f>
        <v>826.15592286501374</v>
      </c>
      <c r="I2998">
        <v>1815</v>
      </c>
      <c r="J2998">
        <v>1961</v>
      </c>
      <c r="K2998">
        <v>9</v>
      </c>
      <c r="L2998" t="s">
        <v>40</v>
      </c>
      <c r="M2998" t="s">
        <v>2523</v>
      </c>
      <c r="N2998" s="2" t="s">
        <v>3029</v>
      </c>
      <c r="O2998" t="s">
        <v>3030</v>
      </c>
      <c r="P2998" t="s">
        <v>26</v>
      </c>
      <c r="Q2998">
        <v>826.15592286501374</v>
      </c>
      <c r="R2998">
        <f ca="1">YEAR(TODAY())-Table1[[#This Row],[Year Built]]</f>
        <v>65</v>
      </c>
      <c r="S2998" t="str">
        <f>IF(Table1[[#This Row],[Days on Market]] &lt; 30,"Fast",IF(Table1[[#This Row],[Days on Market]]&lt;= 90,"Average", "Slow"))</f>
        <v>Fast</v>
      </c>
      <c r="T2998" t="str">
        <f>IF(Table1[[#This Row],[Price2]]&lt;500000,"Affordable",IF(Table1[[#This Row],[Price2]]&lt;1000000,"Mid range","Luxury"))</f>
        <v>Luxury</v>
      </c>
    </row>
    <row r="2999" spans="1:20" x14ac:dyDescent="0.35">
      <c r="G2999" s="1"/>
      <c r="H2999" s="1"/>
    </row>
    <row r="3000" spans="1:20" x14ac:dyDescent="0.35">
      <c r="G3000" s="1"/>
      <c r="H3000" s="1"/>
    </row>
    <row r="3001" spans="1:20" x14ac:dyDescent="0.35">
      <c r="G3001" s="1"/>
      <c r="H3001" s="1"/>
    </row>
  </sheetData>
  <autoFilter ref="Q1:T2998" xr:uid="{4186E9D6-41B9-4489-9105-D7540711D932}"/>
  <dataConsolidate/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us_house_Sales_data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karthikeyan</dc:creator>
  <cp:lastModifiedBy>yuvaraj karthikeyan</cp:lastModifiedBy>
  <dcterms:created xsi:type="dcterms:W3CDTF">2025-12-19T19:54:03Z</dcterms:created>
  <dcterms:modified xsi:type="dcterms:W3CDTF">2026-01-09T16:40:15Z</dcterms:modified>
</cp:coreProperties>
</file>